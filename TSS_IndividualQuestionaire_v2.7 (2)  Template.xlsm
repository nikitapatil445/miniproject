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drawings/drawing6.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drawings/drawing7.xml" ContentType="application/vnd.openxmlformats-officedocument.drawing+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drawings/drawing8.xml" ContentType="application/vnd.openxmlformats-officedocument.drawing+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drawings/drawing9.xml" ContentType="application/vnd.openxmlformats-officedocument.drawing+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drawings/drawing10.xml" ContentType="application/vnd.openxmlformats-officedocument.drawing+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drawings/drawing11.xml" ContentType="application/vnd.openxmlformats-officedocument.drawing+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drawings/drawing12.xml" ContentType="application/vnd.openxmlformats-officedocument.drawing+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drawings/drawing13.xml" ContentType="application/vnd.openxmlformats-officedocument.drawing+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drawings/drawing14.xml" ContentType="application/vnd.openxmlformats-officedocument.drawing+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drawings/drawing15.xml" ContentType="application/vnd.openxmlformats-officedocument.drawing+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drawings/drawing16.xml" ContentType="application/vnd.openxmlformats-officedocument.drawing+xml"/>
  <Override PartName="/xl/ctrlProps/ctrlProp286.xml" ContentType="application/vnd.ms-excel.controlproperties+xml"/>
  <Override PartName="/xl/ctrlProps/ctrlProp287.xml" ContentType="application/vnd.ms-excel.controlproperties+xml"/>
  <Override PartName="/xl/drawings/drawing17.xml" ContentType="application/vnd.openxmlformats-officedocument.drawing+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drawings/drawing18.xml" ContentType="application/vnd.openxmlformats-officedocument.drawing+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drawings/drawing19.xml" ContentType="application/vnd.openxmlformats-officedocument.drawing+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C:\Users\2021721\Desktop\New folder\"/>
    </mc:Choice>
  </mc:AlternateContent>
  <xr:revisionPtr revIDLastSave="0" documentId="13_ncr:1_{792CC8BD-259D-4608-AACB-06948550D2A7}" xr6:coauthVersionLast="41" xr6:coauthVersionMax="41" xr10:uidLastSave="{00000000-0000-0000-0000-000000000000}"/>
  <bookViews>
    <workbookView showSheetTabs="0" xWindow="-120" yWindow="-120" windowWidth="20730" windowHeight="11160" tabRatio="950" activeTab="5" xr2:uid="{00000000-000D-0000-FFFF-FFFF00000000}"/>
  </bookViews>
  <sheets>
    <sheet name="Sheet1" sheetId="27" r:id="rId1"/>
    <sheet name="Sheet2" sheetId="28" r:id="rId2"/>
    <sheet name="cover" sheetId="2" r:id="rId3"/>
    <sheet name="instructions" sheetId="3" r:id="rId4"/>
    <sheet name="applicantDetails" sheetId="21" r:id="rId5"/>
    <sheet name="index" sheetId="22" r:id="rId6"/>
    <sheet name="applicationContext" sheetId="4" r:id="rId7"/>
    <sheet name="yourDetails" sheetId="5" r:id="rId8"/>
    <sheet name="yourPartner" sheetId="6" r:id="rId9"/>
    <sheet name="child_1" sheetId="8" r:id="rId10"/>
    <sheet name="child_2" sheetId="24" r:id="rId11"/>
    <sheet name="child_3" sheetId="25" r:id="rId12"/>
    <sheet name="child_4" sheetId="26" r:id="rId13"/>
    <sheet name="contactDetailsApplicant" sheetId="10" r:id="rId14"/>
    <sheet name="countryOfResidenceAllApplicants" sheetId="11" r:id="rId15"/>
    <sheet name="healthDeclarations" sheetId="16" r:id="rId16"/>
    <sheet name="educationHistoryPrimarApplic" sheetId="12" r:id="rId17"/>
    <sheet name="languageSkills" sheetId="14" r:id="rId18"/>
    <sheet name="registrationLicensing" sheetId="13" r:id="rId19"/>
    <sheet name="employmentHistory" sheetId="15" r:id="rId20"/>
    <sheet name="characterDeclarations" sheetId="17" r:id="rId21"/>
    <sheet name="additionalInfo" sheetId="19" r:id="rId22"/>
    <sheet name="declarations" sheetId="18" r:id="rId23"/>
    <sheet name="formData" sheetId="23" r:id="rId24"/>
    <sheet name="constants" sheetId="9" r:id="rId25"/>
  </sheets>
  <functionGroups builtInGroupCount="19"/>
  <definedNames>
    <definedName name="Applicants">constants!$N$3:$N$9</definedName>
    <definedName name="ChinaPlaceOfIssue">constants!$H$40:$H$72</definedName>
    <definedName name="CountryOfIssue">constants!$B$4:$B$262</definedName>
    <definedName name="CountryOfPassport">constants!$D$3:$D$239</definedName>
    <definedName name="EnglishTest">constants!$J$33:$J$38</definedName>
    <definedName name="Filename">cover!$N$1</definedName>
    <definedName name="fkgnjdfgkdl">cover!$N$1</definedName>
    <definedName name="HealthCondition">constants!$J$41:$J$51</definedName>
    <definedName name="HighestQualification">constants!$J$11:$J$30</definedName>
    <definedName name="HospitalReasons">constants!$H$32:$H$37</definedName>
    <definedName name="LegalStatus">constants!$F$24:$F$31</definedName>
    <definedName name="MainLanguage">constants!$L$3:$L$421</definedName>
    <definedName name="nameList">constants!$N$3:$N$9</definedName>
    <definedName name="NumberOfChildren">constants!$F$40:$F$46</definedName>
    <definedName name="OffenceTypes">constants!$N$14:$N$31</definedName>
    <definedName name="OtherTypeOfDocument">constants!$H$25:$H$29</definedName>
    <definedName name="PositionType">constants!$F$34:$F$37</definedName>
    <definedName name="ReasonNameChange">constants!$H$19:$H$22</definedName>
    <definedName name="RelationshipApplicant">constants!$H$12:$H$16</definedName>
    <definedName name="RelationshipStatus">constants!$F$3:$F$10</definedName>
    <definedName name="sex">constants!$F$18:$F$21</definedName>
    <definedName name="TypeOfDocument">constants!$H$3:$H$9</definedName>
    <definedName name="TypeSkills">constants!$J$3:$J$8</definedName>
    <definedName name="Version">cover!$N$2</definedName>
    <definedName name="yesNo">constants!$F$13:$F$15</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N9" i="9" l="1"/>
  <c r="N8" i="9"/>
  <c r="N7" i="9"/>
  <c r="N6" i="9"/>
  <c r="N5" i="9"/>
  <c r="N4" i="9"/>
  <c r="A27" i="24" l="1"/>
  <c r="A26" i="24"/>
  <c r="A21" i="24"/>
  <c r="C74" i="11" l="1"/>
  <c r="C75" i="11" s="1"/>
  <c r="C79" i="11" s="1"/>
  <c r="C80" i="11" s="1"/>
  <c r="C82" i="11" s="1"/>
  <c r="C83" i="11" s="1"/>
  <c r="C84" i="11" s="1"/>
  <c r="C61" i="11"/>
  <c r="C62" i="11" s="1"/>
  <c r="C66" i="11" s="1"/>
  <c r="C67" i="11" s="1"/>
  <c r="C69" i="11" s="1"/>
  <c r="C70" i="11" s="1"/>
  <c r="C71" i="11" s="1"/>
  <c r="C48" i="11"/>
  <c r="C49" i="11" s="1"/>
  <c r="C53" i="11" s="1"/>
  <c r="C54" i="11" s="1"/>
  <c r="C56" i="11" s="1"/>
  <c r="C57" i="11" s="1"/>
  <c r="C58" i="11" s="1"/>
  <c r="C35" i="11"/>
  <c r="C36" i="11" s="1"/>
  <c r="C40" i="11" s="1"/>
  <c r="C41" i="11" s="1"/>
  <c r="C43" i="11" s="1"/>
  <c r="C44" i="11" s="1"/>
  <c r="C45" i="11" s="1"/>
  <c r="C22" i="11"/>
  <c r="C23" i="11" s="1"/>
  <c r="C27" i="11" s="1"/>
  <c r="C28" i="11" s="1"/>
  <c r="C30" i="11" s="1"/>
  <c r="C31" i="11" s="1"/>
  <c r="C32" i="11" s="1"/>
  <c r="C215" i="23" l="1"/>
  <c r="K30" i="15" l="1"/>
  <c r="J30" i="15"/>
  <c r="K52" i="15"/>
  <c r="J52" i="15"/>
  <c r="K41" i="15"/>
  <c r="J41" i="15"/>
  <c r="K18" i="15"/>
  <c r="A27" i="26"/>
  <c r="A26" i="26"/>
  <c r="A27" i="25"/>
  <c r="A26" i="25"/>
  <c r="A27" i="8"/>
  <c r="A26" i="8"/>
  <c r="A23" i="6"/>
  <c r="A22" i="6"/>
  <c r="A17" i="5"/>
  <c r="A16" i="5"/>
  <c r="J20" i="17" l="1"/>
  <c r="J13" i="17"/>
  <c r="C8" i="14" l="1"/>
  <c r="A16" i="14" l="1"/>
  <c r="A17" i="14" s="1"/>
  <c r="A18" i="14" s="1"/>
  <c r="A19" i="14" s="1"/>
  <c r="A20" i="14" s="1"/>
  <c r="A21" i="14" s="1"/>
  <c r="A22" i="14" s="1"/>
  <c r="A23" i="14" s="1"/>
  <c r="A24" i="14" s="1"/>
  <c r="A25" i="14" s="1"/>
  <c r="J40" i="8" l="1"/>
  <c r="J39" i="8"/>
  <c r="J31" i="8"/>
  <c r="J12" i="8"/>
  <c r="M42" i="26" l="1"/>
  <c r="M26" i="26"/>
  <c r="M16" i="26"/>
  <c r="M15" i="26"/>
  <c r="C351" i="23"/>
  <c r="K42" i="26"/>
  <c r="A42" i="26"/>
  <c r="O41" i="26"/>
  <c r="N41" i="26"/>
  <c r="A41" i="26"/>
  <c r="K26" i="26"/>
  <c r="L26" i="26"/>
  <c r="C340" i="23" s="1"/>
  <c r="A21" i="26"/>
  <c r="A22" i="26" s="1"/>
  <c r="A23" i="26" s="1"/>
  <c r="A24" i="26" s="1"/>
  <c r="A25" i="26" s="1"/>
  <c r="K16" i="26"/>
  <c r="A16" i="26"/>
  <c r="L16" i="26" s="1"/>
  <c r="C330" i="23" s="1"/>
  <c r="K15" i="26"/>
  <c r="M42" i="25"/>
  <c r="M26" i="25"/>
  <c r="M16" i="25"/>
  <c r="M15" i="25"/>
  <c r="C283" i="23"/>
  <c r="K42" i="25"/>
  <c r="A42" i="25"/>
  <c r="O41" i="25"/>
  <c r="N41" i="25"/>
  <c r="A41" i="25"/>
  <c r="L26" i="25"/>
  <c r="C272" i="23" s="1"/>
  <c r="A21" i="25"/>
  <c r="A22" i="25" s="1"/>
  <c r="A23" i="25" s="1"/>
  <c r="A24" i="25" s="1"/>
  <c r="A25" i="25" s="1"/>
  <c r="K26" i="25"/>
  <c r="K16" i="25"/>
  <c r="A16" i="25"/>
  <c r="L16" i="25" s="1"/>
  <c r="C262" i="23" s="1"/>
  <c r="K15" i="25"/>
  <c r="A42" i="24"/>
  <c r="A41" i="24"/>
  <c r="A40" i="24"/>
  <c r="A39" i="24"/>
  <c r="A38" i="24"/>
  <c r="A37" i="24"/>
  <c r="A36" i="24"/>
  <c r="M42" i="24"/>
  <c r="M26" i="24"/>
  <c r="K26" i="24"/>
  <c r="A22" i="24"/>
  <c r="A23" i="24" s="1"/>
  <c r="A24" i="24" s="1"/>
  <c r="A25" i="24" s="1"/>
  <c r="M16" i="24"/>
  <c r="M15" i="24"/>
  <c r="K42" i="24"/>
  <c r="O41" i="24"/>
  <c r="N41" i="24"/>
  <c r="K16" i="24"/>
  <c r="A16" i="24"/>
  <c r="K15" i="24"/>
  <c r="L42" i="25" l="1"/>
  <c r="J42" i="25"/>
  <c r="L42" i="26"/>
  <c r="J42" i="26"/>
  <c r="L42" i="24"/>
  <c r="J42" i="24"/>
  <c r="J16" i="25"/>
  <c r="O16" i="25" s="1"/>
  <c r="J26" i="26"/>
  <c r="J16" i="26"/>
  <c r="J26" i="25"/>
  <c r="A42" i="8"/>
  <c r="J42" i="8" s="1"/>
  <c r="A41" i="8"/>
  <c r="M23" i="18"/>
  <c r="N16" i="25" l="1"/>
  <c r="O42" i="26"/>
  <c r="N42" i="26"/>
  <c r="O26" i="26"/>
  <c r="N26" i="26"/>
  <c r="O16" i="26"/>
  <c r="N16" i="26"/>
  <c r="O42" i="25"/>
  <c r="N42" i="25"/>
  <c r="O26" i="25"/>
  <c r="N26" i="25"/>
  <c r="O42" i="24"/>
  <c r="N42" i="24"/>
  <c r="M42" i="8"/>
  <c r="C147" i="23"/>
  <c r="M38" i="6"/>
  <c r="C89" i="23"/>
  <c r="A38" i="6"/>
  <c r="A37" i="6"/>
  <c r="K42" i="8"/>
  <c r="L42" i="8"/>
  <c r="O41" i="8"/>
  <c r="N41" i="8"/>
  <c r="K38" i="6"/>
  <c r="O37" i="6"/>
  <c r="N37" i="6"/>
  <c r="L38" i="6" l="1"/>
  <c r="J38" i="6"/>
  <c r="A31" i="5"/>
  <c r="A32" i="5"/>
  <c r="O42" i="8" l="1"/>
  <c r="N42" i="8"/>
  <c r="J26" i="8"/>
  <c r="A21" i="8"/>
  <c r="K26" i="8"/>
  <c r="M26" i="8"/>
  <c r="K22" i="6"/>
  <c r="M22" i="6"/>
  <c r="E7" i="5" l="1"/>
  <c r="M16" i="5"/>
  <c r="K16" i="5"/>
  <c r="J16" i="5"/>
  <c r="N16" i="5" s="1"/>
  <c r="C32" i="23"/>
  <c r="M32" i="5"/>
  <c r="K32" i="5"/>
  <c r="L32" i="5"/>
  <c r="O33" i="5"/>
  <c r="N33" i="5"/>
  <c r="O31" i="5"/>
  <c r="N31" i="5"/>
  <c r="O16" i="5" l="1"/>
  <c r="L16" i="5"/>
  <c r="C21" i="23" s="1"/>
  <c r="J32" i="5"/>
  <c r="N32" i="5" s="1"/>
  <c r="O32" i="5" l="1"/>
  <c r="L23" i="18"/>
  <c r="C679" i="23" s="1"/>
  <c r="K23" i="18"/>
  <c r="J23" i="18"/>
  <c r="N23" i="18" s="1"/>
  <c r="M25" i="17"/>
  <c r="M23" i="17"/>
  <c r="M22" i="17"/>
  <c r="M20" i="17"/>
  <c r="C625" i="23"/>
  <c r="C624" i="23"/>
  <c r="C620" i="23"/>
  <c r="C615" i="23"/>
  <c r="O24" i="17"/>
  <c r="N24" i="17"/>
  <c r="K25" i="17"/>
  <c r="K23" i="17"/>
  <c r="K22" i="17"/>
  <c r="K20" i="17"/>
  <c r="A21" i="17"/>
  <c r="L20" i="17" s="1"/>
  <c r="C622" i="23" s="1"/>
  <c r="O21" i="17"/>
  <c r="N21" i="17"/>
  <c r="M17" i="17"/>
  <c r="M16" i="17"/>
  <c r="M15" i="17"/>
  <c r="K17" i="17"/>
  <c r="K16" i="17"/>
  <c r="K15" i="17"/>
  <c r="M10" i="17"/>
  <c r="M9" i="17"/>
  <c r="M8" i="17"/>
  <c r="K10" i="17"/>
  <c r="K9" i="17"/>
  <c r="K8" i="17"/>
  <c r="O18" i="17"/>
  <c r="N18" i="17"/>
  <c r="O11" i="17"/>
  <c r="N11" i="17"/>
  <c r="A14" i="17"/>
  <c r="A15" i="17" s="1"/>
  <c r="J15" i="17" s="1"/>
  <c r="N15" i="17" s="1"/>
  <c r="A7" i="17"/>
  <c r="A8" i="17" s="1"/>
  <c r="A22" i="8"/>
  <c r="A23" i="8" s="1"/>
  <c r="A24" i="8" s="1"/>
  <c r="A25" i="8" s="1"/>
  <c r="A16" i="8"/>
  <c r="J16" i="8" s="1"/>
  <c r="O23" i="18" l="1"/>
  <c r="A9" i="17"/>
  <c r="L9" i="17" s="1"/>
  <c r="C614" i="23" s="1"/>
  <c r="J8" i="17"/>
  <c r="N8" i="17" s="1"/>
  <c r="O15" i="17"/>
  <c r="O20" i="17"/>
  <c r="A22" i="17"/>
  <c r="A16" i="17"/>
  <c r="J16" i="17" s="1"/>
  <c r="N16" i="17" s="1"/>
  <c r="L15" i="17"/>
  <c r="C618" i="23" s="1"/>
  <c r="L8" i="17"/>
  <c r="C613" i="23" s="1"/>
  <c r="N16" i="8"/>
  <c r="M16" i="8"/>
  <c r="K16" i="8"/>
  <c r="M15" i="8"/>
  <c r="K15" i="8"/>
  <c r="O8" i="17" l="1"/>
  <c r="A10" i="17"/>
  <c r="J9" i="17"/>
  <c r="A23" i="17"/>
  <c r="L23" i="17" s="1"/>
  <c r="J22" i="17"/>
  <c r="O16" i="17"/>
  <c r="L26" i="8"/>
  <c r="L22" i="17"/>
  <c r="C623" i="23" s="1"/>
  <c r="N20" i="17"/>
  <c r="L16" i="17"/>
  <c r="C619" i="23" s="1"/>
  <c r="A17" i="17"/>
  <c r="L16" i="8"/>
  <c r="O16" i="8"/>
  <c r="C65" i="23"/>
  <c r="N9" i="17" l="1"/>
  <c r="O9" i="17"/>
  <c r="A11" i="17"/>
  <c r="A12" i="17" s="1"/>
  <c r="L10" i="17"/>
  <c r="J10" i="17"/>
  <c r="J23" i="17"/>
  <c r="O23" i="17" s="1"/>
  <c r="A24" i="17"/>
  <c r="A25" i="17" s="1"/>
  <c r="L25" i="17" s="1"/>
  <c r="N22" i="17"/>
  <c r="O22" i="17"/>
  <c r="C136" i="23"/>
  <c r="C126" i="23"/>
  <c r="O26" i="8"/>
  <c r="N26" i="8"/>
  <c r="A18" i="17"/>
  <c r="A19" i="17" s="1"/>
  <c r="J17" i="17"/>
  <c r="L17" i="17"/>
  <c r="K122" i="16"/>
  <c r="K117" i="16"/>
  <c r="K111" i="16"/>
  <c r="K106" i="16"/>
  <c r="K99" i="16"/>
  <c r="K93" i="16"/>
  <c r="K86" i="16"/>
  <c r="K81" i="16"/>
  <c r="K75" i="16"/>
  <c r="K70" i="16"/>
  <c r="K64" i="16"/>
  <c r="K59" i="16"/>
  <c r="K52" i="16"/>
  <c r="K46" i="16"/>
  <c r="O10" i="17" l="1"/>
  <c r="N10" i="17"/>
  <c r="J25" i="17"/>
  <c r="O25" i="17" s="1"/>
  <c r="N23" i="17"/>
  <c r="N17" i="17"/>
  <c r="O17" i="17"/>
  <c r="K61" i="17"/>
  <c r="K54" i="17"/>
  <c r="N25" i="17" l="1"/>
  <c r="E8" i="5"/>
  <c r="E18" i="8" l="1"/>
  <c r="E17" i="8"/>
  <c r="C682" i="23"/>
  <c r="K49" i="5" l="1"/>
  <c r="K11" i="13"/>
  <c r="K100" i="26"/>
  <c r="J100" i="26"/>
  <c r="K98" i="26"/>
  <c r="K97" i="26"/>
  <c r="J97" i="26"/>
  <c r="K95" i="26"/>
  <c r="K94" i="26"/>
  <c r="J94" i="26"/>
  <c r="K92" i="26"/>
  <c r="K91" i="26"/>
  <c r="J91" i="26"/>
  <c r="K89" i="26"/>
  <c r="K88" i="26"/>
  <c r="K85" i="26"/>
  <c r="K84" i="26"/>
  <c r="K83" i="26"/>
  <c r="K82" i="26"/>
  <c r="K81" i="26"/>
  <c r="K80" i="26"/>
  <c r="K77" i="26"/>
  <c r="K76" i="26"/>
  <c r="K75" i="26"/>
  <c r="K74" i="26"/>
  <c r="K73" i="26"/>
  <c r="K72" i="26"/>
  <c r="K71" i="26"/>
  <c r="K70" i="26"/>
  <c r="K69" i="26"/>
  <c r="K68" i="26"/>
  <c r="K67" i="26"/>
  <c r="K66" i="26"/>
  <c r="K64" i="26"/>
  <c r="J64" i="26"/>
  <c r="K63" i="26"/>
  <c r="K62" i="26"/>
  <c r="K61" i="26"/>
  <c r="K58" i="26"/>
  <c r="J58" i="26"/>
  <c r="K56" i="26"/>
  <c r="K55" i="26"/>
  <c r="K54" i="26"/>
  <c r="K53" i="26"/>
  <c r="K50" i="26"/>
  <c r="K47" i="26"/>
  <c r="K46" i="26"/>
  <c r="K45" i="26"/>
  <c r="K40" i="26"/>
  <c r="K39" i="26"/>
  <c r="K38" i="26"/>
  <c r="K37" i="26"/>
  <c r="K36" i="26"/>
  <c r="K35" i="26"/>
  <c r="K34" i="26"/>
  <c r="K31" i="26"/>
  <c r="J31" i="26"/>
  <c r="K30" i="26"/>
  <c r="K27" i="26"/>
  <c r="K25" i="26"/>
  <c r="K24" i="26"/>
  <c r="K23" i="26"/>
  <c r="K22" i="26"/>
  <c r="K21" i="26"/>
  <c r="K20" i="26"/>
  <c r="K19" i="26"/>
  <c r="K12" i="26"/>
  <c r="J12" i="26"/>
  <c r="K100" i="25"/>
  <c r="J100" i="25"/>
  <c r="K98" i="25"/>
  <c r="K97" i="25"/>
  <c r="J97" i="25"/>
  <c r="K95" i="25"/>
  <c r="K94" i="25"/>
  <c r="J94" i="25"/>
  <c r="K92" i="25"/>
  <c r="K91" i="25"/>
  <c r="J91" i="25"/>
  <c r="K89" i="25"/>
  <c r="K88" i="25"/>
  <c r="K85" i="25"/>
  <c r="K84" i="25"/>
  <c r="K83" i="25"/>
  <c r="K82" i="25"/>
  <c r="K81" i="25"/>
  <c r="K80" i="25"/>
  <c r="K77" i="25"/>
  <c r="K76" i="25"/>
  <c r="K75" i="25"/>
  <c r="K74" i="25"/>
  <c r="K73" i="25"/>
  <c r="K72" i="25"/>
  <c r="K71" i="25"/>
  <c r="K70" i="25"/>
  <c r="K69" i="25"/>
  <c r="K68" i="25"/>
  <c r="K67" i="25"/>
  <c r="K66" i="25"/>
  <c r="K64" i="25"/>
  <c r="J64" i="25"/>
  <c r="K63" i="25"/>
  <c r="K62" i="25"/>
  <c r="K61" i="25"/>
  <c r="K58" i="25"/>
  <c r="J58" i="25"/>
  <c r="K56" i="25"/>
  <c r="K55" i="25"/>
  <c r="K54" i="25"/>
  <c r="K53" i="25"/>
  <c r="K50" i="25"/>
  <c r="K47" i="25"/>
  <c r="K46" i="25"/>
  <c r="K45" i="25"/>
  <c r="K40" i="25"/>
  <c r="K39" i="25"/>
  <c r="K38" i="25"/>
  <c r="K37" i="25"/>
  <c r="K36" i="25"/>
  <c r="K35" i="25"/>
  <c r="K34" i="25"/>
  <c r="K31" i="25"/>
  <c r="J31" i="25"/>
  <c r="K30" i="25"/>
  <c r="K27" i="25"/>
  <c r="K25" i="25"/>
  <c r="K24" i="25"/>
  <c r="K23" i="25"/>
  <c r="K22" i="25"/>
  <c r="K21" i="25"/>
  <c r="K20" i="25"/>
  <c r="K19" i="25"/>
  <c r="K12" i="25"/>
  <c r="J12" i="25"/>
  <c r="K100" i="8"/>
  <c r="J100" i="8"/>
  <c r="K98" i="8"/>
  <c r="K97" i="8"/>
  <c r="J97" i="8"/>
  <c r="K95" i="8"/>
  <c r="K94" i="8"/>
  <c r="J94" i="8"/>
  <c r="K92" i="8"/>
  <c r="K91" i="8"/>
  <c r="J91" i="8"/>
  <c r="K89" i="8"/>
  <c r="K88" i="8"/>
  <c r="K85" i="8"/>
  <c r="K84" i="8"/>
  <c r="K83" i="8"/>
  <c r="K82" i="8"/>
  <c r="K81" i="8"/>
  <c r="K80" i="8"/>
  <c r="K77" i="8"/>
  <c r="K76" i="8"/>
  <c r="K75" i="8"/>
  <c r="K74" i="8"/>
  <c r="K73" i="8"/>
  <c r="K72" i="8"/>
  <c r="K71" i="8"/>
  <c r="K70" i="8"/>
  <c r="K69" i="8"/>
  <c r="K68" i="8"/>
  <c r="K67" i="8"/>
  <c r="K66" i="8"/>
  <c r="K64" i="8"/>
  <c r="J64" i="8"/>
  <c r="K63" i="8"/>
  <c r="K62" i="8"/>
  <c r="K61" i="8"/>
  <c r="K58" i="8"/>
  <c r="J58" i="8"/>
  <c r="K56" i="8"/>
  <c r="K55" i="8"/>
  <c r="K54" i="8"/>
  <c r="K53" i="8"/>
  <c r="K50" i="8"/>
  <c r="K47" i="8"/>
  <c r="K46" i="8"/>
  <c r="K45" i="8"/>
  <c r="K40" i="8"/>
  <c r="K39" i="8"/>
  <c r="K38" i="8"/>
  <c r="K37" i="8"/>
  <c r="K36" i="8"/>
  <c r="K35" i="8"/>
  <c r="K34" i="8"/>
  <c r="K31" i="8"/>
  <c r="K30" i="8"/>
  <c r="K27" i="8"/>
  <c r="K25" i="8"/>
  <c r="K24" i="8"/>
  <c r="K23" i="8"/>
  <c r="K22" i="8"/>
  <c r="K21" i="8"/>
  <c r="K20" i="8"/>
  <c r="K19" i="8"/>
  <c r="K12" i="8"/>
  <c r="K12" i="24"/>
  <c r="J12" i="24"/>
  <c r="K100" i="24"/>
  <c r="J100" i="24"/>
  <c r="K97" i="24"/>
  <c r="J97" i="24"/>
  <c r="K94" i="24"/>
  <c r="J94" i="24"/>
  <c r="K91" i="24"/>
  <c r="J91" i="24"/>
  <c r="K58" i="24"/>
  <c r="K51" i="6"/>
  <c r="J51" i="6"/>
  <c r="K10" i="6"/>
  <c r="L52" i="17"/>
  <c r="K52" i="17"/>
  <c r="J52" i="17"/>
  <c r="K59" i="17"/>
  <c r="K66" i="17"/>
  <c r="L69" i="17"/>
  <c r="K69" i="17"/>
  <c r="J69" i="17"/>
  <c r="L72" i="17"/>
  <c r="K72" i="17"/>
  <c r="J72" i="17"/>
  <c r="L75" i="17"/>
  <c r="K75" i="17"/>
  <c r="J75" i="17"/>
  <c r="L78" i="17"/>
  <c r="K78" i="17"/>
  <c r="J78" i="17"/>
  <c r="L49" i="17"/>
  <c r="K49" i="17"/>
  <c r="J49" i="17"/>
  <c r="L46" i="17"/>
  <c r="K46" i="17"/>
  <c r="J46" i="17"/>
  <c r="L43" i="17"/>
  <c r="K43" i="17"/>
  <c r="J43" i="17"/>
  <c r="L40" i="17"/>
  <c r="K40" i="17"/>
  <c r="J40" i="17"/>
  <c r="L37" i="17"/>
  <c r="K37" i="17"/>
  <c r="J37" i="17"/>
  <c r="L34" i="17"/>
  <c r="K34" i="17"/>
  <c r="J34" i="17"/>
  <c r="L31" i="17"/>
  <c r="K31" i="17"/>
  <c r="J31" i="17"/>
  <c r="L28" i="17"/>
  <c r="K28" i="17"/>
  <c r="J28" i="17"/>
  <c r="L19" i="17"/>
  <c r="K19" i="17"/>
  <c r="J19" i="17"/>
  <c r="K13" i="14"/>
  <c r="L58" i="15"/>
  <c r="K58" i="15"/>
  <c r="J58" i="15"/>
  <c r="K49" i="16"/>
  <c r="K55" i="16"/>
  <c r="J55" i="16"/>
  <c r="K61" i="16"/>
  <c r="K66" i="16"/>
  <c r="J66" i="16"/>
  <c r="K72" i="16"/>
  <c r="K77" i="16"/>
  <c r="J77" i="16"/>
  <c r="K83" i="16"/>
  <c r="K88" i="16"/>
  <c r="J88" i="16"/>
  <c r="K124" i="16"/>
  <c r="J124" i="16"/>
  <c r="K119" i="16"/>
  <c r="K113" i="16"/>
  <c r="J113" i="16"/>
  <c r="K108" i="16"/>
  <c r="K102" i="16"/>
  <c r="J102" i="16"/>
  <c r="K96" i="16"/>
  <c r="A21" i="15" l="1"/>
  <c r="A20" i="15"/>
  <c r="A19" i="15"/>
  <c r="A18" i="15"/>
  <c r="A17" i="15"/>
  <c r="A16" i="15"/>
  <c r="A22" i="15" s="1"/>
  <c r="A23" i="15" s="1"/>
  <c r="A24" i="15" s="1"/>
  <c r="A25" i="15" s="1"/>
  <c r="A26" i="15" s="1"/>
  <c r="A27" i="15" s="1"/>
  <c r="A28" i="15" s="1"/>
  <c r="A29" i="15" s="1"/>
  <c r="A30" i="15" s="1"/>
  <c r="A31" i="15" s="1"/>
  <c r="A15" i="15"/>
  <c r="A14" i="15"/>
  <c r="A13" i="15"/>
  <c r="A12" i="15"/>
  <c r="A11" i="15"/>
  <c r="A10" i="15"/>
  <c r="L30" i="15" l="1"/>
  <c r="A32" i="15"/>
  <c r="A33" i="15" s="1"/>
  <c r="A34" i="15" s="1"/>
  <c r="A35" i="15" s="1"/>
  <c r="A36" i="15" s="1"/>
  <c r="A37" i="15" s="1"/>
  <c r="A38" i="15" s="1"/>
  <c r="A39" i="15" s="1"/>
  <c r="A40" i="15" s="1"/>
  <c r="A41" i="15" s="1"/>
  <c r="A42" i="15" s="1"/>
  <c r="L18" i="15"/>
  <c r="J18" i="15"/>
  <c r="L6" i="4"/>
  <c r="L7" i="4"/>
  <c r="L9" i="4"/>
  <c r="A43" i="15" l="1"/>
  <c r="A44" i="15" s="1"/>
  <c r="A45" i="15" s="1"/>
  <c r="A46" i="15" s="1"/>
  <c r="A47" i="15" s="1"/>
  <c r="A48" i="15" s="1"/>
  <c r="A49" i="15" s="1"/>
  <c r="A50" i="15" s="1"/>
  <c r="A51" i="15" s="1"/>
  <c r="A52" i="15" s="1"/>
  <c r="A53" i="15" s="1"/>
  <c r="L41" i="15"/>
  <c r="O18" i="15"/>
  <c r="N18" i="15"/>
  <c r="K20" i="14"/>
  <c r="K17" i="14"/>
  <c r="A54" i="15" l="1"/>
  <c r="L52" i="15"/>
  <c r="L116" i="16"/>
  <c r="L105" i="16"/>
  <c r="L92" i="16"/>
  <c r="C595" i="23" s="1"/>
  <c r="L80" i="16"/>
  <c r="C590" i="23" s="1"/>
  <c r="L69" i="16"/>
  <c r="C585" i="23" s="1"/>
  <c r="L58" i="16"/>
  <c r="C580" i="23" s="1"/>
  <c r="L45" i="16"/>
  <c r="C573" i="23" s="1"/>
  <c r="L6" i="16"/>
  <c r="L56" i="15"/>
  <c r="C571" i="23" s="1"/>
  <c r="L8" i="15"/>
  <c r="C509" i="23" s="1"/>
  <c r="L6" i="13"/>
  <c r="L76" i="17"/>
  <c r="C662" i="23" s="1"/>
  <c r="L73" i="17"/>
  <c r="C660" i="23" s="1"/>
  <c r="L70" i="17"/>
  <c r="C658" i="23" s="1"/>
  <c r="L67" i="17"/>
  <c r="L60" i="17"/>
  <c r="L53" i="17"/>
  <c r="L50" i="17"/>
  <c r="C642" i="23" s="1"/>
  <c r="L47" i="17"/>
  <c r="C640" i="23" s="1"/>
  <c r="L44" i="17"/>
  <c r="C638" i="23" s="1"/>
  <c r="L41" i="17"/>
  <c r="C636" i="23" s="1"/>
  <c r="L38" i="17"/>
  <c r="C634" i="23" s="1"/>
  <c r="L35" i="17"/>
  <c r="C632" i="23" s="1"/>
  <c r="L32" i="17"/>
  <c r="C630" i="23" s="1"/>
  <c r="L29" i="17"/>
  <c r="C628" i="23" s="1"/>
  <c r="L26" i="17"/>
  <c r="C626" i="23" s="1"/>
  <c r="L13" i="17"/>
  <c r="C617" i="23" s="1"/>
  <c r="L6" i="17"/>
  <c r="C612" i="23" s="1"/>
  <c r="C663" i="23"/>
  <c r="C661" i="23"/>
  <c r="C659" i="23"/>
  <c r="C657" i="23"/>
  <c r="C643" i="23"/>
  <c r="C641" i="23"/>
  <c r="C639" i="23"/>
  <c r="C637" i="23"/>
  <c r="C635" i="23"/>
  <c r="C633" i="23"/>
  <c r="C631" i="23"/>
  <c r="C629" i="23"/>
  <c r="C627" i="23"/>
  <c r="K14" i="14"/>
  <c r="L7" i="14"/>
  <c r="L7" i="12"/>
  <c r="L6" i="12"/>
  <c r="L79" i="11"/>
  <c r="C458" i="23" s="1"/>
  <c r="L74" i="11"/>
  <c r="C455" i="23" s="1"/>
  <c r="L66" i="11"/>
  <c r="C449" i="23" s="1"/>
  <c r="L61" i="11"/>
  <c r="C446" i="23" s="1"/>
  <c r="L53" i="11"/>
  <c r="C440" i="23" s="1"/>
  <c r="L48" i="11"/>
  <c r="C437" i="23" s="1"/>
  <c r="L40" i="11"/>
  <c r="C431" i="23" s="1"/>
  <c r="L35" i="11"/>
  <c r="C428" i="23" s="1"/>
  <c r="L27" i="11"/>
  <c r="C422" i="23" s="1"/>
  <c r="L22" i="11"/>
  <c r="L14" i="11"/>
  <c r="C413" i="23" s="1"/>
  <c r="L9" i="11"/>
  <c r="C410" i="23" s="1"/>
  <c r="L18" i="10"/>
  <c r="C399" i="23" s="1"/>
  <c r="L10" i="10"/>
  <c r="C393" i="23" s="1"/>
  <c r="L7" i="10"/>
  <c r="C392" i="23" s="1"/>
  <c r="K10" i="26"/>
  <c r="K9" i="26"/>
  <c r="K10" i="25"/>
  <c r="K9" i="25"/>
  <c r="K98" i="24"/>
  <c r="K95" i="24"/>
  <c r="K92" i="24"/>
  <c r="K89" i="24"/>
  <c r="K88" i="24"/>
  <c r="K85" i="24"/>
  <c r="K84" i="24"/>
  <c r="K83" i="24"/>
  <c r="K82" i="24"/>
  <c r="K81" i="24"/>
  <c r="K80" i="24"/>
  <c r="K77" i="24"/>
  <c r="K76" i="24"/>
  <c r="K75" i="24"/>
  <c r="K74" i="24"/>
  <c r="K73" i="24"/>
  <c r="K72" i="24"/>
  <c r="K71" i="24"/>
  <c r="K70" i="24"/>
  <c r="K69" i="24"/>
  <c r="K68" i="24"/>
  <c r="K67" i="24"/>
  <c r="K66" i="24"/>
  <c r="K64" i="24"/>
  <c r="J64" i="24"/>
  <c r="K63" i="24"/>
  <c r="K62" i="24"/>
  <c r="K61" i="24"/>
  <c r="J58" i="24"/>
  <c r="K56" i="24"/>
  <c r="K55" i="24"/>
  <c r="K54" i="24"/>
  <c r="K53" i="24"/>
  <c r="K50" i="24"/>
  <c r="K47" i="24"/>
  <c r="K46" i="24"/>
  <c r="K45" i="24"/>
  <c r="K40" i="24"/>
  <c r="K39" i="24"/>
  <c r="K38" i="24"/>
  <c r="K37" i="24"/>
  <c r="K36" i="24"/>
  <c r="K35" i="24"/>
  <c r="K34" i="24"/>
  <c r="K31" i="24"/>
  <c r="J31" i="24"/>
  <c r="K30" i="24"/>
  <c r="K27" i="24"/>
  <c r="K25" i="24"/>
  <c r="K24" i="24"/>
  <c r="K23" i="24"/>
  <c r="K22" i="24"/>
  <c r="K21" i="24"/>
  <c r="K20" i="24"/>
  <c r="K19" i="24"/>
  <c r="K10" i="24"/>
  <c r="K9" i="24"/>
  <c r="K55" i="6"/>
  <c r="L57" i="5"/>
  <c r="L55" i="5"/>
  <c r="C46" i="23" s="1"/>
  <c r="L53" i="5"/>
  <c r="L52" i="5"/>
  <c r="L44" i="5"/>
  <c r="C38" i="23" s="1"/>
  <c r="L40" i="5"/>
  <c r="C36" i="23" s="1"/>
  <c r="L37" i="5"/>
  <c r="C35" i="23" s="1"/>
  <c r="L24" i="5"/>
  <c r="L20" i="5"/>
  <c r="L13" i="5"/>
  <c r="C18" i="23" s="1"/>
  <c r="L12" i="5"/>
  <c r="C17" i="23" s="1"/>
  <c r="L9" i="5"/>
  <c r="C14" i="23" s="1"/>
  <c r="L71" i="5"/>
  <c r="C59" i="23" s="1"/>
  <c r="K12" i="17" l="1"/>
  <c r="C419" i="23"/>
  <c r="K74" i="11"/>
  <c r="J74" i="11"/>
  <c r="K61" i="11"/>
  <c r="J61" i="11"/>
  <c r="K48" i="11"/>
  <c r="J48" i="11"/>
  <c r="K35" i="11"/>
  <c r="J35" i="11"/>
  <c r="K22" i="11"/>
  <c r="J22" i="11"/>
  <c r="J9" i="11"/>
  <c r="K9" i="11"/>
  <c r="K8" i="15"/>
  <c r="K56" i="15"/>
  <c r="K6" i="24"/>
  <c r="K6" i="25"/>
  <c r="K6" i="26"/>
  <c r="K6" i="8"/>
  <c r="L11" i="15" l="1"/>
  <c r="L13" i="15"/>
  <c r="L15" i="15"/>
  <c r="L19" i="15"/>
  <c r="C518" i="23" s="1"/>
  <c r="L53" i="15" l="1"/>
  <c r="C545" i="23" s="1"/>
  <c r="L47" i="15"/>
  <c r="L45" i="15"/>
  <c r="L38" i="15"/>
  <c r="L27" i="15"/>
  <c r="L36" i="15"/>
  <c r="L25" i="15"/>
  <c r="L42" i="15"/>
  <c r="C536" i="23" s="1"/>
  <c r="L31" i="15"/>
  <c r="C527" i="23" s="1"/>
  <c r="L49" i="15"/>
  <c r="L34" i="15"/>
  <c r="L23" i="15"/>
  <c r="A43" i="16"/>
  <c r="A9" i="16"/>
  <c r="L9" i="16" s="1"/>
  <c r="C547" i="23" s="1"/>
  <c r="A10" i="16"/>
  <c r="L10" i="16" s="1"/>
  <c r="A11" i="16"/>
  <c r="A12" i="16"/>
  <c r="A13" i="16"/>
  <c r="A14" i="16"/>
  <c r="A15" i="16"/>
  <c r="L15" i="16" s="1"/>
  <c r="C551" i="23" s="1"/>
  <c r="A16" i="16"/>
  <c r="L16" i="16" s="1"/>
  <c r="A17" i="16"/>
  <c r="A18" i="16"/>
  <c r="A19" i="16"/>
  <c r="A20" i="16"/>
  <c r="A21" i="16"/>
  <c r="L21" i="16" s="1"/>
  <c r="C555" i="23" s="1"/>
  <c r="A22" i="16"/>
  <c r="L22" i="16" s="1"/>
  <c r="A23" i="16"/>
  <c r="A24" i="16"/>
  <c r="A25" i="16"/>
  <c r="A26" i="16"/>
  <c r="A27" i="16"/>
  <c r="L27" i="16" s="1"/>
  <c r="C559" i="23" s="1"/>
  <c r="A28" i="16"/>
  <c r="L28" i="16" s="1"/>
  <c r="A29" i="16"/>
  <c r="A30" i="16"/>
  <c r="A31" i="16"/>
  <c r="A32" i="16"/>
  <c r="A33" i="16"/>
  <c r="L33" i="16" s="1"/>
  <c r="C563" i="23" s="1"/>
  <c r="A34" i="16"/>
  <c r="L34" i="16" s="1"/>
  <c r="A35" i="16"/>
  <c r="A36" i="16"/>
  <c r="A37" i="16"/>
  <c r="A38" i="16"/>
  <c r="A39" i="16"/>
  <c r="L39" i="16" s="1"/>
  <c r="C567" i="23" s="1"/>
  <c r="A40" i="16"/>
  <c r="L40" i="16" s="1"/>
  <c r="A41" i="16"/>
  <c r="A42" i="16"/>
  <c r="A8" i="16"/>
  <c r="A35" i="8"/>
  <c r="J35" i="8" s="1"/>
  <c r="A21" i="5" l="1"/>
  <c r="A25" i="5"/>
  <c r="A26" i="5"/>
  <c r="A27" i="5"/>
  <c r="A28" i="5"/>
  <c r="L28" i="5" s="1"/>
  <c r="A29" i="5"/>
  <c r="A30" i="5"/>
  <c r="A45" i="5"/>
  <c r="A46" i="5"/>
  <c r="A47" i="5"/>
  <c r="L47" i="5" s="1"/>
  <c r="A48" i="5"/>
  <c r="A49" i="5"/>
  <c r="A54" i="5"/>
  <c r="L54" i="5" s="1"/>
  <c r="C45" i="23" s="1"/>
  <c r="A58" i="5"/>
  <c r="L58" i="5" s="1"/>
  <c r="A59" i="5"/>
  <c r="A60" i="5"/>
  <c r="A61" i="5"/>
  <c r="L61" i="5" s="1"/>
  <c r="A62" i="5"/>
  <c r="A63" i="5"/>
  <c r="A64" i="5"/>
  <c r="L64" i="5" s="1"/>
  <c r="A65" i="5"/>
  <c r="L65" i="5" s="1"/>
  <c r="A66" i="5"/>
  <c r="A67" i="5"/>
  <c r="A68" i="5"/>
  <c r="A72" i="5"/>
  <c r="A73" i="5"/>
  <c r="A74" i="5"/>
  <c r="L74" i="5" s="1"/>
  <c r="C62" i="23" s="1"/>
  <c r="A75" i="5"/>
  <c r="A76" i="5"/>
  <c r="L76" i="5" s="1"/>
  <c r="N15" i="4"/>
  <c r="O15" i="4"/>
  <c r="K16" i="4"/>
  <c r="J16" i="4"/>
  <c r="N16" i="4" s="1"/>
  <c r="K14" i="4"/>
  <c r="K13" i="4"/>
  <c r="K12" i="4"/>
  <c r="K11" i="4"/>
  <c r="K8" i="4"/>
  <c r="J8" i="4"/>
  <c r="N8" i="4" s="1"/>
  <c r="K10" i="4"/>
  <c r="C5" i="23"/>
  <c r="K9" i="4"/>
  <c r="J9" i="4"/>
  <c r="C3" i="23"/>
  <c r="K7" i="4"/>
  <c r="J7" i="4"/>
  <c r="L8" i="4" s="1"/>
  <c r="C4" i="23" s="1"/>
  <c r="K6" i="4"/>
  <c r="M7" i="4"/>
  <c r="M8" i="4"/>
  <c r="M9" i="4"/>
  <c r="M10" i="4"/>
  <c r="M11" i="4"/>
  <c r="M12" i="4"/>
  <c r="M13" i="4"/>
  <c r="M14" i="4"/>
  <c r="M15" i="4"/>
  <c r="M6" i="4"/>
  <c r="N7" i="4"/>
  <c r="O6" i="4"/>
  <c r="N6" i="4"/>
  <c r="O16" i="4" l="1"/>
  <c r="O8" i="4"/>
  <c r="C2" i="23"/>
  <c r="O7" i="4"/>
  <c r="K67" i="6"/>
  <c r="M9" i="18" l="1"/>
  <c r="M10" i="18"/>
  <c r="M11" i="18"/>
  <c r="M12" i="18"/>
  <c r="M13" i="18"/>
  <c r="M14" i="18"/>
  <c r="M15" i="18"/>
  <c r="M16" i="18"/>
  <c r="M17" i="18"/>
  <c r="M18" i="18"/>
  <c r="M19" i="18"/>
  <c r="M20" i="18"/>
  <c r="M21" i="18"/>
  <c r="M22" i="18"/>
  <c r="M24" i="18"/>
  <c r="M25" i="18"/>
  <c r="M8" i="18"/>
  <c r="J11" i="18"/>
  <c r="N11" i="18" s="1"/>
  <c r="K11" i="18"/>
  <c r="L11" i="18"/>
  <c r="C667" i="23" s="1"/>
  <c r="J12" i="18"/>
  <c r="N12" i="18" s="1"/>
  <c r="K12" i="18"/>
  <c r="L12" i="18"/>
  <c r="C668" i="23" s="1"/>
  <c r="J13" i="18"/>
  <c r="N13" i="18" s="1"/>
  <c r="K13" i="18"/>
  <c r="L13" i="18"/>
  <c r="C669" i="23" s="1"/>
  <c r="J14" i="18"/>
  <c r="N14" i="18" s="1"/>
  <c r="K14" i="18"/>
  <c r="L14" i="18"/>
  <c r="C670" i="23" s="1"/>
  <c r="J15" i="18"/>
  <c r="N15" i="18" s="1"/>
  <c r="K15" i="18"/>
  <c r="L15" i="18"/>
  <c r="C671" i="23" s="1"/>
  <c r="J16" i="18"/>
  <c r="N16" i="18" s="1"/>
  <c r="K16" i="18"/>
  <c r="L16" i="18"/>
  <c r="C672" i="23" s="1"/>
  <c r="J17" i="18"/>
  <c r="K17" i="18"/>
  <c r="L17" i="18"/>
  <c r="C673" i="23" s="1"/>
  <c r="J18" i="18"/>
  <c r="N18" i="18" s="1"/>
  <c r="K18" i="18"/>
  <c r="L18" i="18"/>
  <c r="C674" i="23" s="1"/>
  <c r="J19" i="18"/>
  <c r="N19" i="18" s="1"/>
  <c r="K19" i="18"/>
  <c r="L19" i="18"/>
  <c r="C675" i="23" s="1"/>
  <c r="J20" i="18"/>
  <c r="N20" i="18" s="1"/>
  <c r="K20" i="18"/>
  <c r="L20" i="18"/>
  <c r="C676" i="23" s="1"/>
  <c r="J21" i="18"/>
  <c r="K21" i="18"/>
  <c r="L21" i="18"/>
  <c r="C677" i="23" s="1"/>
  <c r="J22" i="18"/>
  <c r="N22" i="18" s="1"/>
  <c r="K22" i="18"/>
  <c r="L22" i="18"/>
  <c r="C678" i="23" s="1"/>
  <c r="J24" i="18"/>
  <c r="N24" i="18" s="1"/>
  <c r="K24" i="18"/>
  <c r="L24" i="18"/>
  <c r="C680" i="23" s="1"/>
  <c r="J25" i="18"/>
  <c r="N25" i="18" s="1"/>
  <c r="K25" i="18"/>
  <c r="L25" i="18"/>
  <c r="C681" i="23" s="1"/>
  <c r="L10" i="18"/>
  <c r="C666" i="23" s="1"/>
  <c r="K10" i="18"/>
  <c r="J10" i="18"/>
  <c r="N10" i="18" s="1"/>
  <c r="L8" i="18"/>
  <c r="C664" i="23" s="1"/>
  <c r="K8" i="18"/>
  <c r="J8" i="18"/>
  <c r="L9" i="18"/>
  <c r="C665" i="23" s="1"/>
  <c r="K9" i="18"/>
  <c r="J9" i="18"/>
  <c r="N14" i="17"/>
  <c r="O14" i="17"/>
  <c r="N27" i="17"/>
  <c r="O27" i="17"/>
  <c r="N30" i="17"/>
  <c r="O30" i="17"/>
  <c r="N33" i="17"/>
  <c r="O33" i="17"/>
  <c r="N36" i="17"/>
  <c r="O36" i="17"/>
  <c r="N39" i="17"/>
  <c r="O39" i="17"/>
  <c r="N42" i="17"/>
  <c r="O42" i="17"/>
  <c r="N45" i="17"/>
  <c r="O45" i="17"/>
  <c r="N48" i="17"/>
  <c r="O48" i="17"/>
  <c r="N51" i="17"/>
  <c r="O51" i="17"/>
  <c r="N58" i="17"/>
  <c r="O58" i="17"/>
  <c r="N65" i="17"/>
  <c r="O65" i="17"/>
  <c r="N68" i="17"/>
  <c r="O68" i="17"/>
  <c r="N71" i="17"/>
  <c r="O71" i="17"/>
  <c r="N74" i="17"/>
  <c r="O74" i="17"/>
  <c r="N77" i="17"/>
  <c r="O77" i="17"/>
  <c r="N78" i="17"/>
  <c r="N75" i="17"/>
  <c r="N72" i="17"/>
  <c r="N69" i="17"/>
  <c r="N52" i="17"/>
  <c r="N49" i="17"/>
  <c r="N46" i="17"/>
  <c r="N43" i="17"/>
  <c r="N40" i="17"/>
  <c r="N37" i="17"/>
  <c r="N34" i="17"/>
  <c r="N31" i="17"/>
  <c r="N28" i="17"/>
  <c r="C621" i="23"/>
  <c r="N19" i="17"/>
  <c r="L12" i="17"/>
  <c r="C616" i="23" s="1"/>
  <c r="K64" i="17"/>
  <c r="K63" i="17"/>
  <c r="K57" i="17"/>
  <c r="K56" i="17"/>
  <c r="K76" i="17"/>
  <c r="J76" i="17"/>
  <c r="N76" i="17" s="1"/>
  <c r="K73" i="17"/>
  <c r="J73" i="17"/>
  <c r="N73" i="17" s="1"/>
  <c r="K70" i="17"/>
  <c r="J70" i="17"/>
  <c r="N70" i="17" s="1"/>
  <c r="C656" i="23"/>
  <c r="K67" i="17"/>
  <c r="J67" i="17"/>
  <c r="N67" i="17" s="1"/>
  <c r="K62" i="17"/>
  <c r="C650" i="23"/>
  <c r="K60" i="17"/>
  <c r="J60" i="17"/>
  <c r="N60" i="17" s="1"/>
  <c r="K55" i="17"/>
  <c r="C644" i="23"/>
  <c r="K53" i="17"/>
  <c r="J53" i="17"/>
  <c r="N53" i="17" s="1"/>
  <c r="M72" i="17"/>
  <c r="M73" i="17"/>
  <c r="M75" i="17"/>
  <c r="M76" i="17"/>
  <c r="M78" i="17"/>
  <c r="M55" i="17"/>
  <c r="M56" i="17"/>
  <c r="M57" i="17"/>
  <c r="M59" i="17"/>
  <c r="M60" i="17"/>
  <c r="M61" i="17"/>
  <c r="M62" i="17"/>
  <c r="M63" i="17"/>
  <c r="M64" i="17"/>
  <c r="M66" i="17"/>
  <c r="M67" i="17"/>
  <c r="M69" i="17"/>
  <c r="M70" i="17"/>
  <c r="M12" i="17"/>
  <c r="M13" i="17"/>
  <c r="M19" i="17"/>
  <c r="M26" i="17"/>
  <c r="M28" i="17"/>
  <c r="M29" i="17"/>
  <c r="M31" i="17"/>
  <c r="M32" i="17"/>
  <c r="M34" i="17"/>
  <c r="M35" i="17"/>
  <c r="M37" i="17"/>
  <c r="M38" i="17"/>
  <c r="M40" i="17"/>
  <c r="M41" i="17"/>
  <c r="M43" i="17"/>
  <c r="M44" i="17"/>
  <c r="M46" i="17"/>
  <c r="M47" i="17"/>
  <c r="M49" i="17"/>
  <c r="M50" i="17"/>
  <c r="M52" i="17"/>
  <c r="M53" i="17"/>
  <c r="M54" i="17"/>
  <c r="M6" i="17"/>
  <c r="K50" i="17"/>
  <c r="J50" i="17"/>
  <c r="N50" i="17" s="1"/>
  <c r="K47" i="17"/>
  <c r="J47" i="17"/>
  <c r="N47" i="17" s="1"/>
  <c r="K44" i="17"/>
  <c r="J44" i="17"/>
  <c r="N44" i="17" s="1"/>
  <c r="K41" i="17"/>
  <c r="J41" i="17"/>
  <c r="N41" i="17" s="1"/>
  <c r="K38" i="17"/>
  <c r="J38" i="17"/>
  <c r="N38" i="17" s="1"/>
  <c r="K35" i="17"/>
  <c r="J35" i="17"/>
  <c r="N35" i="17" s="1"/>
  <c r="K32" i="17"/>
  <c r="J32" i="17"/>
  <c r="N32" i="17" s="1"/>
  <c r="K29" i="17"/>
  <c r="J29" i="17"/>
  <c r="N29" i="17" s="1"/>
  <c r="K26" i="17"/>
  <c r="J26" i="17"/>
  <c r="N26" i="17" s="1"/>
  <c r="K13" i="17"/>
  <c r="J12" i="17"/>
  <c r="O7" i="17"/>
  <c r="N6" i="17"/>
  <c r="K6" i="17"/>
  <c r="O6" i="17" s="1"/>
  <c r="C504" i="23"/>
  <c r="N58" i="15"/>
  <c r="J56" i="15"/>
  <c r="N56" i="15" s="1"/>
  <c r="K53" i="15"/>
  <c r="J53" i="15"/>
  <c r="N53" i="15" s="1"/>
  <c r="K51" i="15"/>
  <c r="J51" i="15"/>
  <c r="N51" i="15" s="1"/>
  <c r="K50" i="15"/>
  <c r="J50" i="15"/>
  <c r="N50" i="15" s="1"/>
  <c r="K49" i="15"/>
  <c r="J49" i="15"/>
  <c r="N49" i="15" s="1"/>
  <c r="K48" i="15"/>
  <c r="J48" i="15"/>
  <c r="N48" i="15" s="1"/>
  <c r="K47" i="15"/>
  <c r="J47" i="15"/>
  <c r="N47" i="15" s="1"/>
  <c r="K46" i="15"/>
  <c r="J46" i="15"/>
  <c r="N46" i="15" s="1"/>
  <c r="K45" i="15"/>
  <c r="J45" i="15"/>
  <c r="N45" i="15" s="1"/>
  <c r="K42" i="15"/>
  <c r="J42" i="15"/>
  <c r="N42" i="15" s="1"/>
  <c r="K40" i="15"/>
  <c r="J40" i="15"/>
  <c r="N40" i="15" s="1"/>
  <c r="K39" i="15"/>
  <c r="J39" i="15"/>
  <c r="N39" i="15" s="1"/>
  <c r="K38" i="15"/>
  <c r="J38" i="15"/>
  <c r="N38" i="15" s="1"/>
  <c r="K37" i="15"/>
  <c r="J37" i="15"/>
  <c r="N37" i="15" s="1"/>
  <c r="K36" i="15"/>
  <c r="J36" i="15"/>
  <c r="N36" i="15" s="1"/>
  <c r="K35" i="15"/>
  <c r="J35" i="15"/>
  <c r="N35" i="15" s="1"/>
  <c r="K34" i="15"/>
  <c r="J34" i="15"/>
  <c r="K31" i="15"/>
  <c r="J31" i="15"/>
  <c r="N31" i="15" s="1"/>
  <c r="K29" i="15"/>
  <c r="J29" i="15"/>
  <c r="N29" i="15" s="1"/>
  <c r="K28" i="15"/>
  <c r="J28" i="15"/>
  <c r="K27" i="15"/>
  <c r="J27" i="15"/>
  <c r="N27" i="15" s="1"/>
  <c r="K26" i="15"/>
  <c r="J26" i="15"/>
  <c r="N26" i="15" s="1"/>
  <c r="K25" i="15"/>
  <c r="J25" i="15"/>
  <c r="N25" i="15" s="1"/>
  <c r="K24" i="15"/>
  <c r="J24" i="15"/>
  <c r="K23" i="15"/>
  <c r="J23" i="15"/>
  <c r="N23" i="15" s="1"/>
  <c r="N20" i="15"/>
  <c r="O20" i="15"/>
  <c r="N21" i="15"/>
  <c r="O21" i="15"/>
  <c r="N22" i="15"/>
  <c r="O22" i="15"/>
  <c r="N30" i="15"/>
  <c r="O30" i="15"/>
  <c r="N32" i="15"/>
  <c r="O32" i="15"/>
  <c r="N33" i="15"/>
  <c r="O33" i="15"/>
  <c r="N41" i="15"/>
  <c r="O41" i="15"/>
  <c r="N43" i="15"/>
  <c r="O43" i="15"/>
  <c r="N44" i="15"/>
  <c r="O44" i="15"/>
  <c r="N52" i="15"/>
  <c r="O52" i="15"/>
  <c r="N54" i="15"/>
  <c r="O54" i="15"/>
  <c r="N55" i="15"/>
  <c r="O55" i="15"/>
  <c r="N57" i="15"/>
  <c r="O57" i="15"/>
  <c r="K19" i="15"/>
  <c r="K11" i="15"/>
  <c r="K13" i="15"/>
  <c r="K15" i="15"/>
  <c r="K12" i="15"/>
  <c r="K14" i="15"/>
  <c r="K17" i="15"/>
  <c r="K16" i="15"/>
  <c r="M58" i="15"/>
  <c r="M56" i="15"/>
  <c r="M53" i="15"/>
  <c r="M46" i="15"/>
  <c r="M47" i="15"/>
  <c r="M48" i="15"/>
  <c r="M49" i="15"/>
  <c r="M50" i="15"/>
  <c r="M51" i="15"/>
  <c r="M52" i="15"/>
  <c r="M42" i="15"/>
  <c r="M45" i="15"/>
  <c r="M35" i="15"/>
  <c r="M36" i="15"/>
  <c r="M37" i="15"/>
  <c r="M38" i="15"/>
  <c r="M39" i="15"/>
  <c r="M40" i="15"/>
  <c r="M41" i="15"/>
  <c r="M34" i="15"/>
  <c r="M31" i="15"/>
  <c r="M25" i="15"/>
  <c r="M26" i="15"/>
  <c r="M27" i="15"/>
  <c r="M28" i="15"/>
  <c r="M29" i="15"/>
  <c r="M30" i="15"/>
  <c r="M19" i="15"/>
  <c r="M23" i="15"/>
  <c r="M24" i="15"/>
  <c r="M12" i="15"/>
  <c r="M13" i="15"/>
  <c r="M14" i="15"/>
  <c r="M15" i="15"/>
  <c r="M16" i="15"/>
  <c r="M17" i="15"/>
  <c r="M18" i="15"/>
  <c r="M11" i="15"/>
  <c r="M8" i="15"/>
  <c r="N8" i="15"/>
  <c r="O8" i="15"/>
  <c r="C528" i="23"/>
  <c r="L35" i="15"/>
  <c r="C529" i="23" s="1"/>
  <c r="C530" i="23"/>
  <c r="L37" i="15"/>
  <c r="C531" i="23" s="1"/>
  <c r="C532" i="23"/>
  <c r="L39" i="15"/>
  <c r="C533" i="23" s="1"/>
  <c r="L40" i="15"/>
  <c r="C534" i="23" s="1"/>
  <c r="C535" i="23"/>
  <c r="C537" i="23"/>
  <c r="L46" i="15"/>
  <c r="C538" i="23" s="1"/>
  <c r="C539" i="23"/>
  <c r="L48" i="15"/>
  <c r="C540" i="23" s="1"/>
  <c r="C541" i="23"/>
  <c r="L50" i="15"/>
  <c r="C542" i="23" s="1"/>
  <c r="L51" i="15"/>
  <c r="C543" i="23" s="1"/>
  <c r="C544" i="23"/>
  <c r="C519" i="23"/>
  <c r="L24" i="15"/>
  <c r="C520" i="23" s="1"/>
  <c r="C521" i="23"/>
  <c r="L26" i="15"/>
  <c r="C522" i="23" s="1"/>
  <c r="C523" i="23"/>
  <c r="L28" i="15"/>
  <c r="C524" i="23" s="1"/>
  <c r="L29" i="15"/>
  <c r="C525" i="23" s="1"/>
  <c r="C526" i="23"/>
  <c r="O16" i="14"/>
  <c r="N16" i="14"/>
  <c r="O15" i="14"/>
  <c r="N15" i="14"/>
  <c r="O12" i="14"/>
  <c r="N12" i="14"/>
  <c r="O10" i="14"/>
  <c r="N10" i="14"/>
  <c r="O9" i="14"/>
  <c r="N9" i="14"/>
  <c r="K11" i="14"/>
  <c r="K8" i="14"/>
  <c r="J13" i="14"/>
  <c r="K25" i="14"/>
  <c r="K24" i="14"/>
  <c r="K23" i="14"/>
  <c r="K22" i="14"/>
  <c r="K21" i="14"/>
  <c r="K19" i="14"/>
  <c r="K18" i="14"/>
  <c r="M24" i="14"/>
  <c r="M25" i="14"/>
  <c r="M8" i="14"/>
  <c r="M11" i="14"/>
  <c r="M13" i="14"/>
  <c r="M14" i="14"/>
  <c r="M17" i="14"/>
  <c r="M18" i="14"/>
  <c r="M19" i="14"/>
  <c r="M20" i="14"/>
  <c r="M21" i="14"/>
  <c r="M22" i="14"/>
  <c r="M23" i="14"/>
  <c r="M7" i="14"/>
  <c r="C490" i="23"/>
  <c r="K7" i="14"/>
  <c r="J7" i="14"/>
  <c r="N7" i="14" s="1"/>
  <c r="N10" i="13"/>
  <c r="O10" i="13"/>
  <c r="N6" i="13"/>
  <c r="M6" i="13"/>
  <c r="K6" i="13"/>
  <c r="O6" i="13" s="1"/>
  <c r="J11" i="13"/>
  <c r="N11" i="13" s="1"/>
  <c r="K7" i="13"/>
  <c r="K9" i="13"/>
  <c r="K8" i="13"/>
  <c r="M7" i="13"/>
  <c r="M8" i="13"/>
  <c r="M9" i="13"/>
  <c r="M11" i="13"/>
  <c r="N16" i="12"/>
  <c r="O16" i="12"/>
  <c r="N17" i="12"/>
  <c r="O17" i="12"/>
  <c r="N24" i="12"/>
  <c r="O24" i="12"/>
  <c r="N25" i="12"/>
  <c r="O25" i="12"/>
  <c r="N32" i="12"/>
  <c r="O32" i="12"/>
  <c r="N33" i="12"/>
  <c r="O33" i="12"/>
  <c r="K39" i="12"/>
  <c r="J39" i="12"/>
  <c r="N39" i="12" s="1"/>
  <c r="K38" i="12"/>
  <c r="J38" i="12"/>
  <c r="N38" i="12" s="1"/>
  <c r="K37" i="12"/>
  <c r="J37" i="12"/>
  <c r="N37" i="12" s="1"/>
  <c r="K36" i="12"/>
  <c r="J36" i="12"/>
  <c r="N36" i="12" s="1"/>
  <c r="K35" i="12"/>
  <c r="J35" i="12"/>
  <c r="N35" i="12" s="1"/>
  <c r="K34" i="12"/>
  <c r="J34" i="12"/>
  <c r="N34" i="12" s="1"/>
  <c r="K31" i="12"/>
  <c r="J31" i="12"/>
  <c r="N31" i="12" s="1"/>
  <c r="K30" i="12"/>
  <c r="J30" i="12"/>
  <c r="N30" i="12" s="1"/>
  <c r="K29" i="12"/>
  <c r="J29" i="12"/>
  <c r="N29" i="12" s="1"/>
  <c r="K28" i="12"/>
  <c r="J28" i="12"/>
  <c r="N28" i="12" s="1"/>
  <c r="K27" i="12"/>
  <c r="J27" i="12"/>
  <c r="K26" i="12"/>
  <c r="J26" i="12"/>
  <c r="N26" i="12" s="1"/>
  <c r="K23" i="12"/>
  <c r="J23" i="12"/>
  <c r="N23" i="12" s="1"/>
  <c r="K22" i="12"/>
  <c r="J22" i="12"/>
  <c r="N22" i="12" s="1"/>
  <c r="K21" i="12"/>
  <c r="J21" i="12"/>
  <c r="N21" i="12" s="1"/>
  <c r="K20" i="12"/>
  <c r="J20" i="12"/>
  <c r="N20" i="12" s="1"/>
  <c r="K19" i="12"/>
  <c r="J19" i="12"/>
  <c r="N19" i="12" s="1"/>
  <c r="K18" i="12"/>
  <c r="J18" i="12"/>
  <c r="N18" i="12" s="1"/>
  <c r="K15" i="12"/>
  <c r="K14" i="12"/>
  <c r="K13" i="12"/>
  <c r="C465" i="23"/>
  <c r="K7" i="12"/>
  <c r="J7" i="12"/>
  <c r="N7" i="12" s="1"/>
  <c r="M35" i="12"/>
  <c r="M36" i="12"/>
  <c r="M37" i="12"/>
  <c r="M38" i="12"/>
  <c r="M39" i="12"/>
  <c r="M6" i="12"/>
  <c r="M7" i="12"/>
  <c r="M10" i="12"/>
  <c r="M11" i="12"/>
  <c r="M12" i="12"/>
  <c r="M13" i="12"/>
  <c r="M14" i="12"/>
  <c r="M15" i="12"/>
  <c r="K12" i="12"/>
  <c r="K11" i="12"/>
  <c r="K10" i="12"/>
  <c r="O9" i="12"/>
  <c r="O8" i="12"/>
  <c r="N8" i="12"/>
  <c r="N6" i="12"/>
  <c r="C464" i="23"/>
  <c r="K6" i="12"/>
  <c r="O6" i="12" s="1"/>
  <c r="N13" i="16"/>
  <c r="O13" i="16"/>
  <c r="N14" i="16"/>
  <c r="O14" i="16"/>
  <c r="N19" i="16"/>
  <c r="O19" i="16"/>
  <c r="N20" i="16"/>
  <c r="O20" i="16"/>
  <c r="N25" i="16"/>
  <c r="O25" i="16"/>
  <c r="N26" i="16"/>
  <c r="O26" i="16"/>
  <c r="N31" i="16"/>
  <c r="O31" i="16"/>
  <c r="N32" i="16"/>
  <c r="O32" i="16"/>
  <c r="N37" i="16"/>
  <c r="O37" i="16"/>
  <c r="N38" i="16"/>
  <c r="O38" i="16"/>
  <c r="N43" i="16"/>
  <c r="O43" i="16"/>
  <c r="N44" i="16"/>
  <c r="O44" i="16"/>
  <c r="N48" i="16"/>
  <c r="O48" i="16"/>
  <c r="N50" i="16"/>
  <c r="O50" i="16"/>
  <c r="N51" i="16"/>
  <c r="O51" i="16"/>
  <c r="N54" i="16"/>
  <c r="O54" i="16"/>
  <c r="N56" i="16"/>
  <c r="O56" i="16"/>
  <c r="N57" i="16"/>
  <c r="O57" i="16"/>
  <c r="N60" i="16"/>
  <c r="O60" i="16"/>
  <c r="N62" i="16"/>
  <c r="O62" i="16"/>
  <c r="N63" i="16"/>
  <c r="O63" i="16"/>
  <c r="N65" i="16"/>
  <c r="O65" i="16"/>
  <c r="N67" i="16"/>
  <c r="O67" i="16"/>
  <c r="N68" i="16"/>
  <c r="O68" i="16"/>
  <c r="N71" i="16"/>
  <c r="O71" i="16"/>
  <c r="N73" i="16"/>
  <c r="O73" i="16"/>
  <c r="N74" i="16"/>
  <c r="O74" i="16"/>
  <c r="N76" i="16"/>
  <c r="O76" i="16"/>
  <c r="N78" i="16"/>
  <c r="O78" i="16"/>
  <c r="N79" i="16"/>
  <c r="O79" i="16"/>
  <c r="N82" i="16"/>
  <c r="O82" i="16"/>
  <c r="N84" i="16"/>
  <c r="O84" i="16"/>
  <c r="N85" i="16"/>
  <c r="O85" i="16"/>
  <c r="N87" i="16"/>
  <c r="O87" i="16"/>
  <c r="N89" i="16"/>
  <c r="O89" i="16"/>
  <c r="N90" i="16"/>
  <c r="O90" i="16"/>
  <c r="N91" i="16"/>
  <c r="O91" i="16"/>
  <c r="N95" i="16"/>
  <c r="O95" i="16"/>
  <c r="N97" i="16"/>
  <c r="O97" i="16"/>
  <c r="N98" i="16"/>
  <c r="O98" i="16"/>
  <c r="N101" i="16"/>
  <c r="O101" i="16"/>
  <c r="N104" i="16"/>
  <c r="O104" i="16"/>
  <c r="N107" i="16"/>
  <c r="O107" i="16"/>
  <c r="N109" i="16"/>
  <c r="O109" i="16"/>
  <c r="N110" i="16"/>
  <c r="O110" i="16"/>
  <c r="N112" i="16"/>
  <c r="O112" i="16"/>
  <c r="N114" i="16"/>
  <c r="O114" i="16"/>
  <c r="N115" i="16"/>
  <c r="O115" i="16"/>
  <c r="N118" i="16"/>
  <c r="O118" i="16"/>
  <c r="N120" i="16"/>
  <c r="O120" i="16"/>
  <c r="N121" i="16"/>
  <c r="O121" i="16"/>
  <c r="N123" i="16"/>
  <c r="O123" i="16"/>
  <c r="N124" i="16"/>
  <c r="J122" i="16"/>
  <c r="N122" i="16" s="1"/>
  <c r="N113" i="16"/>
  <c r="J111" i="16"/>
  <c r="L103" i="16"/>
  <c r="K103" i="16"/>
  <c r="J103" i="16"/>
  <c r="N103" i="16" s="1"/>
  <c r="N102" i="16"/>
  <c r="J99" i="16"/>
  <c r="N88" i="16"/>
  <c r="J86" i="16"/>
  <c r="N86" i="16" s="1"/>
  <c r="N77" i="16"/>
  <c r="J75" i="16"/>
  <c r="N75" i="16" s="1"/>
  <c r="N66" i="16"/>
  <c r="J64" i="16"/>
  <c r="N55" i="16"/>
  <c r="J52" i="16"/>
  <c r="M116" i="16"/>
  <c r="M117" i="16"/>
  <c r="M119" i="16"/>
  <c r="M122" i="16"/>
  <c r="M124" i="16"/>
  <c r="K100" i="16"/>
  <c r="J100" i="16"/>
  <c r="N100" i="16" s="1"/>
  <c r="K94" i="16"/>
  <c r="K92" i="16"/>
  <c r="J92" i="16"/>
  <c r="K80" i="16"/>
  <c r="J80" i="16"/>
  <c r="K53" i="16"/>
  <c r="J53" i="16"/>
  <c r="N53" i="16" s="1"/>
  <c r="K47" i="16"/>
  <c r="M45" i="16"/>
  <c r="M46" i="16"/>
  <c r="M47" i="16"/>
  <c r="M49" i="16"/>
  <c r="M52" i="16"/>
  <c r="C607" i="23"/>
  <c r="K116" i="16"/>
  <c r="J116" i="16"/>
  <c r="N116" i="16" s="1"/>
  <c r="C602" i="23"/>
  <c r="K105" i="16"/>
  <c r="J105" i="16"/>
  <c r="K69" i="16"/>
  <c r="J69" i="16"/>
  <c r="N69" i="16" s="1"/>
  <c r="K58" i="16"/>
  <c r="J58" i="16"/>
  <c r="N58" i="16" s="1"/>
  <c r="K45" i="16"/>
  <c r="J45" i="16"/>
  <c r="N45" i="16" s="1"/>
  <c r="L42" i="16"/>
  <c r="C570" i="23" s="1"/>
  <c r="K42" i="16"/>
  <c r="J42" i="16"/>
  <c r="N42" i="16" s="1"/>
  <c r="L41" i="16"/>
  <c r="C569" i="23" s="1"/>
  <c r="K41" i="16"/>
  <c r="J41" i="16"/>
  <c r="N41" i="16" s="1"/>
  <c r="C568" i="23"/>
  <c r="K40" i="16"/>
  <c r="J40" i="16"/>
  <c r="N40" i="16" s="1"/>
  <c r="K39" i="16"/>
  <c r="J39" i="16"/>
  <c r="N39" i="16" s="1"/>
  <c r="L36" i="16"/>
  <c r="C566" i="23" s="1"/>
  <c r="K36" i="16"/>
  <c r="J36" i="16"/>
  <c r="N36" i="16" s="1"/>
  <c r="L35" i="16"/>
  <c r="C565" i="23" s="1"/>
  <c r="K35" i="16"/>
  <c r="J35" i="16"/>
  <c r="N35" i="16" s="1"/>
  <c r="C564" i="23"/>
  <c r="K34" i="16"/>
  <c r="J34" i="16"/>
  <c r="K33" i="16"/>
  <c r="J33" i="16"/>
  <c r="N33" i="16" s="1"/>
  <c r="L30" i="16"/>
  <c r="C562" i="23" s="1"/>
  <c r="K30" i="16"/>
  <c r="J30" i="16"/>
  <c r="N30" i="16" s="1"/>
  <c r="L29" i="16"/>
  <c r="C561" i="23" s="1"/>
  <c r="K29" i="16"/>
  <c r="J29" i="16"/>
  <c r="N29" i="16" s="1"/>
  <c r="C560" i="23"/>
  <c r="K28" i="16"/>
  <c r="J28" i="16"/>
  <c r="N28" i="16" s="1"/>
  <c r="K27" i="16"/>
  <c r="J27" i="16"/>
  <c r="N27" i="16" s="1"/>
  <c r="L24" i="16"/>
  <c r="C558" i="23" s="1"/>
  <c r="K24" i="16"/>
  <c r="J24" i="16"/>
  <c r="N24" i="16" s="1"/>
  <c r="L23" i="16"/>
  <c r="C557" i="23" s="1"/>
  <c r="K23" i="16"/>
  <c r="J23" i="16"/>
  <c r="N23" i="16" s="1"/>
  <c r="C556" i="23"/>
  <c r="K22" i="16"/>
  <c r="J22" i="16"/>
  <c r="K21" i="16"/>
  <c r="J21" i="16"/>
  <c r="N21" i="16" s="1"/>
  <c r="L18" i="16"/>
  <c r="C554" i="23" s="1"/>
  <c r="K18" i="16"/>
  <c r="J18" i="16"/>
  <c r="N18" i="16" s="1"/>
  <c r="L17" i="16"/>
  <c r="C553" i="23" s="1"/>
  <c r="K17" i="16"/>
  <c r="J17" i="16"/>
  <c r="N17" i="16" s="1"/>
  <c r="C552" i="23"/>
  <c r="K16" i="16"/>
  <c r="J16" i="16"/>
  <c r="N16" i="16" s="1"/>
  <c r="K15" i="16"/>
  <c r="J15" i="16"/>
  <c r="N15" i="16" s="1"/>
  <c r="J9" i="16"/>
  <c r="N9" i="16" s="1"/>
  <c r="C546" i="23"/>
  <c r="K6" i="16"/>
  <c r="O6" i="16" s="1"/>
  <c r="K9" i="16"/>
  <c r="M9" i="16"/>
  <c r="M10" i="16"/>
  <c r="M11" i="16"/>
  <c r="M12" i="16"/>
  <c r="M15" i="16"/>
  <c r="M16" i="16"/>
  <c r="M17" i="16"/>
  <c r="M18" i="16"/>
  <c r="M21" i="16"/>
  <c r="M22" i="16"/>
  <c r="M23" i="16"/>
  <c r="M24" i="16"/>
  <c r="M27" i="16"/>
  <c r="M28" i="16"/>
  <c r="M29" i="16"/>
  <c r="M30" i="16"/>
  <c r="M33" i="16"/>
  <c r="M34" i="16"/>
  <c r="M35" i="16"/>
  <c r="M36" i="16"/>
  <c r="M39" i="16"/>
  <c r="M40" i="16"/>
  <c r="M41" i="16"/>
  <c r="M42" i="16"/>
  <c r="M53" i="16"/>
  <c r="M55" i="16"/>
  <c r="M58" i="16"/>
  <c r="M59" i="16"/>
  <c r="M61" i="16"/>
  <c r="M64" i="16"/>
  <c r="M66" i="16"/>
  <c r="M69" i="16"/>
  <c r="M70" i="16"/>
  <c r="M72" i="16"/>
  <c r="M75" i="16"/>
  <c r="M77" i="16"/>
  <c r="M80" i="16"/>
  <c r="M81" i="16"/>
  <c r="M83" i="16"/>
  <c r="M86" i="16"/>
  <c r="M88" i="16"/>
  <c r="M92" i="16"/>
  <c r="M93" i="16"/>
  <c r="M94" i="16"/>
  <c r="M96" i="16"/>
  <c r="M99" i="16"/>
  <c r="M102" i="16"/>
  <c r="M103" i="16"/>
  <c r="M105" i="16"/>
  <c r="M106" i="16"/>
  <c r="M108" i="16"/>
  <c r="M111" i="16"/>
  <c r="M113" i="16"/>
  <c r="M6" i="16"/>
  <c r="L12" i="16"/>
  <c r="C550" i="23" s="1"/>
  <c r="K12" i="16"/>
  <c r="J12" i="16"/>
  <c r="N12" i="16" s="1"/>
  <c r="L11" i="16"/>
  <c r="C549" i="23" s="1"/>
  <c r="K11" i="16"/>
  <c r="J11" i="16"/>
  <c r="C548" i="23"/>
  <c r="K10" i="16"/>
  <c r="J10" i="16"/>
  <c r="O8" i="16"/>
  <c r="N8" i="16"/>
  <c r="N6" i="16"/>
  <c r="N7" i="5"/>
  <c r="J8" i="5"/>
  <c r="L10" i="5"/>
  <c r="C15" i="23" s="1"/>
  <c r="K10" i="5"/>
  <c r="J10" i="5"/>
  <c r="L11" i="5"/>
  <c r="C16" i="23" s="1"/>
  <c r="K11" i="5"/>
  <c r="J11" i="5"/>
  <c r="L15" i="5"/>
  <c r="C20" i="23" s="1"/>
  <c r="K15" i="5"/>
  <c r="J15" i="5"/>
  <c r="L14" i="5"/>
  <c r="C19" i="23" s="1"/>
  <c r="K14" i="5"/>
  <c r="J14" i="5"/>
  <c r="L17" i="5"/>
  <c r="C22" i="23" s="1"/>
  <c r="K17" i="5"/>
  <c r="J17" i="5"/>
  <c r="K21" i="5"/>
  <c r="J21" i="5"/>
  <c r="K25" i="5"/>
  <c r="K26" i="5"/>
  <c r="K27" i="5"/>
  <c r="K30" i="5"/>
  <c r="J30" i="5"/>
  <c r="K29" i="5"/>
  <c r="L35" i="5"/>
  <c r="C33" i="23" s="1"/>
  <c r="K35" i="5"/>
  <c r="J35" i="5"/>
  <c r="L36" i="5"/>
  <c r="C34" i="23" s="1"/>
  <c r="K36" i="5"/>
  <c r="J36" i="5"/>
  <c r="L41" i="5"/>
  <c r="C37" i="23" s="1"/>
  <c r="K41" i="5"/>
  <c r="J41" i="5"/>
  <c r="K46" i="5"/>
  <c r="K45" i="5"/>
  <c r="J49" i="5"/>
  <c r="K59" i="5"/>
  <c r="K60" i="5"/>
  <c r="K62" i="5"/>
  <c r="K63" i="5"/>
  <c r="K66" i="5"/>
  <c r="K67" i="5"/>
  <c r="J67" i="5"/>
  <c r="K68" i="5"/>
  <c r="J68" i="5"/>
  <c r="K72" i="5"/>
  <c r="K73" i="5"/>
  <c r="K75" i="5"/>
  <c r="K76" i="5"/>
  <c r="K74" i="5"/>
  <c r="K71" i="5"/>
  <c r="J71" i="5"/>
  <c r="K65" i="5"/>
  <c r="K64" i="5"/>
  <c r="K61" i="5"/>
  <c r="C47" i="23"/>
  <c r="K57" i="5"/>
  <c r="J57" i="5"/>
  <c r="K58" i="5"/>
  <c r="K55" i="5"/>
  <c r="J55" i="5"/>
  <c r="K54" i="5"/>
  <c r="J54" i="5"/>
  <c r="C44" i="23"/>
  <c r="K53" i="5"/>
  <c r="J53" i="5"/>
  <c r="C43" i="23"/>
  <c r="K52" i="5"/>
  <c r="J52" i="5"/>
  <c r="K47" i="5"/>
  <c r="K44" i="5"/>
  <c r="J44" i="5"/>
  <c r="K40" i="5"/>
  <c r="J40" i="5"/>
  <c r="K37" i="5"/>
  <c r="J37" i="5"/>
  <c r="K28" i="5"/>
  <c r="K24" i="5"/>
  <c r="J24" i="5"/>
  <c r="K20" i="5"/>
  <c r="J20" i="5"/>
  <c r="K13" i="5"/>
  <c r="J13" i="5"/>
  <c r="K12" i="5"/>
  <c r="J12" i="5"/>
  <c r="K9" i="5"/>
  <c r="J9" i="5"/>
  <c r="K77" i="6"/>
  <c r="K75" i="6"/>
  <c r="K74" i="6"/>
  <c r="K70" i="6"/>
  <c r="K69" i="6"/>
  <c r="K68" i="6"/>
  <c r="K65" i="6"/>
  <c r="K64" i="6"/>
  <c r="K62" i="6"/>
  <c r="K61" i="6"/>
  <c r="K48" i="6"/>
  <c r="K47" i="6"/>
  <c r="K42" i="6"/>
  <c r="K41" i="6"/>
  <c r="K36" i="6"/>
  <c r="K35" i="6"/>
  <c r="K33" i="6"/>
  <c r="K32" i="6"/>
  <c r="K31" i="6"/>
  <c r="K27" i="6"/>
  <c r="J27" i="6"/>
  <c r="J10" i="6"/>
  <c r="K78" i="6"/>
  <c r="K76" i="6"/>
  <c r="K73" i="6"/>
  <c r="K66" i="6"/>
  <c r="K63" i="6"/>
  <c r="K60" i="6"/>
  <c r="K59" i="6"/>
  <c r="K57" i="6"/>
  <c r="J57" i="6"/>
  <c r="K56" i="6"/>
  <c r="K54" i="6"/>
  <c r="K49" i="6"/>
  <c r="K46" i="6"/>
  <c r="K43" i="6"/>
  <c r="K34" i="6"/>
  <c r="K30" i="6"/>
  <c r="K26" i="6"/>
  <c r="K8" i="6"/>
  <c r="K19" i="6"/>
  <c r="K18" i="6"/>
  <c r="K23" i="6"/>
  <c r="K21" i="6"/>
  <c r="K20" i="6"/>
  <c r="K17" i="6"/>
  <c r="K16" i="6"/>
  <c r="K15" i="6"/>
  <c r="K9" i="8"/>
  <c r="K10" i="8"/>
  <c r="L84" i="11"/>
  <c r="C463" i="23" s="1"/>
  <c r="L83" i="11"/>
  <c r="C462" i="23" s="1"/>
  <c r="L82" i="11"/>
  <c r="C461" i="23" s="1"/>
  <c r="L81" i="11"/>
  <c r="C460" i="23" s="1"/>
  <c r="L80" i="11"/>
  <c r="C459" i="23" s="1"/>
  <c r="L76" i="11"/>
  <c r="C457" i="23" s="1"/>
  <c r="L75" i="11"/>
  <c r="C456" i="23" s="1"/>
  <c r="L71" i="11"/>
  <c r="C454" i="23" s="1"/>
  <c r="L70" i="11"/>
  <c r="C453" i="23" s="1"/>
  <c r="L69" i="11"/>
  <c r="C452" i="23" s="1"/>
  <c r="L68" i="11"/>
  <c r="C451" i="23" s="1"/>
  <c r="L67" i="11"/>
  <c r="C450" i="23" s="1"/>
  <c r="L63" i="11"/>
  <c r="C448" i="23" s="1"/>
  <c r="L62" i="11"/>
  <c r="C447" i="23" s="1"/>
  <c r="L58" i="11"/>
  <c r="C445" i="23" s="1"/>
  <c r="L57" i="11"/>
  <c r="C444" i="23" s="1"/>
  <c r="L56" i="11"/>
  <c r="C443" i="23" s="1"/>
  <c r="L55" i="11"/>
  <c r="C442" i="23" s="1"/>
  <c r="L54" i="11"/>
  <c r="C441" i="23" s="1"/>
  <c r="L50" i="11"/>
  <c r="C439" i="23" s="1"/>
  <c r="L49" i="11"/>
  <c r="C438" i="23" s="1"/>
  <c r="L45" i="11"/>
  <c r="C436" i="23" s="1"/>
  <c r="L44" i="11"/>
  <c r="C435" i="23" s="1"/>
  <c r="L43" i="11"/>
  <c r="C434" i="23" s="1"/>
  <c r="L42" i="11"/>
  <c r="C433" i="23" s="1"/>
  <c r="L41" i="11"/>
  <c r="C432" i="23" s="1"/>
  <c r="L37" i="11"/>
  <c r="C430" i="23" s="1"/>
  <c r="L36" i="11"/>
  <c r="C429" i="23" s="1"/>
  <c r="L32" i="11"/>
  <c r="C427" i="23" s="1"/>
  <c r="L31" i="11"/>
  <c r="C426" i="23" s="1"/>
  <c r="L30" i="11"/>
  <c r="C425" i="23" s="1"/>
  <c r="L29" i="11"/>
  <c r="C424" i="23" s="1"/>
  <c r="L28" i="11"/>
  <c r="C423" i="23" s="1"/>
  <c r="L24" i="11"/>
  <c r="C421" i="23" s="1"/>
  <c r="L23" i="11"/>
  <c r="C420" i="23" s="1"/>
  <c r="L10" i="11"/>
  <c r="C411" i="23" s="1"/>
  <c r="L11" i="11"/>
  <c r="C412" i="23" s="1"/>
  <c r="L19" i="11"/>
  <c r="C418" i="23" s="1"/>
  <c r="L18" i="11"/>
  <c r="C417" i="23" s="1"/>
  <c r="L17" i="11"/>
  <c r="C416" i="23" s="1"/>
  <c r="L16" i="11"/>
  <c r="C415" i="23" s="1"/>
  <c r="L15" i="11"/>
  <c r="C414" i="23" s="1"/>
  <c r="L32" i="10"/>
  <c r="C409" i="23" s="1"/>
  <c r="L29" i="10"/>
  <c r="C408" i="23" s="1"/>
  <c r="L28" i="10"/>
  <c r="C407" i="23" s="1"/>
  <c r="L27" i="10"/>
  <c r="C406" i="23" s="1"/>
  <c r="L11" i="10"/>
  <c r="C394" i="23" s="1"/>
  <c r="L12" i="10"/>
  <c r="C395" i="23" s="1"/>
  <c r="L13" i="10"/>
  <c r="C396" i="23" s="1"/>
  <c r="L14" i="10"/>
  <c r="C397" i="23" s="1"/>
  <c r="L15" i="10"/>
  <c r="C398" i="23" s="1"/>
  <c r="O26" i="17" l="1"/>
  <c r="O12" i="17"/>
  <c r="N12" i="17"/>
  <c r="O7" i="12"/>
  <c r="O41" i="17"/>
  <c r="O103" i="16"/>
  <c r="O35" i="16"/>
  <c r="O69" i="17"/>
  <c r="O22" i="18"/>
  <c r="O14" i="18"/>
  <c r="O13" i="18"/>
  <c r="O27" i="12"/>
  <c r="O17" i="18"/>
  <c r="O9" i="18"/>
  <c r="O8" i="18"/>
  <c r="O111" i="16"/>
  <c r="O64" i="16"/>
  <c r="O15" i="16"/>
  <c r="O49" i="17"/>
  <c r="O23" i="16"/>
  <c r="O21" i="18"/>
  <c r="N21" i="18"/>
  <c r="O99" i="16"/>
  <c r="O39" i="16"/>
  <c r="O75" i="17"/>
  <c r="O19" i="17"/>
  <c r="O18" i="18"/>
  <c r="O67" i="17"/>
  <c r="N17" i="18"/>
  <c r="O29" i="17"/>
  <c r="O37" i="17"/>
  <c r="O27" i="16"/>
  <c r="O10" i="18"/>
  <c r="N111" i="16"/>
  <c r="O105" i="16"/>
  <c r="N64" i="16"/>
  <c r="O52" i="16"/>
  <c r="N22" i="16"/>
  <c r="O22" i="16"/>
  <c r="N34" i="16"/>
  <c r="O34" i="16"/>
  <c r="O92" i="16"/>
  <c r="N92" i="16"/>
  <c r="O124" i="16"/>
  <c r="O116" i="16"/>
  <c r="N99" i="16"/>
  <c r="O86" i="16"/>
  <c r="O77" i="16"/>
  <c r="O69" i="16"/>
  <c r="N52" i="16"/>
  <c r="O25" i="18"/>
  <c r="O20" i="18"/>
  <c r="O16" i="18"/>
  <c r="O12" i="18"/>
  <c r="O102" i="16"/>
  <c r="O55" i="16"/>
  <c r="O42" i="16"/>
  <c r="O30" i="16"/>
  <c r="O18" i="16"/>
  <c r="O78" i="17"/>
  <c r="O70" i="17"/>
  <c r="O60" i="17"/>
  <c r="O52" i="17"/>
  <c r="O44" i="17"/>
  <c r="O40" i="17"/>
  <c r="O32" i="17"/>
  <c r="O28" i="17"/>
  <c r="O24" i="18"/>
  <c r="O19" i="18"/>
  <c r="O15" i="18"/>
  <c r="O11" i="18"/>
  <c r="N8" i="5"/>
  <c r="O41" i="16"/>
  <c r="O33" i="16"/>
  <c r="O29" i="16"/>
  <c r="O21" i="16"/>
  <c r="O17" i="16"/>
  <c r="O73" i="17"/>
  <c r="O53" i="17"/>
  <c r="O47" i="17"/>
  <c r="O43" i="17"/>
  <c r="O35" i="17"/>
  <c r="O31" i="17"/>
  <c r="O80" i="16"/>
  <c r="O122" i="16"/>
  <c r="O88" i="16"/>
  <c r="O75" i="16"/>
  <c r="O113" i="16"/>
  <c r="O100" i="16"/>
  <c r="O66" i="16"/>
  <c r="O53" i="16"/>
  <c r="O40" i="16"/>
  <c r="O36" i="16"/>
  <c r="O28" i="16"/>
  <c r="O24" i="16"/>
  <c r="O16" i="16"/>
  <c r="O12" i="16"/>
  <c r="O7" i="14"/>
  <c r="O76" i="17"/>
  <c r="O72" i="17"/>
  <c r="O50" i="17"/>
  <c r="O46" i="17"/>
  <c r="O38" i="17"/>
  <c r="O34" i="17"/>
  <c r="O42" i="15"/>
  <c r="O47" i="15"/>
  <c r="O48" i="15"/>
  <c r="O56" i="15"/>
  <c r="O45" i="15"/>
  <c r="O49" i="15"/>
  <c r="O24" i="15"/>
  <c r="O28" i="15"/>
  <c r="O34" i="15"/>
  <c r="O38" i="15"/>
  <c r="O35" i="15"/>
  <c r="O23" i="15"/>
  <c r="O51" i="15"/>
  <c r="O31" i="15"/>
  <c r="O39" i="15"/>
  <c r="O29" i="15"/>
  <c r="O37" i="15"/>
  <c r="O53" i="15"/>
  <c r="N28" i="15"/>
  <c r="O27" i="15"/>
  <c r="O36" i="15"/>
  <c r="O40" i="15"/>
  <c r="O26" i="15"/>
  <c r="O25" i="15"/>
  <c r="N34" i="15"/>
  <c r="O58" i="15"/>
  <c r="N9" i="18"/>
  <c r="N8" i="18"/>
  <c r="O13" i="17"/>
  <c r="N7" i="17"/>
  <c r="N13" i="17"/>
  <c r="O50" i="15"/>
  <c r="O46" i="15"/>
  <c r="N24" i="15"/>
  <c r="O13" i="14"/>
  <c r="N13" i="14"/>
  <c r="O11" i="13"/>
  <c r="O35" i="12"/>
  <c r="N27" i="12"/>
  <c r="O39" i="12"/>
  <c r="O37" i="12"/>
  <c r="O31" i="12"/>
  <c r="O29" i="12"/>
  <c r="O23" i="12"/>
  <c r="O21" i="12"/>
  <c r="O19" i="12"/>
  <c r="O38" i="12"/>
  <c r="O36" i="12"/>
  <c r="O34" i="12"/>
  <c r="O30" i="12"/>
  <c r="O28" i="12"/>
  <c r="O26" i="12"/>
  <c r="O22" i="12"/>
  <c r="O20" i="12"/>
  <c r="O18" i="12"/>
  <c r="N9" i="12"/>
  <c r="N105" i="16"/>
  <c r="N80" i="16"/>
  <c r="O58" i="16"/>
  <c r="O45" i="16"/>
  <c r="O9" i="16"/>
  <c r="O10" i="16"/>
  <c r="O11" i="16"/>
  <c r="N11" i="16"/>
  <c r="N10" i="16"/>
  <c r="K84" i="11"/>
  <c r="J84" i="11"/>
  <c r="K83" i="11"/>
  <c r="J83" i="11"/>
  <c r="K82" i="11"/>
  <c r="J82" i="11"/>
  <c r="K81" i="11"/>
  <c r="J81" i="11"/>
  <c r="K80" i="11"/>
  <c r="J80" i="11"/>
  <c r="K79" i="11"/>
  <c r="J79" i="11"/>
  <c r="K76" i="11"/>
  <c r="J76" i="11"/>
  <c r="K75" i="11"/>
  <c r="J75" i="11"/>
  <c r="K71" i="11"/>
  <c r="J71" i="11"/>
  <c r="K70" i="11"/>
  <c r="J70" i="11"/>
  <c r="K69" i="11"/>
  <c r="J69" i="11"/>
  <c r="K68" i="11"/>
  <c r="J68" i="11"/>
  <c r="K67" i="11"/>
  <c r="J67" i="11"/>
  <c r="K66" i="11"/>
  <c r="J66" i="11"/>
  <c r="K63" i="11"/>
  <c r="J63" i="11"/>
  <c r="K62" i="11"/>
  <c r="J62" i="11"/>
  <c r="K58" i="11"/>
  <c r="J58" i="11"/>
  <c r="K57" i="11"/>
  <c r="J57" i="11"/>
  <c r="K56" i="11"/>
  <c r="J56" i="11"/>
  <c r="K55" i="11"/>
  <c r="J55" i="11"/>
  <c r="K54" i="11"/>
  <c r="J54" i="11"/>
  <c r="K53" i="11"/>
  <c r="J53" i="11"/>
  <c r="K50" i="11"/>
  <c r="J50" i="11"/>
  <c r="K49" i="11"/>
  <c r="J49" i="11"/>
  <c r="K45" i="11"/>
  <c r="J45" i="11"/>
  <c r="K44" i="11"/>
  <c r="J44" i="11"/>
  <c r="K43" i="11"/>
  <c r="J43" i="11"/>
  <c r="K42" i="11"/>
  <c r="J42" i="11"/>
  <c r="K41" i="11"/>
  <c r="J41" i="11"/>
  <c r="K40" i="11"/>
  <c r="J40" i="11"/>
  <c r="K37" i="11"/>
  <c r="J37" i="11"/>
  <c r="K36" i="11"/>
  <c r="J36" i="11"/>
  <c r="K32" i="11"/>
  <c r="J32" i="11"/>
  <c r="K31" i="11"/>
  <c r="J31" i="11"/>
  <c r="K30" i="11"/>
  <c r="J30" i="11"/>
  <c r="K29" i="11"/>
  <c r="J29" i="11"/>
  <c r="K28" i="11"/>
  <c r="J28" i="11"/>
  <c r="K27" i="11"/>
  <c r="J27" i="11"/>
  <c r="K24" i="11"/>
  <c r="J24" i="11"/>
  <c r="K23" i="11"/>
  <c r="J23" i="11"/>
  <c r="K10" i="11"/>
  <c r="J16" i="11"/>
  <c r="K16" i="11"/>
  <c r="J17" i="11"/>
  <c r="K17" i="11"/>
  <c r="J18" i="11"/>
  <c r="K18" i="11"/>
  <c r="J19" i="11"/>
  <c r="K19" i="11"/>
  <c r="K15" i="11"/>
  <c r="J15" i="11"/>
  <c r="K14" i="11"/>
  <c r="J14" i="11"/>
  <c r="K11" i="11"/>
  <c r="J11" i="11"/>
  <c r="J10" i="11"/>
  <c r="N4" i="18" l="1"/>
  <c r="O4" i="18"/>
  <c r="K19" i="10"/>
  <c r="K18" i="10"/>
  <c r="K10" i="10"/>
  <c r="K7" i="10"/>
  <c r="N16" i="10"/>
  <c r="O16" i="10"/>
  <c r="N17" i="10"/>
  <c r="O17" i="10"/>
  <c r="N25" i="10"/>
  <c r="O25" i="10"/>
  <c r="N30" i="10"/>
  <c r="O30" i="10"/>
  <c r="N31" i="10"/>
  <c r="O31" i="10"/>
  <c r="N8" i="10"/>
  <c r="O8" i="10"/>
  <c r="N9" i="10"/>
  <c r="O9" i="10"/>
  <c r="J32" i="10"/>
  <c r="N32" i="10" s="1"/>
  <c r="J26" i="10"/>
  <c r="N26" i="10" s="1"/>
  <c r="J29" i="10"/>
  <c r="N29" i="10" s="1"/>
  <c r="J28" i="10"/>
  <c r="N28" i="10" s="1"/>
  <c r="J27" i="10"/>
  <c r="N27" i="10" s="1"/>
  <c r="J21" i="10"/>
  <c r="N21" i="10" s="1"/>
  <c r="J18" i="10"/>
  <c r="J11" i="10"/>
  <c r="J12" i="10"/>
  <c r="N12" i="10" s="1"/>
  <c r="J13" i="10"/>
  <c r="N13" i="10" s="1"/>
  <c r="J14" i="10"/>
  <c r="N14" i="10" s="1"/>
  <c r="J15" i="10"/>
  <c r="N15" i="10" s="1"/>
  <c r="J10" i="10"/>
  <c r="K4" i="18" l="1"/>
  <c r="B18" i="22" s="1"/>
  <c r="O10" i="10"/>
  <c r="N11" i="10"/>
  <c r="N10" i="10"/>
  <c r="N18" i="10"/>
  <c r="O18" i="10"/>
  <c r="O79" i="11"/>
  <c r="O76" i="11"/>
  <c r="O66" i="11"/>
  <c r="O53" i="11"/>
  <c r="O41" i="11"/>
  <c r="O40" i="11"/>
  <c r="O36" i="11"/>
  <c r="O17" i="11"/>
  <c r="N15" i="11"/>
  <c r="O31" i="11"/>
  <c r="N30" i="11"/>
  <c r="O30" i="11"/>
  <c r="N23" i="11"/>
  <c r="N61" i="11"/>
  <c r="N35" i="11"/>
  <c r="N22" i="11"/>
  <c r="N17" i="11"/>
  <c r="N9" i="11"/>
  <c r="N10" i="11"/>
  <c r="O10" i="11"/>
  <c r="N11" i="11"/>
  <c r="O11" i="11"/>
  <c r="N12" i="11"/>
  <c r="O12" i="11"/>
  <c r="N13" i="11"/>
  <c r="O13" i="11"/>
  <c r="N14" i="11"/>
  <c r="O14" i="11"/>
  <c r="N16" i="11"/>
  <c r="O16" i="11"/>
  <c r="N18" i="11"/>
  <c r="N19" i="11"/>
  <c r="O19" i="11"/>
  <c r="N20" i="11"/>
  <c r="O20" i="11"/>
  <c r="N21" i="11"/>
  <c r="O21" i="11"/>
  <c r="O23" i="11"/>
  <c r="N24" i="11"/>
  <c r="O24" i="11"/>
  <c r="N25" i="11"/>
  <c r="O25" i="11"/>
  <c r="N26" i="11"/>
  <c r="O26" i="11"/>
  <c r="N27" i="11"/>
  <c r="O27" i="11"/>
  <c r="N28" i="11"/>
  <c r="O28" i="11"/>
  <c r="N29" i="11"/>
  <c r="O29" i="11"/>
  <c r="N31" i="11"/>
  <c r="N32" i="11"/>
  <c r="O32" i="11"/>
  <c r="N33" i="11"/>
  <c r="O33" i="11"/>
  <c r="N34" i="11"/>
  <c r="O34" i="11"/>
  <c r="N36" i="11"/>
  <c r="N37" i="11"/>
  <c r="O37" i="11"/>
  <c r="N38" i="11"/>
  <c r="O38" i="11"/>
  <c r="N39" i="11"/>
  <c r="O39" i="11"/>
  <c r="N40" i="11"/>
  <c r="N41" i="11"/>
  <c r="N42" i="11"/>
  <c r="O42" i="11"/>
  <c r="N44" i="11"/>
  <c r="O44" i="11"/>
  <c r="N46" i="11"/>
  <c r="O46" i="11"/>
  <c r="N47" i="11"/>
  <c r="O47" i="11"/>
  <c r="N48" i="11"/>
  <c r="O48" i="11"/>
  <c r="N49" i="11"/>
  <c r="O49" i="11"/>
  <c r="N50" i="11"/>
  <c r="O50" i="11"/>
  <c r="N51" i="11"/>
  <c r="O51" i="11"/>
  <c r="N52" i="11"/>
  <c r="O52" i="11"/>
  <c r="N53" i="11"/>
  <c r="N54" i="11"/>
  <c r="O54" i="11"/>
  <c r="N55" i="11"/>
  <c r="O55" i="11"/>
  <c r="N59" i="11"/>
  <c r="O59" i="11"/>
  <c r="N60" i="11"/>
  <c r="O60" i="11"/>
  <c r="N62" i="11"/>
  <c r="O62" i="11"/>
  <c r="N63" i="11"/>
  <c r="O63" i="11"/>
  <c r="N64" i="11"/>
  <c r="O64" i="11"/>
  <c r="N65" i="11"/>
  <c r="O65" i="11"/>
  <c r="N66" i="11"/>
  <c r="N68" i="11"/>
  <c r="O68" i="11"/>
  <c r="N72" i="11"/>
  <c r="O72" i="11"/>
  <c r="N73" i="11"/>
  <c r="O73" i="11"/>
  <c r="N74" i="11"/>
  <c r="O74" i="11"/>
  <c r="N75" i="11"/>
  <c r="O75" i="11"/>
  <c r="N76" i="11"/>
  <c r="N77" i="11"/>
  <c r="O77" i="11"/>
  <c r="N78" i="11"/>
  <c r="O78" i="11"/>
  <c r="N79" i="11"/>
  <c r="N81" i="11"/>
  <c r="O81" i="11"/>
  <c r="N84" i="11"/>
  <c r="N8" i="11"/>
  <c r="O8" i="11"/>
  <c r="M34" i="12"/>
  <c r="M31" i="12"/>
  <c r="M30" i="12"/>
  <c r="M29" i="12"/>
  <c r="M28" i="12"/>
  <c r="M27" i="12"/>
  <c r="M26" i="12"/>
  <c r="M23" i="12"/>
  <c r="M22" i="12"/>
  <c r="M21" i="12"/>
  <c r="M20" i="12"/>
  <c r="M19" i="12"/>
  <c r="M18" i="12"/>
  <c r="M10" i="11"/>
  <c r="M11" i="11"/>
  <c r="M14" i="11"/>
  <c r="M15" i="11"/>
  <c r="M16" i="11"/>
  <c r="M17" i="11"/>
  <c r="M18" i="11"/>
  <c r="M19" i="11"/>
  <c r="M22" i="11"/>
  <c r="M23" i="11"/>
  <c r="M24" i="11"/>
  <c r="M27" i="11"/>
  <c r="M28" i="11"/>
  <c r="M29" i="11"/>
  <c r="M30" i="11"/>
  <c r="M31" i="11"/>
  <c r="M32" i="11"/>
  <c r="M35" i="11"/>
  <c r="M36" i="11"/>
  <c r="M37" i="11"/>
  <c r="M40" i="11"/>
  <c r="M41" i="11"/>
  <c r="M42" i="11"/>
  <c r="M43" i="11"/>
  <c r="M44" i="11"/>
  <c r="M45" i="11"/>
  <c r="M48" i="11"/>
  <c r="M49" i="11"/>
  <c r="M50" i="11"/>
  <c r="M53" i="11"/>
  <c r="M54" i="11"/>
  <c r="M55" i="11"/>
  <c r="M56" i="11"/>
  <c r="M57" i="11"/>
  <c r="M58" i="11"/>
  <c r="M61" i="11"/>
  <c r="M62" i="11"/>
  <c r="M63" i="11"/>
  <c r="M66" i="11"/>
  <c r="M67" i="11"/>
  <c r="M68" i="11"/>
  <c r="M69" i="11"/>
  <c r="M70" i="11"/>
  <c r="M71" i="11"/>
  <c r="M74" i="11"/>
  <c r="M75" i="11"/>
  <c r="M76" i="11"/>
  <c r="M79" i="11"/>
  <c r="M80" i="11"/>
  <c r="M81" i="11"/>
  <c r="M82" i="11"/>
  <c r="M83" i="11"/>
  <c r="M84" i="11"/>
  <c r="M9" i="11"/>
  <c r="K32" i="10"/>
  <c r="O32" i="10" s="1"/>
  <c r="K29" i="10"/>
  <c r="O29" i="10" s="1"/>
  <c r="K28" i="10"/>
  <c r="O28" i="10" s="1"/>
  <c r="K27" i="10"/>
  <c r="O27" i="10" s="1"/>
  <c r="K24" i="10"/>
  <c r="K23" i="10"/>
  <c r="K22" i="10"/>
  <c r="K21" i="10"/>
  <c r="O21" i="10" s="1"/>
  <c r="K20" i="10"/>
  <c r="K15" i="10"/>
  <c r="O15" i="10" s="1"/>
  <c r="K14" i="10"/>
  <c r="O14" i="10" s="1"/>
  <c r="K13" i="10"/>
  <c r="O13" i="10" s="1"/>
  <c r="K12" i="10"/>
  <c r="O12" i="10" s="1"/>
  <c r="K11" i="10"/>
  <c r="O11" i="10" s="1"/>
  <c r="M32" i="10"/>
  <c r="M29" i="10"/>
  <c r="M28" i="10"/>
  <c r="M27" i="10"/>
  <c r="M24" i="10"/>
  <c r="M23" i="10"/>
  <c r="M22" i="10"/>
  <c r="M21" i="10"/>
  <c r="M20" i="10"/>
  <c r="M19" i="10"/>
  <c r="M18" i="10"/>
  <c r="M15" i="10"/>
  <c r="M14" i="10"/>
  <c r="M13" i="10"/>
  <c r="M12" i="10"/>
  <c r="M11" i="10"/>
  <c r="M10" i="10"/>
  <c r="M7" i="10"/>
  <c r="J6" i="24"/>
  <c r="C188" i="23" s="1"/>
  <c r="J6" i="26"/>
  <c r="J6" i="25"/>
  <c r="O94" i="26"/>
  <c r="O64" i="26"/>
  <c r="O31" i="25"/>
  <c r="O91" i="24"/>
  <c r="O58" i="24"/>
  <c r="O31" i="24"/>
  <c r="O12" i="24"/>
  <c r="O58" i="8"/>
  <c r="J6" i="8"/>
  <c r="C120" i="23" s="1"/>
  <c r="N28" i="24"/>
  <c r="O28" i="24"/>
  <c r="N29" i="24"/>
  <c r="O29" i="24"/>
  <c r="N31" i="24"/>
  <c r="N32" i="24"/>
  <c r="O32" i="24"/>
  <c r="N33" i="24"/>
  <c r="O33" i="24"/>
  <c r="N43" i="24"/>
  <c r="O43" i="24"/>
  <c r="N44" i="24"/>
  <c r="O44" i="24"/>
  <c r="N48" i="24"/>
  <c r="O48" i="24"/>
  <c r="N49" i="24"/>
  <c r="O49" i="24"/>
  <c r="N51" i="24"/>
  <c r="O51" i="24"/>
  <c r="N52" i="24"/>
  <c r="O52" i="24"/>
  <c r="N57" i="24"/>
  <c r="O57" i="24"/>
  <c r="N58" i="24"/>
  <c r="N59" i="24"/>
  <c r="O59" i="24"/>
  <c r="N60" i="24"/>
  <c r="O60" i="24"/>
  <c r="N64" i="24"/>
  <c r="O64" i="24"/>
  <c r="N65" i="24"/>
  <c r="O65" i="24"/>
  <c r="N78" i="24"/>
  <c r="O78" i="24"/>
  <c r="N79" i="24"/>
  <c r="O79" i="24"/>
  <c r="N86" i="24"/>
  <c r="O86" i="24"/>
  <c r="N87" i="24"/>
  <c r="O87" i="24"/>
  <c r="N90" i="24"/>
  <c r="O90" i="24"/>
  <c r="N91" i="24"/>
  <c r="N93" i="24"/>
  <c r="O93" i="24"/>
  <c r="N94" i="24"/>
  <c r="O94" i="24"/>
  <c r="N96" i="24"/>
  <c r="O96" i="24"/>
  <c r="N97" i="24"/>
  <c r="O97" i="24"/>
  <c r="N99" i="24"/>
  <c r="O99" i="24"/>
  <c r="N100" i="24"/>
  <c r="O100" i="24"/>
  <c r="N28" i="25"/>
  <c r="O28" i="25"/>
  <c r="N29" i="25"/>
  <c r="O29" i="25"/>
  <c r="N31" i="25"/>
  <c r="N32" i="25"/>
  <c r="O32" i="25"/>
  <c r="N33" i="25"/>
  <c r="O33" i="25"/>
  <c r="N43" i="25"/>
  <c r="O43" i="25"/>
  <c r="N44" i="25"/>
  <c r="O44" i="25"/>
  <c r="N48" i="25"/>
  <c r="O48" i="25"/>
  <c r="N49" i="25"/>
  <c r="O49" i="25"/>
  <c r="N51" i="25"/>
  <c r="O51" i="25"/>
  <c r="N52" i="25"/>
  <c r="O52" i="25"/>
  <c r="N57" i="25"/>
  <c r="O57" i="25"/>
  <c r="N58" i="25"/>
  <c r="O58" i="25"/>
  <c r="N59" i="25"/>
  <c r="O59" i="25"/>
  <c r="N60" i="25"/>
  <c r="O60" i="25"/>
  <c r="N64" i="25"/>
  <c r="O64" i="25"/>
  <c r="N65" i="25"/>
  <c r="O65" i="25"/>
  <c r="N78" i="25"/>
  <c r="O78" i="25"/>
  <c r="N79" i="25"/>
  <c r="O79" i="25"/>
  <c r="N86" i="25"/>
  <c r="O86" i="25"/>
  <c r="N87" i="25"/>
  <c r="O87" i="25"/>
  <c r="N90" i="25"/>
  <c r="O90" i="25"/>
  <c r="N91" i="25"/>
  <c r="O91" i="25"/>
  <c r="N93" i="25"/>
  <c r="O93" i="25"/>
  <c r="N94" i="25"/>
  <c r="O94" i="25"/>
  <c r="N96" i="25"/>
  <c r="O96" i="25"/>
  <c r="N97" i="25"/>
  <c r="O97" i="25"/>
  <c r="N99" i="25"/>
  <c r="O99" i="25"/>
  <c r="N100" i="25"/>
  <c r="O100" i="25"/>
  <c r="N28" i="26"/>
  <c r="O28" i="26"/>
  <c r="N29" i="26"/>
  <c r="O29" i="26"/>
  <c r="N31" i="26"/>
  <c r="O31" i="26"/>
  <c r="N32" i="26"/>
  <c r="O32" i="26"/>
  <c r="N33" i="26"/>
  <c r="O33" i="26"/>
  <c r="N43" i="26"/>
  <c r="O43" i="26"/>
  <c r="N44" i="26"/>
  <c r="O44" i="26"/>
  <c r="N48" i="26"/>
  <c r="O48" i="26"/>
  <c r="N49" i="26"/>
  <c r="O49" i="26"/>
  <c r="N51" i="26"/>
  <c r="O51" i="26"/>
  <c r="N52" i="26"/>
  <c r="O52" i="26"/>
  <c r="N57" i="26"/>
  <c r="O57" i="26"/>
  <c r="N58" i="26"/>
  <c r="O58" i="26"/>
  <c r="N59" i="26"/>
  <c r="O59" i="26"/>
  <c r="N60" i="26"/>
  <c r="O60" i="26"/>
  <c r="N64" i="26"/>
  <c r="N65" i="26"/>
  <c r="O65" i="26"/>
  <c r="N78" i="26"/>
  <c r="O78" i="26"/>
  <c r="N79" i="26"/>
  <c r="O79" i="26"/>
  <c r="N86" i="26"/>
  <c r="O86" i="26"/>
  <c r="N87" i="26"/>
  <c r="O87" i="26"/>
  <c r="N90" i="26"/>
  <c r="O90" i="26"/>
  <c r="N91" i="26"/>
  <c r="O91" i="26"/>
  <c r="N93" i="26"/>
  <c r="O93" i="26"/>
  <c r="N94" i="26"/>
  <c r="N96" i="26"/>
  <c r="O96" i="26"/>
  <c r="N97" i="26"/>
  <c r="O97" i="26"/>
  <c r="N99" i="26"/>
  <c r="O99" i="26"/>
  <c r="N100" i="26"/>
  <c r="O100" i="26"/>
  <c r="N28" i="8"/>
  <c r="O28" i="8"/>
  <c r="N29" i="8"/>
  <c r="O29" i="8"/>
  <c r="N31" i="8"/>
  <c r="O31" i="8"/>
  <c r="N32" i="8"/>
  <c r="O32" i="8"/>
  <c r="N33" i="8"/>
  <c r="O33" i="8"/>
  <c r="N43" i="8"/>
  <c r="O43" i="8"/>
  <c r="N44" i="8"/>
  <c r="O44" i="8"/>
  <c r="N48" i="8"/>
  <c r="O48" i="8"/>
  <c r="N49" i="8"/>
  <c r="O49" i="8"/>
  <c r="N51" i="8"/>
  <c r="O51" i="8"/>
  <c r="N52" i="8"/>
  <c r="O52" i="8"/>
  <c r="N57" i="8"/>
  <c r="O57" i="8"/>
  <c r="N58" i="8"/>
  <c r="N59" i="8"/>
  <c r="O59" i="8"/>
  <c r="N60" i="8"/>
  <c r="O60" i="8"/>
  <c r="N64" i="8"/>
  <c r="O64" i="8"/>
  <c r="N65" i="8"/>
  <c r="O65" i="8"/>
  <c r="N78" i="8"/>
  <c r="O78" i="8"/>
  <c r="N79" i="8"/>
  <c r="O79" i="8"/>
  <c r="N86" i="8"/>
  <c r="O86" i="8"/>
  <c r="N87" i="8"/>
  <c r="O87" i="8"/>
  <c r="N90" i="8"/>
  <c r="O90" i="8"/>
  <c r="N91" i="8"/>
  <c r="O91" i="8"/>
  <c r="N93" i="8"/>
  <c r="O93" i="8"/>
  <c r="N94" i="8"/>
  <c r="O94" i="8"/>
  <c r="N96" i="8"/>
  <c r="O96" i="8"/>
  <c r="N97" i="8"/>
  <c r="O97" i="8"/>
  <c r="N99" i="8"/>
  <c r="O99" i="8"/>
  <c r="N100" i="8"/>
  <c r="O100" i="8"/>
  <c r="N8" i="24"/>
  <c r="O8" i="24"/>
  <c r="N11" i="24"/>
  <c r="O11" i="24"/>
  <c r="N12" i="24"/>
  <c r="N13" i="24"/>
  <c r="O13" i="24"/>
  <c r="N14" i="24"/>
  <c r="O14" i="24"/>
  <c r="N8" i="25"/>
  <c r="O8" i="25"/>
  <c r="N11" i="25"/>
  <c r="O11" i="25"/>
  <c r="N12" i="25"/>
  <c r="O12" i="25"/>
  <c r="N13" i="25"/>
  <c r="O13" i="25"/>
  <c r="N14" i="25"/>
  <c r="O14" i="25"/>
  <c r="N8" i="26"/>
  <c r="O8" i="26"/>
  <c r="N11" i="26"/>
  <c r="O11" i="26"/>
  <c r="N12" i="26"/>
  <c r="O12" i="26"/>
  <c r="N13" i="26"/>
  <c r="O13" i="26"/>
  <c r="N14" i="26"/>
  <c r="O14" i="26"/>
  <c r="N11" i="8"/>
  <c r="O11" i="8"/>
  <c r="M9" i="24"/>
  <c r="M10" i="24"/>
  <c r="M12" i="24"/>
  <c r="M17" i="24"/>
  <c r="M18" i="24"/>
  <c r="M19" i="24"/>
  <c r="M20" i="24"/>
  <c r="M21" i="24"/>
  <c r="M22" i="24"/>
  <c r="M23" i="24"/>
  <c r="M24" i="24"/>
  <c r="M25" i="24"/>
  <c r="M27" i="24"/>
  <c r="M30" i="24"/>
  <c r="M31" i="24"/>
  <c r="M34" i="24"/>
  <c r="M35" i="24"/>
  <c r="M36" i="24"/>
  <c r="M37" i="24"/>
  <c r="M38" i="24"/>
  <c r="M39" i="24"/>
  <c r="M40" i="24"/>
  <c r="M45" i="24"/>
  <c r="M46" i="24"/>
  <c r="M47" i="24"/>
  <c r="M50" i="24"/>
  <c r="M53" i="24"/>
  <c r="M54" i="24"/>
  <c r="M55" i="24"/>
  <c r="M56" i="24"/>
  <c r="M58" i="24"/>
  <c r="M61" i="24"/>
  <c r="M62" i="24"/>
  <c r="M63" i="24"/>
  <c r="M64" i="24"/>
  <c r="M66" i="24"/>
  <c r="M67" i="24"/>
  <c r="M68" i="24"/>
  <c r="M69" i="24"/>
  <c r="M70" i="24"/>
  <c r="M71" i="24"/>
  <c r="M72" i="24"/>
  <c r="M73" i="24"/>
  <c r="M74" i="24"/>
  <c r="M75" i="24"/>
  <c r="M76" i="24"/>
  <c r="M77" i="24"/>
  <c r="M80" i="24"/>
  <c r="M81" i="24"/>
  <c r="M82" i="24"/>
  <c r="M83" i="24"/>
  <c r="M84" i="24"/>
  <c r="M85" i="24"/>
  <c r="M88" i="24"/>
  <c r="M89" i="24"/>
  <c r="M91" i="24"/>
  <c r="M92" i="24"/>
  <c r="M94" i="24"/>
  <c r="M95" i="24"/>
  <c r="M97" i="24"/>
  <c r="M98" i="24"/>
  <c r="M100" i="24"/>
  <c r="M9" i="25"/>
  <c r="M10" i="25"/>
  <c r="M12" i="25"/>
  <c r="M17" i="25"/>
  <c r="M18" i="25"/>
  <c r="M19" i="25"/>
  <c r="M20" i="25"/>
  <c r="M21" i="25"/>
  <c r="M22" i="25"/>
  <c r="M23" i="25"/>
  <c r="M24" i="25"/>
  <c r="M25" i="25"/>
  <c r="M27" i="25"/>
  <c r="M30" i="25"/>
  <c r="M31" i="25"/>
  <c r="M34" i="25"/>
  <c r="M35" i="25"/>
  <c r="M36" i="25"/>
  <c r="M37" i="25"/>
  <c r="M38" i="25"/>
  <c r="M39" i="25"/>
  <c r="M40" i="25"/>
  <c r="M45" i="25"/>
  <c r="M46" i="25"/>
  <c r="M47" i="25"/>
  <c r="M50" i="25"/>
  <c r="M53" i="25"/>
  <c r="M54" i="25"/>
  <c r="M55" i="25"/>
  <c r="M56" i="25"/>
  <c r="M58" i="25"/>
  <c r="M61" i="25"/>
  <c r="M62" i="25"/>
  <c r="M63" i="25"/>
  <c r="M64" i="25"/>
  <c r="M66" i="25"/>
  <c r="M67" i="25"/>
  <c r="M68" i="25"/>
  <c r="M69" i="25"/>
  <c r="M70" i="25"/>
  <c r="M71" i="25"/>
  <c r="M72" i="25"/>
  <c r="M73" i="25"/>
  <c r="M74" i="25"/>
  <c r="M75" i="25"/>
  <c r="M76" i="25"/>
  <c r="M77" i="25"/>
  <c r="M80" i="25"/>
  <c r="M81" i="25"/>
  <c r="M82" i="25"/>
  <c r="M83" i="25"/>
  <c r="M84" i="25"/>
  <c r="M85" i="25"/>
  <c r="M88" i="25"/>
  <c r="M89" i="25"/>
  <c r="M91" i="25"/>
  <c r="M92" i="25"/>
  <c r="M94" i="25"/>
  <c r="M95" i="25"/>
  <c r="M97" i="25"/>
  <c r="M98" i="25"/>
  <c r="M100" i="25"/>
  <c r="M9" i="26"/>
  <c r="M10" i="26"/>
  <c r="M12" i="26"/>
  <c r="M17" i="26"/>
  <c r="M18" i="26"/>
  <c r="M19" i="26"/>
  <c r="M20" i="26"/>
  <c r="M21" i="26"/>
  <c r="M22" i="26"/>
  <c r="M23" i="26"/>
  <c r="M24" i="26"/>
  <c r="M25" i="26"/>
  <c r="M27" i="26"/>
  <c r="M30" i="26"/>
  <c r="M31" i="26"/>
  <c r="M34" i="26"/>
  <c r="M35" i="26"/>
  <c r="M36" i="26"/>
  <c r="M37" i="26"/>
  <c r="M38" i="26"/>
  <c r="M39" i="26"/>
  <c r="M40" i="26"/>
  <c r="M45" i="26"/>
  <c r="M46" i="26"/>
  <c r="M47" i="26"/>
  <c r="M50" i="26"/>
  <c r="M53" i="26"/>
  <c r="M54" i="26"/>
  <c r="M55" i="26"/>
  <c r="M56" i="26"/>
  <c r="M58" i="26"/>
  <c r="M61" i="26"/>
  <c r="M62" i="26"/>
  <c r="M63" i="26"/>
  <c r="M64" i="26"/>
  <c r="M66" i="26"/>
  <c r="M67" i="26"/>
  <c r="M68" i="26"/>
  <c r="M69" i="26"/>
  <c r="M70" i="26"/>
  <c r="M71" i="26"/>
  <c r="M72" i="26"/>
  <c r="M73" i="26"/>
  <c r="M74" i="26"/>
  <c r="M75" i="26"/>
  <c r="M76" i="26"/>
  <c r="M77" i="26"/>
  <c r="M80" i="26"/>
  <c r="M81" i="26"/>
  <c r="M82" i="26"/>
  <c r="M83" i="26"/>
  <c r="M84" i="26"/>
  <c r="M85" i="26"/>
  <c r="M88" i="26"/>
  <c r="M89" i="26"/>
  <c r="M91" i="26"/>
  <c r="M92" i="26"/>
  <c r="M94" i="26"/>
  <c r="M95" i="26"/>
  <c r="M97" i="26"/>
  <c r="M98" i="26"/>
  <c r="M100" i="26"/>
  <c r="M9" i="8"/>
  <c r="M10" i="8"/>
  <c r="M12" i="8"/>
  <c r="M17" i="8"/>
  <c r="M18" i="8"/>
  <c r="M19" i="8"/>
  <c r="M20" i="8"/>
  <c r="M21" i="8"/>
  <c r="M22" i="8"/>
  <c r="M23" i="8"/>
  <c r="M24" i="8"/>
  <c r="M25" i="8"/>
  <c r="M27" i="8"/>
  <c r="M30" i="8"/>
  <c r="M31" i="8"/>
  <c r="M34" i="8"/>
  <c r="M35" i="8"/>
  <c r="M36" i="8"/>
  <c r="M37" i="8"/>
  <c r="M38" i="8"/>
  <c r="M39" i="8"/>
  <c r="M40" i="8"/>
  <c r="M45" i="8"/>
  <c r="M46" i="8"/>
  <c r="M47" i="8"/>
  <c r="M50" i="8"/>
  <c r="M53" i="8"/>
  <c r="M54" i="8"/>
  <c r="M55" i="8"/>
  <c r="M56" i="8"/>
  <c r="M58" i="8"/>
  <c r="M61" i="8"/>
  <c r="M62" i="8"/>
  <c r="M63" i="8"/>
  <c r="M64" i="8"/>
  <c r="M66" i="8"/>
  <c r="M67" i="8"/>
  <c r="M68" i="8"/>
  <c r="M69" i="8"/>
  <c r="M70" i="8"/>
  <c r="M71" i="8"/>
  <c r="M72" i="8"/>
  <c r="M73" i="8"/>
  <c r="M74" i="8"/>
  <c r="M75" i="8"/>
  <c r="M76" i="8"/>
  <c r="M77" i="8"/>
  <c r="M80" i="8"/>
  <c r="M81" i="8"/>
  <c r="M82" i="8"/>
  <c r="M83" i="8"/>
  <c r="M84" i="8"/>
  <c r="M85" i="8"/>
  <c r="M88" i="8"/>
  <c r="M89" i="8"/>
  <c r="M91" i="8"/>
  <c r="M92" i="8"/>
  <c r="M94" i="8"/>
  <c r="M95" i="8"/>
  <c r="M97" i="8"/>
  <c r="M98" i="8"/>
  <c r="M100" i="8"/>
  <c r="M6" i="26"/>
  <c r="M6" i="25"/>
  <c r="M6" i="24"/>
  <c r="M6" i="8"/>
  <c r="O6" i="25" l="1"/>
  <c r="C256" i="23"/>
  <c r="N6" i="26"/>
  <c r="C324" i="23"/>
  <c r="O6" i="8"/>
  <c r="N6" i="8"/>
  <c r="L6" i="24"/>
  <c r="C189" i="23" s="1"/>
  <c r="J7" i="24"/>
  <c r="L6" i="8"/>
  <c r="C121" i="23" s="1"/>
  <c r="O61" i="11"/>
  <c r="O22" i="11"/>
  <c r="J7" i="25"/>
  <c r="L6" i="25"/>
  <c r="C257" i="23" s="1"/>
  <c r="J7" i="26"/>
  <c r="L6" i="26"/>
  <c r="C325" i="23" s="1"/>
  <c r="O6" i="26"/>
  <c r="O35" i="11"/>
  <c r="J7" i="8"/>
  <c r="O9" i="11"/>
  <c r="N6" i="25"/>
  <c r="N6" i="24"/>
  <c r="O82" i="11"/>
  <c r="N82" i="11"/>
  <c r="O84" i="11"/>
  <c r="N69" i="11"/>
  <c r="O69" i="11"/>
  <c r="O56" i="11"/>
  <c r="N56" i="11"/>
  <c r="O43" i="11"/>
  <c r="N43" i="11"/>
  <c r="O15" i="11"/>
  <c r="O18" i="11"/>
  <c r="K26" i="10"/>
  <c r="O26" i="10" s="1"/>
  <c r="O7" i="10"/>
  <c r="N7" i="10"/>
  <c r="O6" i="24"/>
  <c r="O12" i="8"/>
  <c r="N12" i="8"/>
  <c r="N11" i="6"/>
  <c r="O11" i="6"/>
  <c r="N12" i="6"/>
  <c r="O12" i="6"/>
  <c r="N24" i="6"/>
  <c r="O24" i="6"/>
  <c r="N25" i="6"/>
  <c r="O25" i="6"/>
  <c r="N27" i="6"/>
  <c r="O27" i="6"/>
  <c r="N28" i="6"/>
  <c r="O28" i="6"/>
  <c r="N29" i="6"/>
  <c r="O29" i="6"/>
  <c r="N39" i="6"/>
  <c r="O39" i="6"/>
  <c r="N40" i="6"/>
  <c r="O40" i="6"/>
  <c r="N44" i="6"/>
  <c r="O44" i="6"/>
  <c r="N45" i="6"/>
  <c r="O45" i="6"/>
  <c r="N50" i="6"/>
  <c r="O50" i="6"/>
  <c r="N51" i="6"/>
  <c r="O51" i="6"/>
  <c r="N52" i="6"/>
  <c r="O52" i="6"/>
  <c r="N53" i="6"/>
  <c r="O53" i="6"/>
  <c r="N57" i="6"/>
  <c r="O57" i="6"/>
  <c r="N58" i="6"/>
  <c r="O58" i="6"/>
  <c r="N71" i="6"/>
  <c r="O71" i="6"/>
  <c r="N72" i="6"/>
  <c r="O72" i="6"/>
  <c r="N9" i="6"/>
  <c r="O9" i="6"/>
  <c r="K7" i="6"/>
  <c r="J26" i="24" l="1"/>
  <c r="L26" i="24"/>
  <c r="C204" i="23" s="1"/>
  <c r="J27" i="8"/>
  <c r="J25" i="8"/>
  <c r="L16" i="24"/>
  <c r="C194" i="23" s="1"/>
  <c r="J16" i="24"/>
  <c r="J15" i="8"/>
  <c r="J34" i="8"/>
  <c r="N34" i="8" s="1"/>
  <c r="J10" i="8"/>
  <c r="J19" i="8"/>
  <c r="J17" i="8"/>
  <c r="J20" i="8"/>
  <c r="O20" i="8" s="1"/>
  <c r="J18" i="8"/>
  <c r="N18" i="8" s="1"/>
  <c r="J30" i="26"/>
  <c r="N30" i="26" s="1"/>
  <c r="L15" i="26"/>
  <c r="C329" i="23" s="1"/>
  <c r="J15" i="26"/>
  <c r="J30" i="25"/>
  <c r="O30" i="25" s="1"/>
  <c r="J15" i="25"/>
  <c r="L15" i="25"/>
  <c r="C261" i="23" s="1"/>
  <c r="J30" i="24"/>
  <c r="O30" i="24" s="1"/>
  <c r="J15" i="24"/>
  <c r="L15" i="24"/>
  <c r="C193" i="23" s="1"/>
  <c r="L15" i="8"/>
  <c r="J10" i="26"/>
  <c r="J9" i="26"/>
  <c r="O9" i="26" s="1"/>
  <c r="J10" i="25"/>
  <c r="N10" i="25" s="1"/>
  <c r="J9" i="25"/>
  <c r="O9" i="25" s="1"/>
  <c r="J9" i="24"/>
  <c r="N9" i="24" s="1"/>
  <c r="J10" i="24"/>
  <c r="J23" i="25"/>
  <c r="N23" i="25" s="1"/>
  <c r="J18" i="25"/>
  <c r="N18" i="25" s="1"/>
  <c r="J25" i="25"/>
  <c r="J27" i="25"/>
  <c r="J22" i="25"/>
  <c r="J17" i="25"/>
  <c r="N17" i="25" s="1"/>
  <c r="J21" i="25"/>
  <c r="O21" i="25" s="1"/>
  <c r="J24" i="25"/>
  <c r="N24" i="25" s="1"/>
  <c r="J20" i="25"/>
  <c r="O20" i="25" s="1"/>
  <c r="J19" i="25"/>
  <c r="O19" i="25" s="1"/>
  <c r="J20" i="26"/>
  <c r="N20" i="26" s="1"/>
  <c r="J27" i="26"/>
  <c r="J23" i="26"/>
  <c r="O23" i="26" s="1"/>
  <c r="J19" i="26"/>
  <c r="O19" i="26" s="1"/>
  <c r="J22" i="26"/>
  <c r="J18" i="26"/>
  <c r="N18" i="26" s="1"/>
  <c r="J17" i="26"/>
  <c r="N17" i="26" s="1"/>
  <c r="J25" i="26"/>
  <c r="J21" i="26"/>
  <c r="N21" i="26" s="1"/>
  <c r="J24" i="26"/>
  <c r="N24" i="26" s="1"/>
  <c r="J25" i="24"/>
  <c r="J21" i="24"/>
  <c r="N21" i="24" s="1"/>
  <c r="J17" i="24"/>
  <c r="N17" i="24" s="1"/>
  <c r="J24" i="24"/>
  <c r="N24" i="24" s="1"/>
  <c r="J20" i="24"/>
  <c r="N20" i="24" s="1"/>
  <c r="J22" i="24"/>
  <c r="O22" i="24" s="1"/>
  <c r="J23" i="24"/>
  <c r="O23" i="24" s="1"/>
  <c r="J19" i="24"/>
  <c r="N19" i="24" s="1"/>
  <c r="J18" i="24"/>
  <c r="N18" i="24" s="1"/>
  <c r="J27" i="24"/>
  <c r="L35" i="8"/>
  <c r="L89" i="8"/>
  <c r="C180" i="23" s="1"/>
  <c r="L45" i="8"/>
  <c r="C148" i="23" s="1"/>
  <c r="L97" i="8"/>
  <c r="C185" i="23" s="1"/>
  <c r="L91" i="8"/>
  <c r="C181" i="23" s="1"/>
  <c r="J88" i="8"/>
  <c r="N88" i="8" s="1"/>
  <c r="L80" i="8"/>
  <c r="C173" i="23" s="1"/>
  <c r="L66" i="8"/>
  <c r="C161" i="23" s="1"/>
  <c r="L61" i="8"/>
  <c r="C157" i="23" s="1"/>
  <c r="J50" i="8"/>
  <c r="N50" i="8" s="1"/>
  <c r="L46" i="8"/>
  <c r="C149" i="23" s="1"/>
  <c r="L34" i="8"/>
  <c r="J30" i="8"/>
  <c r="N30" i="8" s="1"/>
  <c r="L25" i="8"/>
  <c r="C135" i="23" s="1"/>
  <c r="J23" i="8"/>
  <c r="O23" i="8" s="1"/>
  <c r="L21" i="8"/>
  <c r="C131" i="23" s="1"/>
  <c r="J80" i="8"/>
  <c r="N80" i="8" s="1"/>
  <c r="L50" i="8"/>
  <c r="C151" i="23" s="1"/>
  <c r="L23" i="8"/>
  <c r="C133" i="23" s="1"/>
  <c r="L19" i="8"/>
  <c r="C129" i="23" s="1"/>
  <c r="L95" i="8"/>
  <c r="C184" i="23" s="1"/>
  <c r="J92" i="8"/>
  <c r="N92" i="8" s="1"/>
  <c r="J47" i="8"/>
  <c r="N47" i="8" s="1"/>
  <c r="L24" i="8"/>
  <c r="C134" i="23" s="1"/>
  <c r="L20" i="8"/>
  <c r="C130" i="23" s="1"/>
  <c r="L12" i="8"/>
  <c r="C124" i="23" s="1"/>
  <c r="L98" i="8"/>
  <c r="C186" i="23" s="1"/>
  <c r="J95" i="8"/>
  <c r="N95" i="8" s="1"/>
  <c r="L92" i="8"/>
  <c r="C182" i="23" s="1"/>
  <c r="J89" i="8"/>
  <c r="O89" i="8" s="1"/>
  <c r="L62" i="8"/>
  <c r="C158" i="23" s="1"/>
  <c r="J53" i="8"/>
  <c r="N53" i="8" s="1"/>
  <c r="L47" i="8"/>
  <c r="C150" i="23" s="1"/>
  <c r="J45" i="8"/>
  <c r="N45" i="8" s="1"/>
  <c r="L27" i="8"/>
  <c r="C137" i="23" s="1"/>
  <c r="J24" i="8"/>
  <c r="O24" i="8" s="1"/>
  <c r="L22" i="8"/>
  <c r="C132" i="23" s="1"/>
  <c r="L100" i="8"/>
  <c r="C187" i="23" s="1"/>
  <c r="L94" i="8"/>
  <c r="C183" i="23" s="1"/>
  <c r="L88" i="8"/>
  <c r="C179" i="23" s="1"/>
  <c r="J66" i="8"/>
  <c r="J61" i="8"/>
  <c r="O61" i="8" s="1"/>
  <c r="J46" i="8"/>
  <c r="N46" i="8" s="1"/>
  <c r="L30" i="8"/>
  <c r="C138" i="23" s="1"/>
  <c r="J21" i="8"/>
  <c r="O21" i="8" s="1"/>
  <c r="N17" i="8"/>
  <c r="J98" i="8"/>
  <c r="N98" i="8" s="1"/>
  <c r="L64" i="8"/>
  <c r="C160" i="23" s="1"/>
  <c r="J62" i="8"/>
  <c r="N62" i="8" s="1"/>
  <c r="L53" i="8"/>
  <c r="C152" i="23" s="1"/>
  <c r="L31" i="8"/>
  <c r="C139" i="23" s="1"/>
  <c r="J22" i="8"/>
  <c r="N22" i="8" s="1"/>
  <c r="L97" i="25"/>
  <c r="C321" i="23" s="1"/>
  <c r="L91" i="25"/>
  <c r="C317" i="23" s="1"/>
  <c r="J88" i="25"/>
  <c r="N88" i="25" s="1"/>
  <c r="L80" i="25"/>
  <c r="C309" i="23" s="1"/>
  <c r="L66" i="25"/>
  <c r="C297" i="23" s="1"/>
  <c r="L61" i="25"/>
  <c r="C293" i="23" s="1"/>
  <c r="J50" i="25"/>
  <c r="O50" i="25" s="1"/>
  <c r="L46" i="25"/>
  <c r="C285" i="23" s="1"/>
  <c r="L31" i="25"/>
  <c r="C275" i="23" s="1"/>
  <c r="L24" i="25"/>
  <c r="C270" i="23" s="1"/>
  <c r="L20" i="25"/>
  <c r="C266" i="23" s="1"/>
  <c r="L12" i="25"/>
  <c r="C260" i="23" s="1"/>
  <c r="L64" i="25"/>
  <c r="C296" i="23" s="1"/>
  <c r="L98" i="25"/>
  <c r="C322" i="23" s="1"/>
  <c r="J95" i="25"/>
  <c r="N95" i="25" s="1"/>
  <c r="L92" i="25"/>
  <c r="C318" i="23" s="1"/>
  <c r="J89" i="25"/>
  <c r="N89" i="25" s="1"/>
  <c r="L62" i="25"/>
  <c r="C294" i="23" s="1"/>
  <c r="J53" i="25"/>
  <c r="O53" i="25" s="1"/>
  <c r="L47" i="25"/>
  <c r="C286" i="23" s="1"/>
  <c r="J45" i="25"/>
  <c r="O45" i="25" s="1"/>
  <c r="L34" i="25"/>
  <c r="C276" i="23" s="1"/>
  <c r="L25" i="25"/>
  <c r="C271" i="23" s="1"/>
  <c r="L21" i="25"/>
  <c r="C267" i="23" s="1"/>
  <c r="L95" i="25"/>
  <c r="C320" i="23" s="1"/>
  <c r="J92" i="25"/>
  <c r="O92" i="25" s="1"/>
  <c r="J62" i="25"/>
  <c r="N62" i="25" s="1"/>
  <c r="L45" i="25"/>
  <c r="C284" i="23" s="1"/>
  <c r="J34" i="25"/>
  <c r="N34" i="25" s="1"/>
  <c r="L19" i="25"/>
  <c r="C265" i="23" s="1"/>
  <c r="L100" i="25"/>
  <c r="C323" i="23" s="1"/>
  <c r="L94" i="25"/>
  <c r="C319" i="23" s="1"/>
  <c r="L88" i="25"/>
  <c r="C315" i="23" s="1"/>
  <c r="J80" i="25"/>
  <c r="O80" i="25" s="1"/>
  <c r="J66" i="25"/>
  <c r="O66" i="25" s="1"/>
  <c r="J61" i="25"/>
  <c r="N61" i="25" s="1"/>
  <c r="L50" i="25"/>
  <c r="C287" i="23" s="1"/>
  <c r="J46" i="25"/>
  <c r="O46" i="25" s="1"/>
  <c r="L27" i="25"/>
  <c r="C273" i="23" s="1"/>
  <c r="L22" i="25"/>
  <c r="C268" i="23" s="1"/>
  <c r="J98" i="25"/>
  <c r="N98" i="25" s="1"/>
  <c r="L89" i="25"/>
  <c r="L53" i="25"/>
  <c r="C288" i="23" s="1"/>
  <c r="J47" i="25"/>
  <c r="L30" i="25"/>
  <c r="C274" i="23" s="1"/>
  <c r="L23" i="25"/>
  <c r="C269" i="23" s="1"/>
  <c r="L97" i="26"/>
  <c r="C389" i="23" s="1"/>
  <c r="L91" i="26"/>
  <c r="C385" i="23" s="1"/>
  <c r="J88" i="26"/>
  <c r="L80" i="26"/>
  <c r="C377" i="23" s="1"/>
  <c r="L66" i="26"/>
  <c r="C365" i="23" s="1"/>
  <c r="L61" i="26"/>
  <c r="C361" i="23" s="1"/>
  <c r="J50" i="26"/>
  <c r="O50" i="26" s="1"/>
  <c r="L46" i="26"/>
  <c r="C353" i="23" s="1"/>
  <c r="L34" i="26"/>
  <c r="C344" i="23" s="1"/>
  <c r="L25" i="26"/>
  <c r="C339" i="23" s="1"/>
  <c r="L21" i="26"/>
  <c r="C335" i="23" s="1"/>
  <c r="L98" i="26"/>
  <c r="C390" i="23" s="1"/>
  <c r="J95" i="26"/>
  <c r="N95" i="26" s="1"/>
  <c r="L92" i="26"/>
  <c r="C386" i="23" s="1"/>
  <c r="J89" i="26"/>
  <c r="N89" i="26" s="1"/>
  <c r="L62" i="26"/>
  <c r="C362" i="23" s="1"/>
  <c r="J53" i="26"/>
  <c r="O53" i="26" s="1"/>
  <c r="L47" i="26"/>
  <c r="C354" i="23" s="1"/>
  <c r="J45" i="26"/>
  <c r="O45" i="26" s="1"/>
  <c r="L27" i="26"/>
  <c r="C341" i="23" s="1"/>
  <c r="L22" i="26"/>
  <c r="C336" i="23" s="1"/>
  <c r="J98" i="26"/>
  <c r="L89" i="26"/>
  <c r="C384" i="23" s="1"/>
  <c r="L64" i="26"/>
  <c r="C364" i="23" s="1"/>
  <c r="J62" i="26"/>
  <c r="J47" i="26"/>
  <c r="L31" i="26"/>
  <c r="C343" i="23" s="1"/>
  <c r="L12" i="26"/>
  <c r="C328" i="23" s="1"/>
  <c r="L100" i="26"/>
  <c r="C391" i="23" s="1"/>
  <c r="L94" i="26"/>
  <c r="C387" i="23" s="1"/>
  <c r="L88" i="26"/>
  <c r="C383" i="23" s="1"/>
  <c r="J80" i="26"/>
  <c r="J66" i="26"/>
  <c r="N66" i="26" s="1"/>
  <c r="J61" i="26"/>
  <c r="O61" i="26" s="1"/>
  <c r="L50" i="26"/>
  <c r="C355" i="23" s="1"/>
  <c r="J46" i="26"/>
  <c r="O46" i="26" s="1"/>
  <c r="J34" i="26"/>
  <c r="N34" i="26" s="1"/>
  <c r="L30" i="26"/>
  <c r="C342" i="23" s="1"/>
  <c r="L23" i="26"/>
  <c r="C337" i="23" s="1"/>
  <c r="L19" i="26"/>
  <c r="C333" i="23" s="1"/>
  <c r="L95" i="26"/>
  <c r="C388" i="23" s="1"/>
  <c r="J92" i="26"/>
  <c r="O92" i="26" s="1"/>
  <c r="L53" i="26"/>
  <c r="C356" i="23" s="1"/>
  <c r="L45" i="26"/>
  <c r="C352" i="23" s="1"/>
  <c r="L24" i="26"/>
  <c r="C338" i="23" s="1"/>
  <c r="L20" i="26"/>
  <c r="C334" i="23" s="1"/>
  <c r="L94" i="24"/>
  <c r="C251" i="23" s="1"/>
  <c r="L91" i="24"/>
  <c r="C249" i="23" s="1"/>
  <c r="L97" i="24"/>
  <c r="C253" i="23" s="1"/>
  <c r="L12" i="24"/>
  <c r="C192" i="23" s="1"/>
  <c r="L100" i="24"/>
  <c r="C255" i="23" s="1"/>
  <c r="C316" i="23"/>
  <c r="L9" i="25"/>
  <c r="C258" i="23" s="1"/>
  <c r="L10" i="25"/>
  <c r="C259" i="23" s="1"/>
  <c r="L10" i="8"/>
  <c r="C123" i="23" s="1"/>
  <c r="L9" i="26"/>
  <c r="C326" i="23" s="1"/>
  <c r="L10" i="26"/>
  <c r="C327" i="23" s="1"/>
  <c r="L98" i="24"/>
  <c r="C254" i="23" s="1"/>
  <c r="J95" i="24"/>
  <c r="N95" i="24" s="1"/>
  <c r="L92" i="24"/>
  <c r="C250" i="23" s="1"/>
  <c r="J89" i="24"/>
  <c r="O89" i="24" s="1"/>
  <c r="L62" i="24"/>
  <c r="C226" i="23" s="1"/>
  <c r="J53" i="24"/>
  <c r="N53" i="24" s="1"/>
  <c r="L47" i="24"/>
  <c r="C218" i="23" s="1"/>
  <c r="J45" i="24"/>
  <c r="N45" i="24" s="1"/>
  <c r="L27" i="24"/>
  <c r="C205" i="23" s="1"/>
  <c r="L22" i="24"/>
  <c r="C200" i="23" s="1"/>
  <c r="L9" i="24"/>
  <c r="C190" i="23" s="1"/>
  <c r="L88" i="24"/>
  <c r="C247" i="23" s="1"/>
  <c r="J80" i="24"/>
  <c r="O80" i="24" s="1"/>
  <c r="J66" i="24"/>
  <c r="N66" i="24" s="1"/>
  <c r="J61" i="24"/>
  <c r="O61" i="24" s="1"/>
  <c r="L50" i="24"/>
  <c r="C219" i="23" s="1"/>
  <c r="J46" i="24"/>
  <c r="O46" i="24" s="1"/>
  <c r="J34" i="24"/>
  <c r="O34" i="24" s="1"/>
  <c r="L30" i="24"/>
  <c r="C206" i="23" s="1"/>
  <c r="L23" i="24"/>
  <c r="C201" i="23" s="1"/>
  <c r="L19" i="24"/>
  <c r="C197" i="23" s="1"/>
  <c r="L10" i="24"/>
  <c r="C191" i="23" s="1"/>
  <c r="J98" i="24"/>
  <c r="L95" i="24"/>
  <c r="C252" i="23" s="1"/>
  <c r="J92" i="24"/>
  <c r="N92" i="24" s="1"/>
  <c r="L89" i="24"/>
  <c r="C248" i="23" s="1"/>
  <c r="L64" i="24"/>
  <c r="C228" i="23" s="1"/>
  <c r="J62" i="24"/>
  <c r="N62" i="24" s="1"/>
  <c r="L53" i="24"/>
  <c r="C220" i="23" s="1"/>
  <c r="J47" i="24"/>
  <c r="O47" i="24" s="1"/>
  <c r="L45" i="24"/>
  <c r="C216" i="23" s="1"/>
  <c r="L31" i="24"/>
  <c r="C207" i="23" s="1"/>
  <c r="L24" i="24"/>
  <c r="C202" i="23" s="1"/>
  <c r="L20" i="24"/>
  <c r="C198" i="23" s="1"/>
  <c r="J88" i="24"/>
  <c r="N88" i="24" s="1"/>
  <c r="L80" i="24"/>
  <c r="C241" i="23" s="1"/>
  <c r="J50" i="24"/>
  <c r="L46" i="24"/>
  <c r="C217" i="23" s="1"/>
  <c r="L61" i="24"/>
  <c r="C225" i="23" s="1"/>
  <c r="L34" i="24"/>
  <c r="C208" i="23" s="1"/>
  <c r="L25" i="24"/>
  <c r="C203" i="23" s="1"/>
  <c r="L66" i="24"/>
  <c r="C229" i="23" s="1"/>
  <c r="L21" i="24"/>
  <c r="C199" i="23" s="1"/>
  <c r="L9" i="8"/>
  <c r="C122" i="23" s="1"/>
  <c r="O10" i="8"/>
  <c r="J9" i="8"/>
  <c r="O9" i="8" s="1"/>
  <c r="O80" i="11"/>
  <c r="N80" i="11"/>
  <c r="O83" i="11"/>
  <c r="N83" i="11"/>
  <c r="O70" i="11"/>
  <c r="N70" i="11"/>
  <c r="N67" i="11"/>
  <c r="O67" i="11"/>
  <c r="N71" i="11"/>
  <c r="O71" i="11"/>
  <c r="N57" i="11"/>
  <c r="O57" i="11"/>
  <c r="O58" i="11"/>
  <c r="N58" i="11"/>
  <c r="O45" i="11"/>
  <c r="N45" i="11"/>
  <c r="O13" i="8"/>
  <c r="N13" i="8"/>
  <c r="N14" i="8"/>
  <c r="O14" i="8"/>
  <c r="N8" i="8"/>
  <c r="O8" i="8"/>
  <c r="O71" i="5"/>
  <c r="N24" i="5"/>
  <c r="N20" i="5"/>
  <c r="N18" i="5"/>
  <c r="O18" i="5"/>
  <c r="N19" i="5"/>
  <c r="O19" i="5"/>
  <c r="O20" i="5"/>
  <c r="N21" i="5"/>
  <c r="N22" i="5"/>
  <c r="O22" i="5"/>
  <c r="N23" i="5"/>
  <c r="O23" i="5"/>
  <c r="N30" i="5"/>
  <c r="O30" i="5"/>
  <c r="N34" i="5"/>
  <c r="O34" i="5"/>
  <c r="N35" i="5"/>
  <c r="O35" i="5"/>
  <c r="N36" i="5"/>
  <c r="O36" i="5"/>
  <c r="N37" i="5"/>
  <c r="O37" i="5"/>
  <c r="N38" i="5"/>
  <c r="O38" i="5"/>
  <c r="N39" i="5"/>
  <c r="O39" i="5"/>
  <c r="N40" i="5"/>
  <c r="O40" i="5"/>
  <c r="N41" i="5"/>
  <c r="O41" i="5"/>
  <c r="N42" i="5"/>
  <c r="O42" i="5"/>
  <c r="N43" i="5"/>
  <c r="O43" i="5"/>
  <c r="N44" i="5"/>
  <c r="O44" i="5"/>
  <c r="N48" i="5"/>
  <c r="O48" i="5"/>
  <c r="N49" i="5"/>
  <c r="O49" i="5"/>
  <c r="N50" i="5"/>
  <c r="O50" i="5"/>
  <c r="N51" i="5"/>
  <c r="O51" i="5"/>
  <c r="N52" i="5"/>
  <c r="O52" i="5"/>
  <c r="N53" i="5"/>
  <c r="O53" i="5"/>
  <c r="N54" i="5"/>
  <c r="O54" i="5"/>
  <c r="N55" i="5"/>
  <c r="O55" i="5"/>
  <c r="N56" i="5"/>
  <c r="O56" i="5"/>
  <c r="N57" i="5"/>
  <c r="N67" i="5"/>
  <c r="O67" i="5"/>
  <c r="N68" i="5"/>
  <c r="O68" i="5"/>
  <c r="N69" i="5"/>
  <c r="O69" i="5"/>
  <c r="N70" i="5"/>
  <c r="O70" i="5"/>
  <c r="N71" i="5"/>
  <c r="N10" i="5"/>
  <c r="O10" i="5"/>
  <c r="N11" i="5"/>
  <c r="O11" i="5"/>
  <c r="N12" i="5"/>
  <c r="O12" i="5"/>
  <c r="N13" i="5"/>
  <c r="O13" i="5"/>
  <c r="N14" i="5"/>
  <c r="O14" i="5"/>
  <c r="N15" i="5"/>
  <c r="O15" i="5"/>
  <c r="N17" i="5"/>
  <c r="O17" i="5"/>
  <c r="O9" i="5"/>
  <c r="J7" i="6"/>
  <c r="N9" i="5"/>
  <c r="N26" i="24" l="1"/>
  <c r="O26" i="24"/>
  <c r="O16" i="24"/>
  <c r="N16" i="24"/>
  <c r="O30" i="26"/>
  <c r="N30" i="25"/>
  <c r="N30" i="24"/>
  <c r="N15" i="26"/>
  <c r="O15" i="26"/>
  <c r="N15" i="25"/>
  <c r="O15" i="25"/>
  <c r="C125" i="23"/>
  <c r="N15" i="24"/>
  <c r="O15" i="24"/>
  <c r="L22" i="6"/>
  <c r="C78" i="23" s="1"/>
  <c r="J22" i="6"/>
  <c r="N19" i="8"/>
  <c r="O19" i="8"/>
  <c r="N15" i="8"/>
  <c r="O15" i="8"/>
  <c r="C140" i="23"/>
  <c r="O24" i="26"/>
  <c r="O62" i="8"/>
  <c r="N23" i="26"/>
  <c r="O10" i="25"/>
  <c r="O9" i="24"/>
  <c r="N9" i="25"/>
  <c r="O21" i="24"/>
  <c r="O24" i="24"/>
  <c r="N21" i="25"/>
  <c r="O21" i="26"/>
  <c r="N19" i="26"/>
  <c r="N9" i="26"/>
  <c r="N22" i="24"/>
  <c r="O24" i="25"/>
  <c r="N20" i="25"/>
  <c r="O23" i="25"/>
  <c r="O10" i="24"/>
  <c r="N10" i="24"/>
  <c r="N19" i="25"/>
  <c r="N89" i="8"/>
  <c r="O20" i="24"/>
  <c r="N10" i="26"/>
  <c r="O10" i="26"/>
  <c r="N23" i="24"/>
  <c r="O22" i="25"/>
  <c r="N22" i="25"/>
  <c r="O20" i="26"/>
  <c r="O19" i="24"/>
  <c r="N22" i="26"/>
  <c r="O22" i="26"/>
  <c r="N27" i="25"/>
  <c r="O27" i="25"/>
  <c r="N25" i="24"/>
  <c r="O25" i="24"/>
  <c r="O25" i="25"/>
  <c r="N25" i="25"/>
  <c r="N27" i="26"/>
  <c r="O27" i="26"/>
  <c r="O27" i="24"/>
  <c r="N27" i="24"/>
  <c r="N25" i="26"/>
  <c r="O25" i="26"/>
  <c r="N25" i="8"/>
  <c r="O25" i="8"/>
  <c r="N27" i="8"/>
  <c r="O27" i="8"/>
  <c r="L10" i="6"/>
  <c r="C68" i="23" s="1"/>
  <c r="J23" i="6"/>
  <c r="J21" i="6"/>
  <c r="J55" i="6"/>
  <c r="N45" i="26"/>
  <c r="O98" i="25"/>
  <c r="O92" i="8"/>
  <c r="N10" i="8"/>
  <c r="O80" i="8"/>
  <c r="N21" i="8"/>
  <c r="O53" i="24"/>
  <c r="O7" i="6"/>
  <c r="L55" i="6"/>
  <c r="C99" i="23" s="1"/>
  <c r="L57" i="6"/>
  <c r="C101" i="23" s="1"/>
  <c r="L30" i="6"/>
  <c r="C82" i="23" s="1"/>
  <c r="L54" i="6"/>
  <c r="C98" i="23" s="1"/>
  <c r="L26" i="6"/>
  <c r="C80" i="23" s="1"/>
  <c r="L43" i="6"/>
  <c r="C92" i="23" s="1"/>
  <c r="L8" i="6"/>
  <c r="C67" i="23" s="1"/>
  <c r="L73" i="6"/>
  <c r="C114" i="23" s="1"/>
  <c r="L19" i="6"/>
  <c r="C75" i="23" s="1"/>
  <c r="L7" i="6"/>
  <c r="C66" i="23" s="1"/>
  <c r="L15" i="6"/>
  <c r="C71" i="23" s="1"/>
  <c r="L59" i="6"/>
  <c r="C102" i="23" s="1"/>
  <c r="L18" i="6"/>
  <c r="C74" i="23" s="1"/>
  <c r="L46" i="6"/>
  <c r="C93" i="23" s="1"/>
  <c r="O30" i="8"/>
  <c r="O89" i="25"/>
  <c r="O62" i="25"/>
  <c r="O95" i="8"/>
  <c r="O98" i="8"/>
  <c r="O47" i="8"/>
  <c r="O88" i="8"/>
  <c r="N24" i="8"/>
  <c r="O34" i="25"/>
  <c r="O45" i="8"/>
  <c r="O46" i="8"/>
  <c r="N80" i="24"/>
  <c r="O88" i="24"/>
  <c r="N61" i="8"/>
  <c r="N23" i="8"/>
  <c r="N50" i="25"/>
  <c r="N53" i="25"/>
  <c r="O88" i="25"/>
  <c r="N45" i="25"/>
  <c r="N46" i="25"/>
  <c r="O89" i="26"/>
  <c r="O22" i="8"/>
  <c r="N20" i="8"/>
  <c r="O50" i="8"/>
  <c r="N46" i="24"/>
  <c r="N61" i="24"/>
  <c r="N92" i="25"/>
  <c r="N80" i="25"/>
  <c r="O62" i="24"/>
  <c r="O34" i="8"/>
  <c r="O45" i="24"/>
  <c r="O61" i="25"/>
  <c r="O95" i="24"/>
  <c r="N66" i="8"/>
  <c r="O66" i="8"/>
  <c r="N53" i="26"/>
  <c r="O53" i="8"/>
  <c r="N9" i="8"/>
  <c r="N47" i="24"/>
  <c r="O66" i="26"/>
  <c r="O95" i="25"/>
  <c r="N34" i="24"/>
  <c r="N92" i="26"/>
  <c r="N50" i="26"/>
  <c r="N47" i="25"/>
  <c r="O47" i="25"/>
  <c r="N66" i="25"/>
  <c r="N98" i="24"/>
  <c r="O98" i="24"/>
  <c r="N61" i="26"/>
  <c r="O66" i="24"/>
  <c r="O34" i="26"/>
  <c r="O95" i="26"/>
  <c r="O50" i="24"/>
  <c r="N50" i="24"/>
  <c r="N46" i="26"/>
  <c r="N89" i="24"/>
  <c r="O47" i="26"/>
  <c r="N47" i="26"/>
  <c r="N80" i="26"/>
  <c r="O80" i="26"/>
  <c r="O62" i="26"/>
  <c r="N62" i="26"/>
  <c r="O88" i="26"/>
  <c r="N88" i="26"/>
  <c r="O92" i="24"/>
  <c r="N98" i="26"/>
  <c r="O98" i="26"/>
  <c r="J41" i="6"/>
  <c r="L27" i="6"/>
  <c r="C81" i="23" s="1"/>
  <c r="L20" i="6"/>
  <c r="C76" i="23" s="1"/>
  <c r="J16" i="6"/>
  <c r="J18" i="6"/>
  <c r="J14" i="6"/>
  <c r="L23" i="6"/>
  <c r="C79" i="23" s="1"/>
  <c r="J20" i="6"/>
  <c r="L42" i="6"/>
  <c r="C91" i="23" s="1"/>
  <c r="J46" i="6"/>
  <c r="J8" i="6"/>
  <c r="O8" i="6" s="1"/>
  <c r="L17" i="6"/>
  <c r="C73" i="23" s="1"/>
  <c r="J13" i="6"/>
  <c r="J59" i="6"/>
  <c r="J30" i="6"/>
  <c r="J42" i="6"/>
  <c r="J54" i="6"/>
  <c r="L21" i="6"/>
  <c r="C77" i="23" s="1"/>
  <c r="J17" i="6"/>
  <c r="L41" i="6"/>
  <c r="C90" i="23" s="1"/>
  <c r="J73" i="6"/>
  <c r="J43" i="6"/>
  <c r="J19" i="6"/>
  <c r="L16" i="6"/>
  <c r="C72" i="23" s="1"/>
  <c r="J15" i="6"/>
  <c r="J26" i="6"/>
  <c r="O4" i="11"/>
  <c r="N4" i="11"/>
  <c r="N7" i="6"/>
  <c r="M74" i="6"/>
  <c r="M75" i="6"/>
  <c r="M76" i="6"/>
  <c r="M77" i="6"/>
  <c r="M78" i="6"/>
  <c r="M73" i="6"/>
  <c r="M60" i="6"/>
  <c r="M61" i="6"/>
  <c r="M62" i="6"/>
  <c r="M63" i="6"/>
  <c r="M64" i="6"/>
  <c r="M65" i="6"/>
  <c r="M66" i="6"/>
  <c r="M67" i="6"/>
  <c r="M68" i="6"/>
  <c r="M69" i="6"/>
  <c r="M70" i="6"/>
  <c r="M59" i="6"/>
  <c r="M55" i="6"/>
  <c r="M56" i="6"/>
  <c r="M57" i="6"/>
  <c r="M54" i="6"/>
  <c r="M47" i="6"/>
  <c r="M48" i="6"/>
  <c r="M49" i="6"/>
  <c r="M51" i="6"/>
  <c r="M42" i="6"/>
  <c r="M43" i="6"/>
  <c r="M46" i="6"/>
  <c r="M41" i="6"/>
  <c r="M31" i="6"/>
  <c r="M32" i="6"/>
  <c r="M33" i="6"/>
  <c r="M34" i="6"/>
  <c r="M35" i="6"/>
  <c r="M36" i="6"/>
  <c r="M30" i="6"/>
  <c r="M27" i="6"/>
  <c r="M26" i="6"/>
  <c r="M14" i="6"/>
  <c r="M15" i="6"/>
  <c r="M16" i="6"/>
  <c r="M17" i="6"/>
  <c r="M18" i="6"/>
  <c r="M19" i="6"/>
  <c r="M20" i="6"/>
  <c r="M21" i="6"/>
  <c r="M23" i="6"/>
  <c r="M7" i="6"/>
  <c r="M8" i="6"/>
  <c r="M10" i="6"/>
  <c r="M13" i="6"/>
  <c r="M6" i="6"/>
  <c r="C23" i="23"/>
  <c r="O57" i="5"/>
  <c r="N22" i="6" l="1"/>
  <c r="O22" i="6"/>
  <c r="N55" i="6"/>
  <c r="O55" i="6"/>
  <c r="N21" i="6"/>
  <c r="O21" i="6"/>
  <c r="N23" i="6"/>
  <c r="O23" i="6"/>
  <c r="K4" i="11"/>
  <c r="B11" i="22" s="1"/>
  <c r="E11" i="22" s="1"/>
  <c r="N17" i="6"/>
  <c r="O17" i="6"/>
  <c r="N54" i="6"/>
  <c r="O54" i="6"/>
  <c r="N30" i="6"/>
  <c r="O30" i="6"/>
  <c r="N43" i="6"/>
  <c r="O43" i="6"/>
  <c r="N13" i="6"/>
  <c r="N26" i="6"/>
  <c r="O26" i="6"/>
  <c r="N59" i="6"/>
  <c r="O59" i="6"/>
  <c r="N14" i="6"/>
  <c r="N18" i="6"/>
  <c r="O18" i="6"/>
  <c r="N10" i="6"/>
  <c r="O10" i="6"/>
  <c r="N15" i="6"/>
  <c r="O15" i="6"/>
  <c r="N19" i="6"/>
  <c r="O19" i="6"/>
  <c r="N46" i="6"/>
  <c r="O46" i="6"/>
  <c r="N8" i="6"/>
  <c r="N16" i="6"/>
  <c r="O16" i="6"/>
  <c r="N20" i="6"/>
  <c r="O20" i="6"/>
  <c r="N41" i="6"/>
  <c r="O41" i="6"/>
  <c r="O73" i="6"/>
  <c r="N73" i="6"/>
  <c r="N42" i="6"/>
  <c r="O42" i="6"/>
  <c r="O21" i="5"/>
  <c r="C25" i="23"/>
  <c r="M8" i="5"/>
  <c r="M9" i="5"/>
  <c r="M10" i="5"/>
  <c r="M11" i="5"/>
  <c r="M12" i="5"/>
  <c r="M13" i="5"/>
  <c r="M14" i="5"/>
  <c r="M15" i="5"/>
  <c r="M17" i="5"/>
  <c r="M20" i="5"/>
  <c r="M21" i="5"/>
  <c r="M24" i="5"/>
  <c r="M25" i="5"/>
  <c r="M26" i="5"/>
  <c r="M27" i="5"/>
  <c r="M28" i="5"/>
  <c r="M29" i="5"/>
  <c r="M30" i="5"/>
  <c r="M35" i="5"/>
  <c r="M36" i="5"/>
  <c r="M37" i="5"/>
  <c r="M40" i="5"/>
  <c r="M41" i="5"/>
  <c r="M44" i="5"/>
  <c r="M45" i="5"/>
  <c r="M46" i="5"/>
  <c r="M47" i="5"/>
  <c r="M49" i="5"/>
  <c r="M52" i="5"/>
  <c r="M53" i="5"/>
  <c r="M54" i="5"/>
  <c r="M55" i="5"/>
  <c r="M57" i="5"/>
  <c r="M58" i="5"/>
  <c r="M59" i="5"/>
  <c r="M60" i="5"/>
  <c r="M61" i="5"/>
  <c r="M62" i="5"/>
  <c r="M63" i="5"/>
  <c r="M64" i="5"/>
  <c r="M65" i="5"/>
  <c r="M66" i="5"/>
  <c r="M67" i="5"/>
  <c r="M68" i="5"/>
  <c r="M71" i="5"/>
  <c r="M72" i="5"/>
  <c r="M73" i="5"/>
  <c r="M74" i="5"/>
  <c r="M75" i="5"/>
  <c r="M76" i="5"/>
  <c r="M7" i="5"/>
  <c r="O24" i="5" l="1"/>
  <c r="E18" i="22"/>
  <c r="A22" i="21" l="1"/>
  <c r="A26" i="22" l="1"/>
  <c r="A40" i="21"/>
  <c r="A38" i="21" s="1"/>
  <c r="A39" i="21" s="1"/>
  <c r="E18" i="26" l="1"/>
  <c r="E17" i="26"/>
  <c r="E18" i="25"/>
  <c r="E17" i="25"/>
  <c r="E18" i="24"/>
  <c r="E17" i="24"/>
  <c r="E14" i="6"/>
  <c r="L14" i="6" s="1"/>
  <c r="C70" i="23" s="1"/>
  <c r="E13" i="6"/>
  <c r="L13" i="6" s="1"/>
  <c r="C69" i="23" s="1"/>
  <c r="O7" i="9"/>
  <c r="K18" i="26" l="1"/>
  <c r="O18" i="26" s="1"/>
  <c r="L18" i="26"/>
  <c r="C332" i="23" s="1"/>
  <c r="K17" i="26"/>
  <c r="O17" i="26" s="1"/>
  <c r="L17" i="26"/>
  <c r="C331" i="23" s="1"/>
  <c r="L17" i="8"/>
  <c r="C127" i="23" s="1"/>
  <c r="K17" i="8"/>
  <c r="O17" i="8" s="1"/>
  <c r="L18" i="8"/>
  <c r="C128" i="23" s="1"/>
  <c r="K18" i="8"/>
  <c r="O18" i="8" s="1"/>
  <c r="L18" i="25"/>
  <c r="C264" i="23" s="1"/>
  <c r="K18" i="25"/>
  <c r="O18" i="25" s="1"/>
  <c r="L17" i="25"/>
  <c r="C263" i="23" s="1"/>
  <c r="K17" i="25"/>
  <c r="O17" i="25" s="1"/>
  <c r="K18" i="24"/>
  <c r="O18" i="24" s="1"/>
  <c r="L18" i="24"/>
  <c r="C196" i="23" s="1"/>
  <c r="K17" i="24"/>
  <c r="O17" i="24" s="1"/>
  <c r="L17" i="24"/>
  <c r="C195" i="23" s="1"/>
  <c r="O9" i="9"/>
  <c r="O8" i="9"/>
  <c r="O6" i="9"/>
  <c r="K7" i="5"/>
  <c r="O7" i="5" s="1"/>
  <c r="L7" i="5"/>
  <c r="C12" i="23" s="1"/>
  <c r="L8" i="5"/>
  <c r="C13" i="23" s="1"/>
  <c r="K8" i="5"/>
  <c r="O8" i="5" s="1"/>
  <c r="K13" i="6"/>
  <c r="O13" i="6" s="1"/>
  <c r="K14" i="6"/>
  <c r="O14" i="6" s="1"/>
  <c r="A35" i="21"/>
  <c r="A30" i="22" s="1"/>
  <c r="A36" i="21"/>
  <c r="A34" i="21"/>
  <c r="A31" i="21"/>
  <c r="A29" i="22" s="1"/>
  <c r="A32" i="21"/>
  <c r="A30" i="21"/>
  <c r="A27" i="21"/>
  <c r="A28" i="22" s="1"/>
  <c r="A28" i="21"/>
  <c r="A26" i="21"/>
  <c r="A23" i="21"/>
  <c r="A27" i="22" s="1"/>
  <c r="A24" i="21"/>
  <c r="L8" i="14" l="1"/>
  <c r="A20" i="21"/>
  <c r="A15" i="21"/>
  <c r="A14" i="21"/>
  <c r="J25" i="14" l="1"/>
  <c r="J23" i="14"/>
  <c r="J19" i="14"/>
  <c r="J22" i="14"/>
  <c r="J24" i="14"/>
  <c r="J21" i="14"/>
  <c r="J8" i="14"/>
  <c r="C491" i="23"/>
  <c r="A22" i="22"/>
  <c r="A23" i="22"/>
  <c r="A21" i="22"/>
  <c r="A10" i="4"/>
  <c r="L10" i="4" s="1"/>
  <c r="L20" i="14" l="1"/>
  <c r="J20" i="14"/>
  <c r="N19" i="14"/>
  <c r="O19" i="14"/>
  <c r="N22" i="14"/>
  <c r="O22" i="14"/>
  <c r="O24" i="14"/>
  <c r="N24" i="14"/>
  <c r="N21" i="14"/>
  <c r="O21" i="14"/>
  <c r="N25" i="14"/>
  <c r="O25" i="14"/>
  <c r="N23" i="14"/>
  <c r="O23" i="14"/>
  <c r="L17" i="14"/>
  <c r="J17" i="14"/>
  <c r="J10" i="4"/>
  <c r="C6" i="23"/>
  <c r="N8" i="14"/>
  <c r="O8" i="14"/>
  <c r="A25" i="22"/>
  <c r="L23" i="14"/>
  <c r="C501" i="23" s="1"/>
  <c r="L24" i="14"/>
  <c r="C502" i="23" s="1"/>
  <c r="L25" i="14"/>
  <c r="C503" i="23" s="1"/>
  <c r="L13" i="14"/>
  <c r="C498" i="23" l="1"/>
  <c r="N20" i="14"/>
  <c r="O20" i="14"/>
  <c r="L19" i="14"/>
  <c r="C497" i="23" s="1"/>
  <c r="L11" i="14"/>
  <c r="C492" i="23" s="1"/>
  <c r="L22" i="14"/>
  <c r="C500" i="23" s="1"/>
  <c r="L14" i="14"/>
  <c r="C494" i="23" s="1"/>
  <c r="J14" i="14"/>
  <c r="O5" i="9"/>
  <c r="N10" i="9" s="1"/>
  <c r="N11" i="9" s="1"/>
  <c r="C493" i="23"/>
  <c r="L21" i="14"/>
  <c r="C499" i="23" s="1"/>
  <c r="L18" i="14"/>
  <c r="C496" i="23" s="1"/>
  <c r="J18" i="14"/>
  <c r="C495" i="23"/>
  <c r="J11" i="14"/>
  <c r="O14" i="14" l="1"/>
  <c r="N14" i="14"/>
  <c r="O17" i="14"/>
  <c r="N17" i="14"/>
  <c r="O18" i="14"/>
  <c r="N18" i="14"/>
  <c r="O11" i="14"/>
  <c r="N11" i="14"/>
  <c r="A20" i="10"/>
  <c r="A21" i="10"/>
  <c r="L21" i="10" s="1"/>
  <c r="C402" i="23" s="1"/>
  <c r="A22" i="10"/>
  <c r="A23" i="10"/>
  <c r="A24" i="10"/>
  <c r="A19" i="10"/>
  <c r="L19" i="10" l="1"/>
  <c r="C400" i="23" s="1"/>
  <c r="J20" i="10"/>
  <c r="N20" i="10" s="1"/>
  <c r="L20" i="10"/>
  <c r="C401" i="23" s="1"/>
  <c r="J23" i="10"/>
  <c r="O23" i="10" s="1"/>
  <c r="L23" i="10"/>
  <c r="C404" i="23" s="1"/>
  <c r="J22" i="10"/>
  <c r="N22" i="10" s="1"/>
  <c r="L22" i="10"/>
  <c r="C403" i="23" s="1"/>
  <c r="J24" i="10"/>
  <c r="N24" i="10" s="1"/>
  <c r="L24" i="10"/>
  <c r="C405" i="23" s="1"/>
  <c r="N4" i="14"/>
  <c r="O4" i="14"/>
  <c r="J19" i="10"/>
  <c r="N23" i="10" l="1"/>
  <c r="O20" i="10"/>
  <c r="O22" i="10"/>
  <c r="O24" i="10"/>
  <c r="K4" i="14"/>
  <c r="B14" i="22" s="1"/>
  <c r="E14" i="22" s="1"/>
  <c r="N19" i="10"/>
  <c r="O19" i="10"/>
  <c r="N4" i="10" l="1"/>
  <c r="O4" i="10"/>
  <c r="K4" i="10" l="1"/>
  <c r="B10" i="22" s="1"/>
  <c r="E10" i="22" s="1"/>
  <c r="C42" i="23"/>
  <c r="C510" i="23" l="1"/>
  <c r="J11" i="15"/>
  <c r="J19" i="15"/>
  <c r="C514" i="23"/>
  <c r="J15" i="15"/>
  <c r="C512" i="23"/>
  <c r="J13" i="15"/>
  <c r="J17" i="15"/>
  <c r="L17" i="15"/>
  <c r="C516" i="23" s="1"/>
  <c r="J16" i="15"/>
  <c r="L16" i="15"/>
  <c r="C515" i="23" s="1"/>
  <c r="L12" i="15"/>
  <c r="C511" i="23" s="1"/>
  <c r="J12" i="15"/>
  <c r="C517" i="23"/>
  <c r="J14" i="15"/>
  <c r="L14" i="15"/>
  <c r="C513" i="23" s="1"/>
  <c r="L25" i="5" l="1"/>
  <c r="C26" i="23" s="1"/>
  <c r="J25" i="5"/>
  <c r="O19" i="15"/>
  <c r="N19" i="15"/>
  <c r="O15" i="15"/>
  <c r="N15" i="15"/>
  <c r="O16" i="15"/>
  <c r="N16" i="15"/>
  <c r="N14" i="15"/>
  <c r="O14" i="15"/>
  <c r="N17" i="15"/>
  <c r="O17" i="15"/>
  <c r="O12" i="15"/>
  <c r="N12" i="15"/>
  <c r="O11" i="15"/>
  <c r="N11" i="15"/>
  <c r="O13" i="15"/>
  <c r="N13" i="15"/>
  <c r="L19" i="12"/>
  <c r="C473" i="23" s="1"/>
  <c r="L20" i="12"/>
  <c r="C474" i="23" s="1"/>
  <c r="L22" i="12"/>
  <c r="C476" i="23" s="1"/>
  <c r="L23" i="12"/>
  <c r="C477" i="23" s="1"/>
  <c r="L27" i="12"/>
  <c r="C479" i="23" s="1"/>
  <c r="L28" i="12"/>
  <c r="C480" i="23" s="1"/>
  <c r="L30" i="12"/>
  <c r="C482" i="23" s="1"/>
  <c r="L31" i="12"/>
  <c r="C483" i="23" s="1"/>
  <c r="L35" i="12"/>
  <c r="C485" i="23" s="1"/>
  <c r="L36" i="12"/>
  <c r="C486" i="23" s="1"/>
  <c r="L38" i="12"/>
  <c r="C488" i="23" s="1"/>
  <c r="L39" i="12"/>
  <c r="C489" i="23" s="1"/>
  <c r="A85" i="26"/>
  <c r="J85" i="26" s="1"/>
  <c r="A84" i="26"/>
  <c r="J84" i="26" s="1"/>
  <c r="A83" i="26"/>
  <c r="A82" i="26"/>
  <c r="A81" i="26"/>
  <c r="A77" i="26"/>
  <c r="J77" i="26" s="1"/>
  <c r="A76" i="26"/>
  <c r="J76" i="26" s="1"/>
  <c r="A75" i="26"/>
  <c r="A74" i="26"/>
  <c r="A73" i="26"/>
  <c r="A72" i="26"/>
  <c r="A71" i="26"/>
  <c r="A70" i="26"/>
  <c r="A69" i="26"/>
  <c r="A68" i="26"/>
  <c r="A67" i="26"/>
  <c r="A63" i="26"/>
  <c r="J63" i="26" s="1"/>
  <c r="A58" i="26"/>
  <c r="A57" i="26"/>
  <c r="A56" i="26"/>
  <c r="J56" i="26" s="1"/>
  <c r="A55" i="26"/>
  <c r="J55" i="26" s="1"/>
  <c r="A54" i="26"/>
  <c r="J54" i="26" s="1"/>
  <c r="A40" i="26"/>
  <c r="A39" i="26"/>
  <c r="A38" i="26"/>
  <c r="A37" i="26"/>
  <c r="A36" i="26"/>
  <c r="A35" i="26"/>
  <c r="A85" i="25"/>
  <c r="J85" i="25" s="1"/>
  <c r="A84" i="25"/>
  <c r="J84" i="25" s="1"/>
  <c r="A83" i="25"/>
  <c r="A82" i="25"/>
  <c r="A81" i="25"/>
  <c r="A77" i="25"/>
  <c r="J77" i="25" s="1"/>
  <c r="A76" i="25"/>
  <c r="J76" i="25" s="1"/>
  <c r="A75" i="25"/>
  <c r="A74" i="25"/>
  <c r="A73" i="25"/>
  <c r="A72" i="25"/>
  <c r="A71" i="25"/>
  <c r="A70" i="25"/>
  <c r="A69" i="25"/>
  <c r="A68" i="25"/>
  <c r="A67" i="25"/>
  <c r="A63" i="25"/>
  <c r="J63" i="25" s="1"/>
  <c r="A58" i="25"/>
  <c r="L58" i="25" s="1"/>
  <c r="A57" i="25"/>
  <c r="A56" i="25"/>
  <c r="J56" i="25" s="1"/>
  <c r="A55" i="25"/>
  <c r="J55" i="25" s="1"/>
  <c r="A54" i="25"/>
  <c r="J54" i="25" s="1"/>
  <c r="A40" i="25"/>
  <c r="J40" i="25" s="1"/>
  <c r="A39" i="25"/>
  <c r="A38" i="25"/>
  <c r="A37" i="25"/>
  <c r="A36" i="25"/>
  <c r="A35" i="25"/>
  <c r="A85" i="24"/>
  <c r="A84" i="24"/>
  <c r="A83" i="24"/>
  <c r="A82" i="24"/>
  <c r="A81" i="24"/>
  <c r="A77" i="24"/>
  <c r="A76" i="24"/>
  <c r="A75" i="24"/>
  <c r="A74" i="24"/>
  <c r="A73" i="24"/>
  <c r="A72" i="24"/>
  <c r="A71" i="24"/>
  <c r="A70" i="24"/>
  <c r="A69" i="24"/>
  <c r="A68" i="24"/>
  <c r="A67" i="24"/>
  <c r="A63" i="24"/>
  <c r="A58" i="24"/>
  <c r="L58" i="24" s="1"/>
  <c r="C224" i="23" s="1"/>
  <c r="A57" i="24"/>
  <c r="A56" i="24"/>
  <c r="A55" i="24"/>
  <c r="A54" i="24"/>
  <c r="A35" i="24"/>
  <c r="O54" i="26" l="1"/>
  <c r="N54" i="26"/>
  <c r="N55" i="26"/>
  <c r="O55" i="26"/>
  <c r="O56" i="26"/>
  <c r="N56" i="26"/>
  <c r="N63" i="26"/>
  <c r="O63" i="26"/>
  <c r="N85" i="26"/>
  <c r="O85" i="26"/>
  <c r="O55" i="25"/>
  <c r="N55" i="25"/>
  <c r="N56" i="25"/>
  <c r="O56" i="25"/>
  <c r="N54" i="25"/>
  <c r="O54" i="25"/>
  <c r="N63" i="25"/>
  <c r="O63" i="25"/>
  <c r="N85" i="25"/>
  <c r="O85" i="25"/>
  <c r="L54" i="24"/>
  <c r="C221" i="23" s="1"/>
  <c r="J54" i="24"/>
  <c r="L55" i="24"/>
  <c r="C222" i="23" s="1"/>
  <c r="J55" i="24"/>
  <c r="L56" i="24"/>
  <c r="C223" i="23" s="1"/>
  <c r="J56" i="24"/>
  <c r="L63" i="24"/>
  <c r="C227" i="23" s="1"/>
  <c r="J63" i="24"/>
  <c r="L85" i="24"/>
  <c r="C246" i="23" s="1"/>
  <c r="J85" i="24"/>
  <c r="L40" i="26"/>
  <c r="C350" i="23" s="1"/>
  <c r="J40" i="26"/>
  <c r="O76" i="26"/>
  <c r="N76" i="26"/>
  <c r="N77" i="26"/>
  <c r="O77" i="26"/>
  <c r="N84" i="26"/>
  <c r="O84" i="26"/>
  <c r="O40" i="25"/>
  <c r="N40" i="25"/>
  <c r="O77" i="25"/>
  <c r="N77" i="25"/>
  <c r="N76" i="25"/>
  <c r="O76" i="25"/>
  <c r="O84" i="25"/>
  <c r="N84" i="25"/>
  <c r="L40" i="24"/>
  <c r="C214" i="23" s="1"/>
  <c r="J40" i="24"/>
  <c r="L76" i="24"/>
  <c r="C239" i="23" s="1"/>
  <c r="J76" i="24"/>
  <c r="L77" i="24"/>
  <c r="C240" i="23" s="1"/>
  <c r="J77" i="24"/>
  <c r="L84" i="24"/>
  <c r="C245" i="23" s="1"/>
  <c r="J84" i="24"/>
  <c r="L85" i="26"/>
  <c r="C382" i="23" s="1"/>
  <c r="L83" i="26"/>
  <c r="C380" i="23" s="1"/>
  <c r="J83" i="26"/>
  <c r="J81" i="26"/>
  <c r="L81" i="26"/>
  <c r="C378" i="23" s="1"/>
  <c r="L84" i="26"/>
  <c r="C381" i="23" s="1"/>
  <c r="L82" i="26"/>
  <c r="C379" i="23" s="1"/>
  <c r="J82" i="26"/>
  <c r="L72" i="26"/>
  <c r="C371" i="23" s="1"/>
  <c r="J72" i="26"/>
  <c r="L73" i="26"/>
  <c r="C372" i="23" s="1"/>
  <c r="J73" i="26"/>
  <c r="L71" i="26"/>
  <c r="C370" i="23" s="1"/>
  <c r="J71" i="26"/>
  <c r="J74" i="26"/>
  <c r="L74" i="26"/>
  <c r="C373" i="23" s="1"/>
  <c r="L76" i="26"/>
  <c r="C375" i="23" s="1"/>
  <c r="L75" i="26"/>
  <c r="C374" i="23" s="1"/>
  <c r="J75" i="26"/>
  <c r="J69" i="26"/>
  <c r="L69" i="26"/>
  <c r="C368" i="23" s="1"/>
  <c r="L77" i="26"/>
  <c r="C376" i="23" s="1"/>
  <c r="L67" i="26"/>
  <c r="C366" i="23" s="1"/>
  <c r="J67" i="26"/>
  <c r="L68" i="26"/>
  <c r="C367" i="23" s="1"/>
  <c r="J68" i="26"/>
  <c r="L70" i="26"/>
  <c r="C369" i="23" s="1"/>
  <c r="J70" i="26"/>
  <c r="L63" i="26"/>
  <c r="C363" i="23" s="1"/>
  <c r="L54" i="26"/>
  <c r="C357" i="23" s="1"/>
  <c r="L55" i="26"/>
  <c r="C358" i="23" s="1"/>
  <c r="L58" i="26"/>
  <c r="C360" i="23" s="1"/>
  <c r="L56" i="26"/>
  <c r="C359" i="23" s="1"/>
  <c r="J38" i="26"/>
  <c r="L38" i="26"/>
  <c r="C348" i="23" s="1"/>
  <c r="L36" i="26"/>
  <c r="C346" i="23" s="1"/>
  <c r="J36" i="26"/>
  <c r="L37" i="26"/>
  <c r="C347" i="23" s="1"/>
  <c r="J37" i="26"/>
  <c r="L39" i="26"/>
  <c r="C349" i="23" s="1"/>
  <c r="J39" i="26"/>
  <c r="L35" i="26"/>
  <c r="C345" i="23" s="1"/>
  <c r="J35" i="26"/>
  <c r="L82" i="25"/>
  <c r="C311" i="23" s="1"/>
  <c r="J82" i="25"/>
  <c r="J83" i="25"/>
  <c r="L83" i="25"/>
  <c r="C312" i="23" s="1"/>
  <c r="L81" i="25"/>
  <c r="C310" i="23" s="1"/>
  <c r="J81" i="25"/>
  <c r="L85" i="25"/>
  <c r="C314" i="23" s="1"/>
  <c r="L84" i="25"/>
  <c r="C313" i="23" s="1"/>
  <c r="L77" i="25"/>
  <c r="C308" i="23" s="1"/>
  <c r="J70" i="25"/>
  <c r="L70" i="25"/>
  <c r="C301" i="23" s="1"/>
  <c r="L69" i="25"/>
  <c r="C300" i="23" s="1"/>
  <c r="J69" i="25"/>
  <c r="L71" i="25"/>
  <c r="C302" i="23" s="1"/>
  <c r="J71" i="25"/>
  <c r="J72" i="25"/>
  <c r="L72" i="25"/>
  <c r="C303" i="23" s="1"/>
  <c r="L73" i="25"/>
  <c r="C304" i="23" s="1"/>
  <c r="J73" i="25"/>
  <c r="L68" i="25"/>
  <c r="C299" i="23" s="1"/>
  <c r="J68" i="25"/>
  <c r="L74" i="25"/>
  <c r="C305" i="23" s="1"/>
  <c r="J74" i="25"/>
  <c r="L76" i="25"/>
  <c r="C307" i="23" s="1"/>
  <c r="J67" i="25"/>
  <c r="L67" i="25"/>
  <c r="C298" i="23" s="1"/>
  <c r="J75" i="25"/>
  <c r="L75" i="25"/>
  <c r="C306" i="23" s="1"/>
  <c r="L63" i="25"/>
  <c r="C295" i="23" s="1"/>
  <c r="L54" i="25"/>
  <c r="C289" i="23" s="1"/>
  <c r="L55" i="25"/>
  <c r="C290" i="23" s="1"/>
  <c r="L56" i="25"/>
  <c r="C291" i="23" s="1"/>
  <c r="J35" i="25"/>
  <c r="L35" i="25"/>
  <c r="C277" i="23" s="1"/>
  <c r="L36" i="25"/>
  <c r="C278" i="23" s="1"/>
  <c r="J36" i="25"/>
  <c r="L40" i="25"/>
  <c r="C282" i="23" s="1"/>
  <c r="J38" i="25"/>
  <c r="L38" i="25"/>
  <c r="C280" i="23" s="1"/>
  <c r="L39" i="25"/>
  <c r="C281" i="23" s="1"/>
  <c r="J39" i="25"/>
  <c r="L37" i="25"/>
  <c r="C279" i="23" s="1"/>
  <c r="J37" i="25"/>
  <c r="C292" i="23"/>
  <c r="L36" i="24"/>
  <c r="C210" i="23" s="1"/>
  <c r="J36" i="24"/>
  <c r="L72" i="24"/>
  <c r="C235" i="23" s="1"/>
  <c r="J72" i="24"/>
  <c r="J69" i="24"/>
  <c r="L69" i="24"/>
  <c r="C232" i="23" s="1"/>
  <c r="J73" i="24"/>
  <c r="L73" i="24"/>
  <c r="C236" i="23" s="1"/>
  <c r="J70" i="24"/>
  <c r="L70" i="24"/>
  <c r="C233" i="23" s="1"/>
  <c r="J74" i="24"/>
  <c r="L74" i="24"/>
  <c r="C237" i="23" s="1"/>
  <c r="J81" i="24"/>
  <c r="L81" i="24"/>
  <c r="C242" i="23" s="1"/>
  <c r="L68" i="24"/>
  <c r="C231" i="23" s="1"/>
  <c r="J68" i="24"/>
  <c r="L83" i="24"/>
  <c r="C244" i="23" s="1"/>
  <c r="J83" i="24"/>
  <c r="L37" i="24"/>
  <c r="C211" i="23" s="1"/>
  <c r="J37" i="24"/>
  <c r="J38" i="24"/>
  <c r="L38" i="24"/>
  <c r="C212" i="23" s="1"/>
  <c r="J35" i="24"/>
  <c r="L35" i="24"/>
  <c r="C209" i="23" s="1"/>
  <c r="J39" i="24"/>
  <c r="L39" i="24"/>
  <c r="C213" i="23" s="1"/>
  <c r="L67" i="24"/>
  <c r="C230" i="23" s="1"/>
  <c r="J67" i="24"/>
  <c r="L71" i="24"/>
  <c r="C234" i="23" s="1"/>
  <c r="J71" i="24"/>
  <c r="L75" i="24"/>
  <c r="C238" i="23" s="1"/>
  <c r="J75" i="24"/>
  <c r="J82" i="24"/>
  <c r="L82" i="24"/>
  <c r="C243" i="23" s="1"/>
  <c r="L34" i="12"/>
  <c r="C484" i="23" s="1"/>
  <c r="L26" i="12"/>
  <c r="C478" i="23" s="1"/>
  <c r="L18" i="12"/>
  <c r="C472" i="23" s="1"/>
  <c r="L37" i="12"/>
  <c r="C487" i="23" s="1"/>
  <c r="L29" i="12"/>
  <c r="C481" i="23" s="1"/>
  <c r="L21" i="12"/>
  <c r="C475" i="23" s="1"/>
  <c r="O25" i="5"/>
  <c r="N25" i="5"/>
  <c r="N4" i="15"/>
  <c r="O4" i="15"/>
  <c r="A62" i="17"/>
  <c r="L62" i="17" s="1"/>
  <c r="A63" i="17"/>
  <c r="A64" i="17"/>
  <c r="A65" i="17"/>
  <c r="A66" i="17"/>
  <c r="A61" i="17"/>
  <c r="L61" i="17" s="1"/>
  <c r="A55" i="17"/>
  <c r="L55" i="17" s="1"/>
  <c r="A56" i="17"/>
  <c r="A57" i="17"/>
  <c r="A58" i="17"/>
  <c r="A59" i="17"/>
  <c r="A54" i="17"/>
  <c r="L54" i="17" s="1"/>
  <c r="A118" i="16"/>
  <c r="A119" i="16"/>
  <c r="A120" i="16"/>
  <c r="A121" i="16"/>
  <c r="A122" i="16"/>
  <c r="A123" i="16"/>
  <c r="A124" i="16"/>
  <c r="L124" i="16" s="1"/>
  <c r="A117" i="16"/>
  <c r="L117" i="16" s="1"/>
  <c r="C608" i="23" s="1"/>
  <c r="A107" i="16"/>
  <c r="A108" i="16"/>
  <c r="A109" i="16"/>
  <c r="A110" i="16"/>
  <c r="A111" i="16"/>
  <c r="L111" i="16" s="1"/>
  <c r="C605" i="23" s="1"/>
  <c r="A112" i="16"/>
  <c r="A113" i="16"/>
  <c r="L113" i="16" s="1"/>
  <c r="A106" i="16"/>
  <c r="L106" i="16" s="1"/>
  <c r="C603" i="23" s="1"/>
  <c r="A94" i="16"/>
  <c r="L94" i="16" s="1"/>
  <c r="A95" i="16"/>
  <c r="A96" i="16"/>
  <c r="L96" i="16" s="1"/>
  <c r="A97" i="16"/>
  <c r="A98" i="16"/>
  <c r="A99" i="16"/>
  <c r="A100" i="16"/>
  <c r="A101" i="16"/>
  <c r="A102" i="16"/>
  <c r="A93" i="16"/>
  <c r="L93" i="16" s="1"/>
  <c r="C596" i="23" s="1"/>
  <c r="A82" i="16"/>
  <c r="A83" i="16"/>
  <c r="A84" i="16"/>
  <c r="A85" i="16"/>
  <c r="A86" i="16"/>
  <c r="A87" i="16"/>
  <c r="A88" i="16"/>
  <c r="L88" i="16" s="1"/>
  <c r="A81" i="16"/>
  <c r="L81" i="16" s="1"/>
  <c r="C591" i="23" s="1"/>
  <c r="A71" i="16"/>
  <c r="A72" i="16"/>
  <c r="A73" i="16"/>
  <c r="A74" i="16"/>
  <c r="A75" i="16"/>
  <c r="A76" i="16"/>
  <c r="A77" i="16"/>
  <c r="A70" i="16"/>
  <c r="L70" i="16" s="1"/>
  <c r="C586" i="23" s="1"/>
  <c r="A66" i="16"/>
  <c r="A60" i="16"/>
  <c r="A61" i="16"/>
  <c r="A62" i="16"/>
  <c r="A63" i="16"/>
  <c r="A64" i="16"/>
  <c r="A65" i="16"/>
  <c r="A59" i="16"/>
  <c r="L59" i="16" s="1"/>
  <c r="C581" i="23" s="1"/>
  <c r="A47" i="16"/>
  <c r="L47" i="16" s="1"/>
  <c r="A48" i="16"/>
  <c r="A49" i="16"/>
  <c r="A50" i="16"/>
  <c r="A51" i="16"/>
  <c r="A52" i="16"/>
  <c r="A53" i="16"/>
  <c r="A54" i="16"/>
  <c r="A55" i="16"/>
  <c r="A46" i="16"/>
  <c r="L46" i="16" s="1"/>
  <c r="C574" i="23" s="1"/>
  <c r="C572" i="23"/>
  <c r="A8" i="13"/>
  <c r="A9" i="13"/>
  <c r="A10" i="13"/>
  <c r="A11" i="13"/>
  <c r="A7" i="13"/>
  <c r="L13" i="12"/>
  <c r="L10" i="12"/>
  <c r="A82" i="8"/>
  <c r="A83" i="8"/>
  <c r="A84" i="8"/>
  <c r="J84" i="8" s="1"/>
  <c r="A85" i="8"/>
  <c r="A81" i="8"/>
  <c r="A68" i="8"/>
  <c r="A69" i="8"/>
  <c r="A70" i="8"/>
  <c r="A71" i="8"/>
  <c r="A72" i="8"/>
  <c r="A73" i="8"/>
  <c r="A74" i="8"/>
  <c r="A75" i="8"/>
  <c r="A76" i="8"/>
  <c r="J76" i="8" s="1"/>
  <c r="A77" i="8"/>
  <c r="J77" i="8" s="1"/>
  <c r="A67" i="8"/>
  <c r="A63" i="8"/>
  <c r="A55" i="8"/>
  <c r="J55" i="8" s="1"/>
  <c r="A56" i="8"/>
  <c r="A57" i="8"/>
  <c r="A58" i="8"/>
  <c r="A54" i="8"/>
  <c r="J54" i="8" s="1"/>
  <c r="A36" i="8"/>
  <c r="J36" i="8" s="1"/>
  <c r="A37" i="8"/>
  <c r="J37" i="8" s="1"/>
  <c r="A38" i="8"/>
  <c r="J38" i="8" s="1"/>
  <c r="A39" i="8"/>
  <c r="A40" i="8"/>
  <c r="A75" i="6"/>
  <c r="A76" i="6"/>
  <c r="L76" i="6" s="1"/>
  <c r="C117" i="23" s="1"/>
  <c r="A77" i="6"/>
  <c r="A78" i="6"/>
  <c r="L78" i="6" s="1"/>
  <c r="A74" i="6"/>
  <c r="A61" i="6"/>
  <c r="A62" i="6"/>
  <c r="A63" i="6"/>
  <c r="L63" i="6" s="1"/>
  <c r="A64" i="6"/>
  <c r="A65" i="6"/>
  <c r="A66" i="6"/>
  <c r="L66" i="6" s="1"/>
  <c r="A67" i="6"/>
  <c r="L67" i="6" s="1"/>
  <c r="A68" i="6"/>
  <c r="A69" i="6"/>
  <c r="A70" i="6"/>
  <c r="A60" i="6"/>
  <c r="L60" i="6" s="1"/>
  <c r="A56" i="6"/>
  <c r="J56" i="6" s="1"/>
  <c r="A48" i="6"/>
  <c r="A49" i="6"/>
  <c r="L49" i="6" s="1"/>
  <c r="A50" i="6"/>
  <c r="A51" i="6"/>
  <c r="L51" i="6" s="1"/>
  <c r="C97" i="23" s="1"/>
  <c r="A47" i="6"/>
  <c r="A32" i="6"/>
  <c r="A33" i="6"/>
  <c r="A34" i="6"/>
  <c r="L34" i="6" s="1"/>
  <c r="A35" i="6"/>
  <c r="A36" i="6"/>
  <c r="A31" i="6"/>
  <c r="L67" i="5"/>
  <c r="C57" i="23" s="1"/>
  <c r="L68" i="5"/>
  <c r="C58" i="23" s="1"/>
  <c r="L49" i="5"/>
  <c r="L30" i="5"/>
  <c r="C31" i="23" s="1"/>
  <c r="L21" i="5"/>
  <c r="C24" i="23" s="1"/>
  <c r="A11" i="4"/>
  <c r="A12" i="4"/>
  <c r="A13" i="4"/>
  <c r="A14" i="4"/>
  <c r="A15" i="4"/>
  <c r="A16" i="4"/>
  <c r="L16" i="4" s="1"/>
  <c r="C11" i="23" s="1"/>
  <c r="L52" i="16" l="1"/>
  <c r="C577" i="23" s="1"/>
  <c r="L64" i="16"/>
  <c r="C583" i="23" s="1"/>
  <c r="L75" i="16"/>
  <c r="C588" i="23" s="1"/>
  <c r="L86" i="16"/>
  <c r="C593" i="23" s="1"/>
  <c r="L99" i="16"/>
  <c r="C599" i="23" s="1"/>
  <c r="L122" i="16"/>
  <c r="C610" i="23" s="1"/>
  <c r="C645" i="23"/>
  <c r="C651" i="23"/>
  <c r="N56" i="24"/>
  <c r="O56" i="24"/>
  <c r="N55" i="24"/>
  <c r="O55" i="24"/>
  <c r="O54" i="24"/>
  <c r="N54" i="24"/>
  <c r="O63" i="24"/>
  <c r="N63" i="24"/>
  <c r="N85" i="24"/>
  <c r="O85" i="24"/>
  <c r="O54" i="8"/>
  <c r="N54" i="8"/>
  <c r="L56" i="8"/>
  <c r="C155" i="23" s="1"/>
  <c r="J56" i="8"/>
  <c r="O55" i="8"/>
  <c r="N55" i="8"/>
  <c r="L63" i="8"/>
  <c r="C159" i="23" s="1"/>
  <c r="J63" i="8"/>
  <c r="L85" i="8"/>
  <c r="C178" i="23" s="1"/>
  <c r="J85" i="8"/>
  <c r="N56" i="6"/>
  <c r="O56" i="6"/>
  <c r="N40" i="26"/>
  <c r="O40" i="26"/>
  <c r="O40" i="24"/>
  <c r="N40" i="24"/>
  <c r="N77" i="24"/>
  <c r="O77" i="24"/>
  <c r="O76" i="24"/>
  <c r="N76" i="24"/>
  <c r="O84" i="24"/>
  <c r="N84" i="24"/>
  <c r="O40" i="8"/>
  <c r="N40" i="8"/>
  <c r="O77" i="8"/>
  <c r="N77" i="8"/>
  <c r="O76" i="8"/>
  <c r="N76" i="8"/>
  <c r="O84" i="8"/>
  <c r="N84" i="8"/>
  <c r="L36" i="6"/>
  <c r="C88" i="23" s="1"/>
  <c r="J36" i="6"/>
  <c r="L69" i="6"/>
  <c r="C112" i="23" s="1"/>
  <c r="J69" i="6"/>
  <c r="L70" i="6"/>
  <c r="C113" i="23" s="1"/>
  <c r="J70" i="6"/>
  <c r="L82" i="8"/>
  <c r="C175" i="23" s="1"/>
  <c r="J82" i="8"/>
  <c r="J81" i="8"/>
  <c r="L81" i="8"/>
  <c r="C174" i="23" s="1"/>
  <c r="L84" i="8"/>
  <c r="C177" i="23" s="1"/>
  <c r="L83" i="8"/>
  <c r="C176" i="23" s="1"/>
  <c r="J83" i="8"/>
  <c r="J71" i="8"/>
  <c r="L71" i="8"/>
  <c r="C166" i="23" s="1"/>
  <c r="L67" i="8"/>
  <c r="C162" i="23" s="1"/>
  <c r="J67" i="8"/>
  <c r="L70" i="8"/>
  <c r="C165" i="23" s="1"/>
  <c r="J70" i="8"/>
  <c r="L77" i="8"/>
  <c r="C172" i="23" s="1"/>
  <c r="J68" i="8"/>
  <c r="L68" i="8"/>
  <c r="C163" i="23" s="1"/>
  <c r="L75" i="8"/>
  <c r="C170" i="23" s="1"/>
  <c r="J75" i="8"/>
  <c r="L74" i="8"/>
  <c r="C169" i="23" s="1"/>
  <c r="J74" i="8"/>
  <c r="L69" i="8"/>
  <c r="C164" i="23" s="1"/>
  <c r="J69" i="8"/>
  <c r="L73" i="8"/>
  <c r="C168" i="23" s="1"/>
  <c r="J73" i="8"/>
  <c r="L76" i="8"/>
  <c r="C171" i="23" s="1"/>
  <c r="L72" i="8"/>
  <c r="C167" i="23" s="1"/>
  <c r="J72" i="8"/>
  <c r="L54" i="8"/>
  <c r="C153" i="23" s="1"/>
  <c r="L58" i="8"/>
  <c r="C156" i="23" s="1"/>
  <c r="L55" i="8"/>
  <c r="C154" i="23" s="1"/>
  <c r="L38" i="8"/>
  <c r="C144" i="23" s="1"/>
  <c r="L37" i="8"/>
  <c r="C143" i="23" s="1"/>
  <c r="L40" i="8"/>
  <c r="C146" i="23" s="1"/>
  <c r="L36" i="8"/>
  <c r="C142" i="23" s="1"/>
  <c r="L39" i="8"/>
  <c r="C145" i="23" s="1"/>
  <c r="L11" i="13"/>
  <c r="C508" i="23" s="1"/>
  <c r="L66" i="17"/>
  <c r="C655" i="23" s="1"/>
  <c r="J66" i="17"/>
  <c r="J59" i="17"/>
  <c r="L59" i="17"/>
  <c r="C649" i="23" s="1"/>
  <c r="L119" i="16"/>
  <c r="C609" i="23" s="1"/>
  <c r="J119" i="16"/>
  <c r="L108" i="16"/>
  <c r="C604" i="23" s="1"/>
  <c r="J108" i="16"/>
  <c r="L102" i="16"/>
  <c r="C601" i="23" s="1"/>
  <c r="L83" i="16"/>
  <c r="C592" i="23" s="1"/>
  <c r="J83" i="16"/>
  <c r="J72" i="16"/>
  <c r="L72" i="16"/>
  <c r="C587" i="23" s="1"/>
  <c r="L77" i="16"/>
  <c r="C589" i="23" s="1"/>
  <c r="L66" i="16"/>
  <c r="C584" i="23" s="1"/>
  <c r="J61" i="16"/>
  <c r="L61" i="16"/>
  <c r="C582" i="23" s="1"/>
  <c r="L55" i="16"/>
  <c r="C579" i="23" s="1"/>
  <c r="L49" i="16"/>
  <c r="C576" i="23" s="1"/>
  <c r="J49" i="16"/>
  <c r="L100" i="16"/>
  <c r="C600" i="23" s="1"/>
  <c r="L53" i="16"/>
  <c r="C578" i="23" s="1"/>
  <c r="C611" i="23"/>
  <c r="C606" i="23"/>
  <c r="C594" i="23"/>
  <c r="L9" i="13"/>
  <c r="C507" i="23" s="1"/>
  <c r="L56" i="6"/>
  <c r="C100" i="23" s="1"/>
  <c r="J117" i="16"/>
  <c r="J106" i="16"/>
  <c r="J93" i="16"/>
  <c r="C597" i="23"/>
  <c r="J94" i="16"/>
  <c r="C598" i="23"/>
  <c r="J96" i="16"/>
  <c r="J81" i="16"/>
  <c r="J70" i="16"/>
  <c r="J59" i="16"/>
  <c r="J46" i="16"/>
  <c r="C575" i="23"/>
  <c r="J47" i="16"/>
  <c r="J14" i="4"/>
  <c r="L14" i="4"/>
  <c r="C10" i="23" s="1"/>
  <c r="J13" i="4"/>
  <c r="L13" i="4"/>
  <c r="C9" i="23" s="1"/>
  <c r="L11" i="4"/>
  <c r="C7" i="23" s="1"/>
  <c r="J11" i="4"/>
  <c r="J12" i="4"/>
  <c r="L12" i="4"/>
  <c r="C8" i="23" s="1"/>
  <c r="C41" i="23"/>
  <c r="J47" i="5"/>
  <c r="L47" i="6"/>
  <c r="C94" i="23" s="1"/>
  <c r="J47" i="6"/>
  <c r="L31" i="6"/>
  <c r="C83" i="23" s="1"/>
  <c r="J31" i="6"/>
  <c r="O72" i="24"/>
  <c r="N72" i="24"/>
  <c r="O39" i="24"/>
  <c r="N39" i="24"/>
  <c r="O37" i="24"/>
  <c r="N37" i="24"/>
  <c r="J26" i="5"/>
  <c r="L26" i="5"/>
  <c r="C27" i="23" s="1"/>
  <c r="L35" i="6"/>
  <c r="C87" i="23" s="1"/>
  <c r="J35" i="6"/>
  <c r="L48" i="6"/>
  <c r="C95" i="23" s="1"/>
  <c r="J48" i="6"/>
  <c r="J76" i="6"/>
  <c r="J54" i="17"/>
  <c r="O54" i="17" s="1"/>
  <c r="O71" i="26"/>
  <c r="N71" i="26"/>
  <c r="N39" i="25"/>
  <c r="O39" i="25"/>
  <c r="N39" i="26"/>
  <c r="O39" i="26"/>
  <c r="O67" i="24"/>
  <c r="N67" i="24"/>
  <c r="N68" i="26"/>
  <c r="O68" i="26"/>
  <c r="N36" i="26"/>
  <c r="O36" i="26"/>
  <c r="O81" i="25"/>
  <c r="N81" i="25"/>
  <c r="J78" i="6"/>
  <c r="C119" i="23"/>
  <c r="N67" i="25"/>
  <c r="O67" i="25"/>
  <c r="N75" i="24"/>
  <c r="O75" i="24"/>
  <c r="L27" i="5"/>
  <c r="C28" i="23" s="1"/>
  <c r="J27" i="5"/>
  <c r="J49" i="6"/>
  <c r="C96" i="23"/>
  <c r="O69" i="24"/>
  <c r="N69" i="24"/>
  <c r="O38" i="24"/>
  <c r="N38" i="24"/>
  <c r="J45" i="5"/>
  <c r="L45" i="5"/>
  <c r="C39" i="23" s="1"/>
  <c r="L72" i="5"/>
  <c r="C60" i="23" s="1"/>
  <c r="J72" i="5"/>
  <c r="J34" i="6"/>
  <c r="C86" i="23"/>
  <c r="L75" i="6"/>
  <c r="C116" i="23" s="1"/>
  <c r="J75" i="6"/>
  <c r="J64" i="17"/>
  <c r="L64" i="17"/>
  <c r="C654" i="23" s="1"/>
  <c r="O38" i="25"/>
  <c r="N38" i="25"/>
  <c r="N69" i="26"/>
  <c r="O69" i="26"/>
  <c r="N68" i="24"/>
  <c r="O68" i="24"/>
  <c r="N37" i="26"/>
  <c r="O37" i="26"/>
  <c r="N83" i="26"/>
  <c r="O83" i="26"/>
  <c r="N35" i="24"/>
  <c r="O35" i="24"/>
  <c r="O74" i="25"/>
  <c r="N74" i="25"/>
  <c r="N38" i="26"/>
  <c r="O38" i="26"/>
  <c r="J76" i="5"/>
  <c r="C64" i="23"/>
  <c r="J33" i="6"/>
  <c r="L33" i="6"/>
  <c r="C85" i="23" s="1"/>
  <c r="C141" i="23"/>
  <c r="L63" i="17"/>
  <c r="C653" i="23" s="1"/>
  <c r="J63" i="17"/>
  <c r="N35" i="26"/>
  <c r="O35" i="26"/>
  <c r="N82" i="24"/>
  <c r="O82" i="24"/>
  <c r="O81" i="26"/>
  <c r="N81" i="26"/>
  <c r="N81" i="24"/>
  <c r="O81" i="24"/>
  <c r="N71" i="25"/>
  <c r="O71" i="25"/>
  <c r="N67" i="26"/>
  <c r="O67" i="26"/>
  <c r="N75" i="26"/>
  <c r="O75" i="26"/>
  <c r="O70" i="25"/>
  <c r="N70" i="25"/>
  <c r="O68" i="25"/>
  <c r="N68" i="25"/>
  <c r="J74" i="5"/>
  <c r="J28" i="5"/>
  <c r="C29" i="23"/>
  <c r="J61" i="17"/>
  <c r="N36" i="24"/>
  <c r="O36" i="24"/>
  <c r="O36" i="25"/>
  <c r="N36" i="25"/>
  <c r="L77" i="6"/>
  <c r="C118" i="23" s="1"/>
  <c r="J77" i="6"/>
  <c r="O82" i="26"/>
  <c r="N82" i="26"/>
  <c r="L75" i="5"/>
  <c r="C63" i="23" s="1"/>
  <c r="J75" i="5"/>
  <c r="L32" i="6"/>
  <c r="C84" i="23" s="1"/>
  <c r="J32" i="6"/>
  <c r="L57" i="17"/>
  <c r="C648" i="23" s="1"/>
  <c r="J57" i="17"/>
  <c r="C652" i="23"/>
  <c r="J62" i="17"/>
  <c r="N73" i="25"/>
  <c r="O73" i="25"/>
  <c r="O73" i="26"/>
  <c r="N73" i="26"/>
  <c r="O83" i="25"/>
  <c r="N83" i="25"/>
  <c r="N69" i="25"/>
  <c r="O69" i="25"/>
  <c r="L56" i="17"/>
  <c r="C647" i="23" s="1"/>
  <c r="J56" i="17"/>
  <c r="N75" i="25"/>
  <c r="O75" i="25"/>
  <c r="N71" i="24"/>
  <c r="O71" i="24"/>
  <c r="O70" i="26"/>
  <c r="N70" i="26"/>
  <c r="O70" i="24"/>
  <c r="N70" i="24"/>
  <c r="N35" i="25"/>
  <c r="O35" i="25"/>
  <c r="O72" i="26"/>
  <c r="N72" i="26"/>
  <c r="N74" i="26"/>
  <c r="O74" i="26"/>
  <c r="J29" i="5"/>
  <c r="L29" i="5"/>
  <c r="C30" i="23" s="1"/>
  <c r="L46" i="5"/>
  <c r="C40" i="23" s="1"/>
  <c r="J46" i="5"/>
  <c r="L73" i="5"/>
  <c r="C61" i="23" s="1"/>
  <c r="J73" i="5"/>
  <c r="J74" i="6"/>
  <c r="L74" i="6"/>
  <c r="C115" i="23" s="1"/>
  <c r="C646" i="23"/>
  <c r="J55" i="17"/>
  <c r="N37" i="25"/>
  <c r="O37" i="25"/>
  <c r="O72" i="25"/>
  <c r="N72" i="25"/>
  <c r="O82" i="25"/>
  <c r="N82" i="25"/>
  <c r="N74" i="24"/>
  <c r="O74" i="24"/>
  <c r="N73" i="24"/>
  <c r="O73" i="24"/>
  <c r="N83" i="24"/>
  <c r="O83" i="24"/>
  <c r="C110" i="23"/>
  <c r="J67" i="6"/>
  <c r="C109" i="23"/>
  <c r="J66" i="6"/>
  <c r="L65" i="6"/>
  <c r="C108" i="23" s="1"/>
  <c r="J65" i="6"/>
  <c r="L64" i="6"/>
  <c r="C107" i="23" s="1"/>
  <c r="J64" i="6"/>
  <c r="C103" i="23"/>
  <c r="J60" i="6"/>
  <c r="J63" i="6"/>
  <c r="C106" i="23"/>
  <c r="L62" i="6"/>
  <c r="C105" i="23" s="1"/>
  <c r="J62" i="6"/>
  <c r="L61" i="6"/>
  <c r="C104" i="23" s="1"/>
  <c r="J61" i="6"/>
  <c r="J68" i="6"/>
  <c r="L68" i="6"/>
  <c r="C111" i="23" s="1"/>
  <c r="K4" i="15"/>
  <c r="B15" i="22" s="1"/>
  <c r="E15" i="22" s="1"/>
  <c r="J7" i="13"/>
  <c r="L7" i="13"/>
  <c r="C505" i="23" s="1"/>
  <c r="J9" i="13"/>
  <c r="C469" i="23"/>
  <c r="J13" i="12"/>
  <c r="J14" i="12"/>
  <c r="L14" i="12"/>
  <c r="C470" i="23" s="1"/>
  <c r="J15" i="12"/>
  <c r="L15" i="12"/>
  <c r="C471" i="23" s="1"/>
  <c r="C466" i="23"/>
  <c r="J10" i="12"/>
  <c r="J12" i="12"/>
  <c r="L12" i="12"/>
  <c r="C468" i="23" s="1"/>
  <c r="J11" i="12"/>
  <c r="L11" i="12"/>
  <c r="C467" i="23" s="1"/>
  <c r="L59" i="5"/>
  <c r="C49" i="23" s="1"/>
  <c r="J59" i="5"/>
  <c r="J62" i="5"/>
  <c r="L62" i="5"/>
  <c r="C52" i="23" s="1"/>
  <c r="C48" i="23"/>
  <c r="J58" i="5"/>
  <c r="J65" i="5"/>
  <c r="J61" i="5"/>
  <c r="J63" i="5"/>
  <c r="L63" i="5"/>
  <c r="C53" i="23" s="1"/>
  <c r="L66" i="5"/>
  <c r="C56" i="23" s="1"/>
  <c r="J66" i="5"/>
  <c r="J64" i="5"/>
  <c r="L60" i="5"/>
  <c r="C50" i="23" s="1"/>
  <c r="J60" i="5"/>
  <c r="N56" i="8" l="1"/>
  <c r="O56" i="8"/>
  <c r="N63" i="8"/>
  <c r="O63" i="8"/>
  <c r="N85" i="8"/>
  <c r="O85" i="8"/>
  <c r="N36" i="6"/>
  <c r="O36" i="6"/>
  <c r="O70" i="6"/>
  <c r="N70" i="6"/>
  <c r="N69" i="6"/>
  <c r="O69" i="6"/>
  <c r="O4" i="26"/>
  <c r="N4" i="26"/>
  <c r="C54" i="23"/>
  <c r="C55" i="23"/>
  <c r="C51" i="23"/>
  <c r="N119" i="16"/>
  <c r="O119" i="16"/>
  <c r="O117" i="16"/>
  <c r="N117" i="16"/>
  <c r="N108" i="16"/>
  <c r="O108" i="16"/>
  <c r="N106" i="16"/>
  <c r="O106" i="16"/>
  <c r="N94" i="16"/>
  <c r="O94" i="16"/>
  <c r="N96" i="16"/>
  <c r="O96" i="16"/>
  <c r="N93" i="16"/>
  <c r="O93" i="16"/>
  <c r="N81" i="16"/>
  <c r="O81" i="16"/>
  <c r="O83" i="16"/>
  <c r="N83" i="16"/>
  <c r="O70" i="16"/>
  <c r="N70" i="16"/>
  <c r="N72" i="16"/>
  <c r="O72" i="16"/>
  <c r="N61" i="16"/>
  <c r="O61" i="16"/>
  <c r="N59" i="16"/>
  <c r="O59" i="16"/>
  <c r="N46" i="16"/>
  <c r="O46" i="16"/>
  <c r="N47" i="16"/>
  <c r="O47" i="16"/>
  <c r="N49" i="16"/>
  <c r="O49" i="16"/>
  <c r="O4" i="25"/>
  <c r="N13" i="4"/>
  <c r="O13" i="4"/>
  <c r="N14" i="4"/>
  <c r="O14" i="4"/>
  <c r="N11" i="4"/>
  <c r="O11" i="4"/>
  <c r="N32" i="6"/>
  <c r="O32" i="6"/>
  <c r="O77" i="6"/>
  <c r="N77" i="6"/>
  <c r="N63" i="17"/>
  <c r="O63" i="17"/>
  <c r="O4" i="24"/>
  <c r="N64" i="17"/>
  <c r="O64" i="17"/>
  <c r="N35" i="6"/>
  <c r="O35" i="6"/>
  <c r="N39" i="8"/>
  <c r="O39" i="8"/>
  <c r="O69" i="8"/>
  <c r="N69" i="8"/>
  <c r="O45" i="5"/>
  <c r="N45" i="5"/>
  <c r="N78" i="6"/>
  <c r="O78" i="6"/>
  <c r="N33" i="6"/>
  <c r="O33" i="6"/>
  <c r="N75" i="6"/>
  <c r="O75" i="6"/>
  <c r="N27" i="5"/>
  <c r="O27" i="5"/>
  <c r="N72" i="8"/>
  <c r="O72" i="8"/>
  <c r="N38" i="8"/>
  <c r="O38" i="8"/>
  <c r="N56" i="17"/>
  <c r="O56" i="17"/>
  <c r="O29" i="5"/>
  <c r="N29" i="5"/>
  <c r="N67" i="8"/>
  <c r="O67" i="8"/>
  <c r="N76" i="5"/>
  <c r="O76" i="5"/>
  <c r="N4" i="24"/>
  <c r="O59" i="17"/>
  <c r="N59" i="17"/>
  <c r="N54" i="17"/>
  <c r="O46" i="5"/>
  <c r="N46" i="5"/>
  <c r="N37" i="8"/>
  <c r="O37" i="8"/>
  <c r="O47" i="6"/>
  <c r="N47" i="6"/>
  <c r="O61" i="17"/>
  <c r="N61" i="17"/>
  <c r="N62" i="17"/>
  <c r="O62" i="17"/>
  <c r="N34" i="6"/>
  <c r="O34" i="6"/>
  <c r="O26" i="5"/>
  <c r="N26" i="5"/>
  <c r="N49" i="6"/>
  <c r="O49" i="6"/>
  <c r="O83" i="8"/>
  <c r="N83" i="8"/>
  <c r="N71" i="8"/>
  <c r="O71" i="8"/>
  <c r="O68" i="8"/>
  <c r="N68" i="8"/>
  <c r="O74" i="6"/>
  <c r="N74" i="6"/>
  <c r="O28" i="5"/>
  <c r="N28" i="5"/>
  <c r="N70" i="8"/>
  <c r="O70" i="8"/>
  <c r="N72" i="5"/>
  <c r="O72" i="5"/>
  <c r="N82" i="8"/>
  <c r="O82" i="8"/>
  <c r="N73" i="5"/>
  <c r="O73" i="5"/>
  <c r="N57" i="17"/>
  <c r="O57" i="17"/>
  <c r="O74" i="5"/>
  <c r="N74" i="5"/>
  <c r="N35" i="8"/>
  <c r="O35" i="8"/>
  <c r="N81" i="8"/>
  <c r="O81" i="8"/>
  <c r="N36" i="8"/>
  <c r="O36" i="8"/>
  <c r="O76" i="6"/>
  <c r="N76" i="6"/>
  <c r="N31" i="6"/>
  <c r="O31" i="6"/>
  <c r="N47" i="5"/>
  <c r="O47" i="5"/>
  <c r="N73" i="8"/>
  <c r="O73" i="8"/>
  <c r="N66" i="17"/>
  <c r="O66" i="17"/>
  <c r="N48" i="6"/>
  <c r="O48" i="6"/>
  <c r="N4" i="25"/>
  <c r="N55" i="17"/>
  <c r="O55" i="17"/>
  <c r="N75" i="5"/>
  <c r="O75" i="5"/>
  <c r="N74" i="8"/>
  <c r="O74" i="8"/>
  <c r="N75" i="8"/>
  <c r="O75" i="8"/>
  <c r="N64" i="6"/>
  <c r="O64" i="6"/>
  <c r="N62" i="6"/>
  <c r="O62" i="6"/>
  <c r="N65" i="6"/>
  <c r="O65" i="6"/>
  <c r="N66" i="6"/>
  <c r="O66" i="6"/>
  <c r="N63" i="6"/>
  <c r="O63" i="6"/>
  <c r="N60" i="6"/>
  <c r="O60" i="6"/>
  <c r="O67" i="6"/>
  <c r="N67" i="6"/>
  <c r="O61" i="6"/>
  <c r="N61" i="6"/>
  <c r="N68" i="6"/>
  <c r="O68" i="6"/>
  <c r="N9" i="13"/>
  <c r="O9" i="13"/>
  <c r="N7" i="13"/>
  <c r="O7" i="13"/>
  <c r="N14" i="12"/>
  <c r="O14" i="12"/>
  <c r="N13" i="12"/>
  <c r="O13" i="12"/>
  <c r="N15" i="12"/>
  <c r="O15" i="12"/>
  <c r="O12" i="12"/>
  <c r="N12" i="12"/>
  <c r="O10" i="12"/>
  <c r="N10" i="12"/>
  <c r="O11" i="12"/>
  <c r="N11" i="12"/>
  <c r="O65" i="5"/>
  <c r="N65" i="5"/>
  <c r="N64" i="5"/>
  <c r="O64" i="5"/>
  <c r="N62" i="5"/>
  <c r="O62" i="5"/>
  <c r="N66" i="5"/>
  <c r="O66" i="5"/>
  <c r="N58" i="5"/>
  <c r="O58" i="5"/>
  <c r="O59" i="5"/>
  <c r="N59" i="5"/>
  <c r="O63" i="5"/>
  <c r="N63" i="5"/>
  <c r="N60" i="5"/>
  <c r="O60" i="5"/>
  <c r="O61" i="5"/>
  <c r="N61" i="5"/>
  <c r="K4" i="24" l="1"/>
  <c r="B28" i="22" s="1"/>
  <c r="E28" i="22" s="1"/>
  <c r="O4" i="16"/>
  <c r="N4" i="16"/>
  <c r="K4" i="25"/>
  <c r="B29" i="22" s="1"/>
  <c r="E29" i="22" s="1"/>
  <c r="K4" i="26"/>
  <c r="B30" i="22" s="1"/>
  <c r="E30" i="22" s="1"/>
  <c r="O4" i="8"/>
  <c r="N4" i="5"/>
  <c r="O4" i="17"/>
  <c r="N4" i="17"/>
  <c r="N4" i="8"/>
  <c r="O4" i="5"/>
  <c r="N4" i="12"/>
  <c r="O4" i="12"/>
  <c r="B2" i="4"/>
  <c r="K4" i="12" l="1"/>
  <c r="B12" i="22" s="1"/>
  <c r="E12" i="22" s="1"/>
  <c r="K4" i="5"/>
  <c r="B9" i="22" s="1"/>
  <c r="E9" i="22" s="1"/>
  <c r="K4" i="17"/>
  <c r="B17" i="22" s="1"/>
  <c r="E17" i="22" s="1"/>
  <c r="K4" i="16"/>
  <c r="B16" i="22" s="1"/>
  <c r="E16" i="22" s="1"/>
  <c r="K4" i="8"/>
  <c r="B27" i="22" s="1"/>
  <c r="E27" i="22" s="1"/>
  <c r="J8" i="13"/>
  <c r="L8" i="13"/>
  <c r="C506" i="23" s="1"/>
  <c r="O8" i="13" l="1"/>
  <c r="O4" i="13" s="1"/>
  <c r="N8" i="13"/>
  <c r="N4" i="13" s="1"/>
  <c r="K4" i="13" l="1"/>
  <c r="B13" i="22" s="1"/>
  <c r="E13" i="22" s="1"/>
  <c r="O10" i="4"/>
  <c r="O12" i="4"/>
  <c r="O9" i="4"/>
  <c r="N9" i="4"/>
  <c r="O4" i="4" l="1"/>
  <c r="N12" i="4"/>
  <c r="N10" i="4"/>
  <c r="N4" i="4" l="1"/>
  <c r="K4" i="4" s="1"/>
  <c r="B8" i="22" s="1"/>
  <c r="E8" i="22" s="1"/>
  <c r="O38" i="6" l="1"/>
  <c r="O4" i="6" s="1"/>
  <c r="N38" i="6"/>
  <c r="N4" i="6" s="1"/>
  <c r="K4" i="6" l="1"/>
  <c r="B23" i="22" s="1"/>
  <c r="E23" i="22" s="1"/>
</calcChain>
</file>

<file path=xl/sharedStrings.xml><?xml version="1.0" encoding="utf-8"?>
<sst xmlns="http://schemas.openxmlformats.org/spreadsheetml/2006/main" count="4057" uniqueCount="2100">
  <si>
    <r>
      <rPr>
        <b/>
        <sz val="12"/>
        <color rgb="FF5F636A"/>
        <rFont val="Open Sans"/>
        <family val="2"/>
      </rPr>
      <t>Passport details</t>
    </r>
  </si>
  <si>
    <r>
      <rPr>
        <b/>
        <sz val="12"/>
        <color rgb="FF5F636A"/>
        <rFont val="Open Sans"/>
        <family val="2"/>
      </rPr>
      <t>Australian visa grant number</t>
    </r>
  </si>
  <si>
    <r>
      <rPr>
        <b/>
        <sz val="12"/>
        <color rgb="FF5F636A"/>
        <rFont val="Open Sans"/>
        <family val="2"/>
      </rPr>
      <t>National identity card</t>
    </r>
  </si>
  <si>
    <r>
      <rPr>
        <b/>
        <sz val="12"/>
        <color rgb="FF5F636A"/>
        <rFont val="Open Sans"/>
        <family val="2"/>
      </rPr>
      <t>Place of birth</t>
    </r>
  </si>
  <si>
    <r>
      <rPr>
        <b/>
        <sz val="12"/>
        <color rgb="FF5F636A"/>
        <rFont val="Open Sans"/>
        <family val="2"/>
      </rPr>
      <t>Other names</t>
    </r>
  </si>
  <si>
    <r>
      <rPr>
        <b/>
        <sz val="12"/>
        <color rgb="FF5F636A"/>
        <rFont val="Open Sans"/>
        <family val="2"/>
      </rPr>
      <t>Citizenship</t>
    </r>
  </si>
  <si>
    <r>
      <rPr>
        <b/>
        <sz val="12"/>
        <color rgb="FF5F636A"/>
        <rFont val="Open Sans"/>
        <family val="2"/>
      </rPr>
      <t>Other passports or documents for travel</t>
    </r>
  </si>
  <si>
    <r>
      <rPr>
        <b/>
        <sz val="12"/>
        <color rgb="FF5F636A"/>
        <rFont val="Open Sans"/>
        <family val="2"/>
      </rPr>
      <t>Other identity documents</t>
    </r>
  </si>
  <si>
    <t>TSS questionnaire</t>
  </si>
  <si>
    <r>
      <rPr>
        <sz val="10"/>
        <color rgb="FF5F636A"/>
        <rFont val="Open Sans"/>
        <family val="2"/>
      </rPr>
      <t>Your legal status in that country</t>
    </r>
  </si>
  <si>
    <r>
      <rPr>
        <sz val="10"/>
        <color rgb="FF5F636A"/>
        <rFont val="Open Sans"/>
        <family val="2"/>
      </rPr>
      <t>Has the applicant commenced or completed a skills assessment?</t>
    </r>
  </si>
  <si>
    <r>
      <rPr>
        <sz val="10"/>
        <color rgb="FF5F636A"/>
        <rFont val="Open Sans"/>
        <family val="2"/>
      </rPr>
      <t>Give details</t>
    </r>
  </si>
  <si>
    <r>
      <rPr>
        <sz val="9"/>
        <color rgb="FF5F636A"/>
        <rFont val="Open Sans"/>
        <family val="2"/>
      </rPr>
      <t>Family name</t>
    </r>
  </si>
  <si>
    <r>
      <rPr>
        <sz val="9"/>
        <color rgb="FF5F636A"/>
        <rFont val="Open Sans"/>
        <family val="2"/>
      </rPr>
      <t>Given names</t>
    </r>
  </si>
  <si>
    <r>
      <rPr>
        <sz val="9"/>
        <color rgb="FF5F636A"/>
        <rFont val="Open Sans"/>
        <family val="2"/>
      </rPr>
      <t>Sex</t>
    </r>
  </si>
  <si>
    <r>
      <rPr>
        <sz val="9"/>
        <color rgb="FF5F636A"/>
        <rFont val="Open Sans"/>
        <family val="2"/>
      </rPr>
      <t>Passport number</t>
    </r>
  </si>
  <si>
    <r>
      <rPr>
        <sz val="9"/>
        <color rgb="FF5F636A"/>
        <rFont val="Open Sans"/>
        <family val="2"/>
      </rPr>
      <t>Country of passport</t>
    </r>
  </si>
  <si>
    <r>
      <rPr>
        <sz val="9"/>
        <color rgb="FF5F636A"/>
        <rFont val="Open Sans"/>
        <family val="2"/>
      </rPr>
      <t>Nationality of passport holder</t>
    </r>
  </si>
  <si>
    <r>
      <rPr>
        <sz val="9"/>
        <color rgb="FF5F636A"/>
        <rFont val="Open Sans"/>
        <family val="2"/>
      </rPr>
      <t>Place of issue / issuing authority</t>
    </r>
  </si>
  <si>
    <r>
      <rPr>
        <sz val="9"/>
        <color rgb="FF5F636A"/>
        <rFont val="Open Sans"/>
        <family val="2"/>
      </rPr>
      <t>Do you have an Australian visa grant number from a previous visa application?</t>
    </r>
  </si>
  <si>
    <r>
      <rPr>
        <sz val="9"/>
        <color rgb="FF5F636A"/>
        <rFont val="Open Sans"/>
        <family val="2"/>
      </rPr>
      <t>Australian visa grant numbe</t>
    </r>
    <r>
      <rPr>
        <i/>
        <sz val="9"/>
        <color rgb="FF5F636A"/>
        <rFont val="Open Sans"/>
        <family val="2"/>
      </rPr>
      <t>r (if known)</t>
    </r>
  </si>
  <si>
    <r>
      <rPr>
        <sz val="9"/>
        <color rgb="FF5F636A"/>
        <rFont val="Open Sans"/>
        <family val="2"/>
      </rPr>
      <t>Do you have a national identity card?</t>
    </r>
  </si>
  <si>
    <r>
      <rPr>
        <sz val="9"/>
        <color rgb="FF5F636A"/>
        <rFont val="Open Sans"/>
        <family val="2"/>
      </rPr>
      <t>Identification number</t>
    </r>
  </si>
  <si>
    <r>
      <rPr>
        <sz val="9"/>
        <color rgb="FF5F636A"/>
        <rFont val="Open Sans"/>
        <family val="2"/>
      </rPr>
      <t>Country of issue</t>
    </r>
  </si>
  <si>
    <r>
      <rPr>
        <sz val="9"/>
        <color rgb="FF5F636A"/>
        <rFont val="Open Sans"/>
        <family val="2"/>
      </rPr>
      <t>Town / City</t>
    </r>
  </si>
  <si>
    <r>
      <rPr>
        <sz val="9"/>
        <color rgb="FF5F636A"/>
        <rFont val="Open Sans"/>
        <family val="2"/>
      </rPr>
      <t>State / Province</t>
    </r>
  </si>
  <si>
    <r>
      <rPr>
        <sz val="9"/>
        <color rgb="FF5F636A"/>
        <rFont val="Open Sans"/>
        <family val="2"/>
      </rPr>
      <t>Country of birth</t>
    </r>
  </si>
  <si>
    <r>
      <rPr>
        <sz val="9"/>
        <color rgb="FF5F636A"/>
        <rFont val="Open Sans"/>
        <family val="2"/>
      </rPr>
      <t>Relationship status</t>
    </r>
  </si>
  <si>
    <r>
      <rPr>
        <sz val="9"/>
        <color rgb="FF5F636A"/>
        <rFont val="Open Sans"/>
        <family val="2"/>
      </rPr>
      <t>Do you currently, or have you ever been known by any other names?</t>
    </r>
  </si>
  <si>
    <r>
      <rPr>
        <sz val="9"/>
        <color rgb="FF5F636A"/>
        <rFont val="Open Sans"/>
        <family val="2"/>
      </rPr>
      <t>Please confirm the reason for the name change</t>
    </r>
  </si>
  <si>
    <r>
      <rPr>
        <sz val="9"/>
        <color rgb="FF5F636A"/>
        <rFont val="Open Sans"/>
        <family val="2"/>
      </rPr>
      <t>If ‘Other’ give details</t>
    </r>
  </si>
  <si>
    <r>
      <rPr>
        <sz val="9"/>
        <color rgb="FF5F636A"/>
        <rFont val="Open Sans"/>
        <family val="2"/>
      </rPr>
      <t>Are you a citizen of the selected country of passport?</t>
    </r>
  </si>
  <si>
    <r>
      <rPr>
        <sz val="9"/>
        <color rgb="FF5F636A"/>
        <rFont val="Open Sans"/>
        <family val="2"/>
      </rPr>
      <t>List countries</t>
    </r>
  </si>
  <si>
    <r>
      <rPr>
        <sz val="9"/>
        <color rgb="FF5F636A"/>
        <rFont val="Open Sans"/>
        <family val="2"/>
      </rPr>
      <t>Do you have any other passports or documents for travel?</t>
    </r>
  </si>
  <si>
    <r>
      <rPr>
        <sz val="9"/>
        <color rgb="FF5F636A"/>
        <rFont val="Open Sans"/>
        <family val="2"/>
      </rPr>
      <t>Type of document</t>
    </r>
  </si>
  <si>
    <r>
      <rPr>
        <sz val="9"/>
        <color rgb="FF5F636A"/>
        <rFont val="Open Sans"/>
        <family val="2"/>
      </rPr>
      <t>Document / passport number</t>
    </r>
  </si>
  <si>
    <r>
      <rPr>
        <sz val="9"/>
        <color rgb="FF5F636A"/>
        <rFont val="Open Sans"/>
        <family val="2"/>
      </rPr>
      <t>Nationality of document / passport holder</t>
    </r>
  </si>
  <si>
    <r>
      <rPr>
        <sz val="9"/>
        <color rgb="FF5F636A"/>
        <rFont val="Open Sans"/>
        <family val="2"/>
      </rPr>
      <t>Do you have other identity documents?</t>
    </r>
  </si>
  <si>
    <t>Your details</t>
  </si>
  <si>
    <t>Application context</t>
  </si>
  <si>
    <t>HOME</t>
  </si>
  <si>
    <t>Next &gt;&gt;</t>
  </si>
  <si>
    <t xml:space="preserve">&lt;&lt; Back </t>
  </si>
  <si>
    <t>Your partner</t>
  </si>
  <si>
    <t>Current location</t>
  </si>
  <si>
    <t>Australian visa grant number</t>
  </si>
  <si>
    <t>Passport details</t>
  </si>
  <si>
    <t>Place of birth</t>
  </si>
  <si>
    <t>Other names / spellings</t>
  </si>
  <si>
    <r>
      <rPr>
        <sz val="9"/>
        <color rgb="FF5F636A"/>
        <rFont val="Open Sans"/>
        <family val="2"/>
      </rPr>
      <t>Are they a citizen of the selected country of passport?</t>
    </r>
  </si>
  <si>
    <r>
      <rPr>
        <sz val="9"/>
        <color rgb="FF5F636A"/>
        <rFont val="Open Sans"/>
        <family val="2"/>
      </rPr>
      <t>Are they a citizen of any other country?</t>
    </r>
  </si>
  <si>
    <r>
      <rPr>
        <sz val="9"/>
        <color rgb="FF5F636A"/>
        <rFont val="Open Sans"/>
        <family val="2"/>
      </rPr>
      <t>Do they have any other passports or documents for travel?</t>
    </r>
  </si>
  <si>
    <r>
      <rPr>
        <sz val="9"/>
        <color rgb="FF5F636A"/>
        <rFont val="Open Sans"/>
        <family val="2"/>
      </rPr>
      <t>Are they currently, or have they ever been known by any other names?</t>
    </r>
  </si>
  <si>
    <r>
      <rPr>
        <sz val="9"/>
        <color rgb="FF5F636A"/>
        <rFont val="Open Sans"/>
        <family val="2"/>
      </rPr>
      <t>Reason for name change</t>
    </r>
  </si>
  <si>
    <r>
      <rPr>
        <sz val="9"/>
        <color rgb="FF5F636A"/>
        <rFont val="Open Sans"/>
        <family val="2"/>
      </rPr>
      <t>Do they have a national identity card?</t>
    </r>
  </si>
  <si>
    <r>
      <rPr>
        <sz val="9"/>
        <color rgb="FF5F636A"/>
        <rFont val="Open Sans"/>
        <family val="2"/>
      </rPr>
      <t>Do they have an Australian visa grant number from a previous visa application?</t>
    </r>
  </si>
  <si>
    <r>
      <rPr>
        <sz val="9"/>
        <color rgb="FF5F636A"/>
        <rFont val="Open Sans"/>
        <family val="2"/>
      </rPr>
      <t xml:space="preserve">Australian visa grant number </t>
    </r>
    <r>
      <rPr>
        <i/>
        <sz val="9"/>
        <color rgb="FF5F636A"/>
        <rFont val="Open Sans"/>
        <family val="2"/>
      </rPr>
      <t>(if known)</t>
    </r>
  </si>
  <si>
    <r>
      <rPr>
        <sz val="9"/>
        <color rgb="FF5F636A"/>
        <rFont val="Open Sans"/>
        <family val="2"/>
      </rPr>
      <t>Current country of location</t>
    </r>
  </si>
  <si>
    <r>
      <rPr>
        <sz val="9"/>
        <color rgb="FF5F636A"/>
        <rFont val="Open Sans"/>
        <family val="2"/>
      </rPr>
      <t>Legal status in that country</t>
    </r>
  </si>
  <si>
    <r>
      <rPr>
        <sz val="9"/>
        <color rgb="FF5F636A"/>
        <rFont val="Open Sans"/>
        <family val="2"/>
      </rPr>
      <t xml:space="preserve">Give details of why they are at their current location, including the end date of their current visa </t>
    </r>
    <r>
      <rPr>
        <i/>
        <sz val="9"/>
        <color rgb="FF5F636A"/>
        <rFont val="Open Sans"/>
        <family val="2"/>
      </rPr>
      <t>(if applicable)</t>
    </r>
  </si>
  <si>
    <t>Other passports or documents for travel</t>
  </si>
  <si>
    <r>
      <rPr>
        <sz val="9"/>
        <color rgb="FF5F636A"/>
        <rFont val="Open Sans"/>
        <family val="2"/>
      </rPr>
      <t>Do they have other identity documents?</t>
    </r>
  </si>
  <si>
    <t>Accompanying child - 1</t>
  </si>
  <si>
    <t>Relationship status</t>
  </si>
  <si>
    <t>Citizenship</t>
  </si>
  <si>
    <t>Other identity documents</t>
  </si>
  <si>
    <t>Give details of why the child is at their current location, including the end date of their current visa (if applicable)</t>
  </si>
  <si>
    <r>
      <rPr>
        <sz val="9"/>
        <color rgb="FF5F636A"/>
        <rFont val="Open Sans"/>
        <family val="2"/>
      </rPr>
      <t>Does this child have a national identity card?</t>
    </r>
  </si>
  <si>
    <r>
      <rPr>
        <sz val="9"/>
        <color rgb="FF5F636A"/>
        <rFont val="Open Sans"/>
        <family val="2"/>
      </rPr>
      <t>Does this child have an Australian visa grant number from a previous visa application?</t>
    </r>
  </si>
  <si>
    <r>
      <rPr>
        <sz val="9"/>
        <color rgb="FF5F636A"/>
        <rFont val="Open Sans"/>
        <family val="2"/>
      </rPr>
      <t>Is this child a citizen of the selected country of passport?</t>
    </r>
  </si>
  <si>
    <r>
      <rPr>
        <sz val="9"/>
        <color rgb="FF5F636A"/>
        <rFont val="Open Sans"/>
        <family val="2"/>
      </rPr>
      <t>Is this child a citizen of any other country?</t>
    </r>
  </si>
  <si>
    <r>
      <rPr>
        <sz val="9"/>
        <color rgb="FF5F636A"/>
        <rFont val="Open Sans"/>
        <family val="2"/>
      </rPr>
      <t>Does this child have any other passports or documents for travel?</t>
    </r>
  </si>
  <si>
    <r>
      <rPr>
        <sz val="9"/>
        <color rgb="FF5F636A"/>
        <rFont val="Open Sans"/>
        <family val="2"/>
      </rPr>
      <t>Does this child have other identity documents?</t>
    </r>
  </si>
  <si>
    <r>
      <rPr>
        <sz val="9"/>
        <color rgb="FF5F636A"/>
        <rFont val="Open Sans"/>
        <family val="2"/>
      </rPr>
      <t>Is this child mentally or physically incapacitated for work?</t>
    </r>
  </si>
  <si>
    <r>
      <rPr>
        <sz val="9"/>
        <color rgb="FF5F636A"/>
        <rFont val="Open Sans"/>
        <family val="2"/>
      </rPr>
      <t>Give details if that is the case</t>
    </r>
  </si>
  <si>
    <r>
      <rPr>
        <sz val="9"/>
        <color rgb="FF5F636A"/>
        <rFont val="Open Sans"/>
        <family val="2"/>
      </rPr>
      <t>Is this child in the primary applicant’s care and legal custody?</t>
    </r>
  </si>
  <si>
    <r>
      <rPr>
        <sz val="9"/>
        <color rgb="FF5F636A"/>
        <rFont val="Open Sans"/>
        <family val="2"/>
      </rPr>
      <t>Give details if they are not</t>
    </r>
  </si>
  <si>
    <r>
      <rPr>
        <sz val="9"/>
        <color rgb="FF5F636A"/>
        <rFont val="Open Sans"/>
        <family val="2"/>
      </rPr>
      <t>Does any other person have custodial, access or guardianship rights to this child?</t>
    </r>
  </si>
  <si>
    <r>
      <rPr>
        <sz val="9"/>
        <color rgb="FF5F636A"/>
        <rFont val="Open Sans"/>
        <family val="2"/>
      </rPr>
      <t>Are there any legal impediments to this child’s travel?</t>
    </r>
  </si>
  <si>
    <r>
      <rPr>
        <sz val="9"/>
        <color rgb="FF5F636A"/>
        <rFont val="Open Sans"/>
        <family val="2"/>
      </rPr>
      <t>Give details if there are any legal impediments</t>
    </r>
  </si>
  <si>
    <t>Yes / No</t>
  </si>
  <si>
    <t>Yes</t>
  </si>
  <si>
    <t>No</t>
  </si>
  <si>
    <t>Relationship Status</t>
  </si>
  <si>
    <t>Reason for Name Change</t>
  </si>
  <si>
    <t>Type of Document</t>
  </si>
  <si>
    <t>Sex</t>
  </si>
  <si>
    <t>Legal Status</t>
  </si>
  <si>
    <t>Relationship to the primary applicant</t>
  </si>
  <si>
    <t>Are there any accompanying children of the family unit included in this application?</t>
  </si>
  <si>
    <t>Contact details - Primary applicant</t>
  </si>
  <si>
    <t>Country of residence</t>
  </si>
  <si>
    <t>Residential address</t>
  </si>
  <si>
    <t>Postal address</t>
  </si>
  <si>
    <t>Contact telephone numbers</t>
  </si>
  <si>
    <t>Email address</t>
  </si>
  <si>
    <t>Countries of residence - All applicants</t>
  </si>
  <si>
    <t>Details of country of residence - 1</t>
  </si>
  <si>
    <t>Details of country of residence - 2</t>
  </si>
  <si>
    <t>Details of country of residence - 3</t>
  </si>
  <si>
    <t>Details of country of residence - 4</t>
  </si>
  <si>
    <t>Details of country of residence - 5</t>
  </si>
  <si>
    <t>Details of country of residence - 6</t>
  </si>
  <si>
    <t>Education history - Primary applicant</t>
  </si>
  <si>
    <t>Education history - 1</t>
  </si>
  <si>
    <t>Education history - 2</t>
  </si>
  <si>
    <t>Education history - 3</t>
  </si>
  <si>
    <t>Education history - 4</t>
  </si>
  <si>
    <t>Registration / Licensing - Primary applicant</t>
  </si>
  <si>
    <t>Language skills - Primary applicant</t>
  </si>
  <si>
    <t>Main language</t>
  </si>
  <si>
    <t>English language proficiency</t>
  </si>
  <si>
    <t>English test details of the most recent test completed</t>
  </si>
  <si>
    <t>Employment history - Primary applicant</t>
  </si>
  <si>
    <t>Employment history</t>
  </si>
  <si>
    <t>Past employment history - 1</t>
  </si>
  <si>
    <t>Description of duties</t>
  </si>
  <si>
    <t>Past employment history - 2</t>
  </si>
  <si>
    <t>Past employment history - 3</t>
  </si>
  <si>
    <t>Past employment history - 4</t>
  </si>
  <si>
    <t>Payments to employer - Primary applicant</t>
  </si>
  <si>
    <t>If yes, give details</t>
  </si>
  <si>
    <t>Health declarations - All applicants</t>
  </si>
  <si>
    <t>In the last five years, have you or any family members visited, or lived, outside their country of passport, for more than 3 consecutive months?  Do not include time spent in Australia. If yes, list them below.</t>
  </si>
  <si>
    <t>Visits to other countries - 1</t>
  </si>
  <si>
    <t>Visits to other countries - 2</t>
  </si>
  <si>
    <t>Visits to other countries - 3</t>
  </si>
  <si>
    <t>Visits to other countries - 4</t>
  </si>
  <si>
    <t>Visits to other countries - 5</t>
  </si>
  <si>
    <t>Visits to other countries - 6</t>
  </si>
  <si>
    <t>Intention to enter hospitals or health care facilities - 1</t>
  </si>
  <si>
    <t>Give details</t>
  </si>
  <si>
    <t>Intention to work or study in health care - 1</t>
  </si>
  <si>
    <t>Intention to work or study in health care - 2</t>
  </si>
  <si>
    <t>Intention to be in a classroom situation - 1</t>
  </si>
  <si>
    <t>Intention to be in a classroom situation - 2</t>
  </si>
  <si>
    <t>Expect to incur medical costs or treatment - 1</t>
  </si>
  <si>
    <t>Expect to incur medical costs or treatment - 2</t>
  </si>
  <si>
    <t>Require assistance due to a medical condition - 1</t>
  </si>
  <si>
    <t>Require assistance due to a medical condition - 2</t>
  </si>
  <si>
    <t>Contact with tuberculosis - 1</t>
  </si>
  <si>
    <t>Contact with tuberculosis - 2</t>
  </si>
  <si>
    <r>
      <rPr>
        <sz val="9"/>
        <color rgb="FF5F636A"/>
        <rFont val="Open Sans"/>
        <family val="2"/>
      </rPr>
      <t>Usual country of residence</t>
    </r>
  </si>
  <si>
    <r>
      <rPr>
        <sz val="9"/>
        <color rgb="FF5F636A"/>
        <rFont val="Open Sans"/>
        <family val="2"/>
      </rPr>
      <t>Country</t>
    </r>
  </si>
  <si>
    <r>
      <rPr>
        <sz val="9"/>
        <color rgb="FF5F636A"/>
        <rFont val="Open Sans"/>
        <family val="2"/>
      </rPr>
      <t>Address</t>
    </r>
  </si>
  <si>
    <r>
      <rPr>
        <sz val="9"/>
        <color rgb="FF5F636A"/>
        <rFont val="Open Sans"/>
        <family val="2"/>
      </rPr>
      <t>Address 2</t>
    </r>
    <r>
      <rPr>
        <vertAlign val="superscript"/>
        <sz val="9"/>
        <color rgb="FF5F636A"/>
        <rFont val="Open Sans"/>
        <family val="2"/>
      </rPr>
      <t xml:space="preserve">nd  </t>
    </r>
    <r>
      <rPr>
        <sz val="9"/>
        <color rgb="FF5F636A"/>
        <rFont val="Open Sans"/>
        <family val="2"/>
      </rPr>
      <t>line</t>
    </r>
  </si>
  <si>
    <r>
      <rPr>
        <sz val="9"/>
        <color rgb="FF5F636A"/>
        <rFont val="Open Sans"/>
        <family val="2"/>
      </rPr>
      <t>Suburb / Town</t>
    </r>
  </si>
  <si>
    <r>
      <rPr>
        <sz val="9"/>
        <color rgb="FF5F636A"/>
        <rFont val="Open Sans"/>
        <family val="2"/>
      </rPr>
      <t>State or Province</t>
    </r>
  </si>
  <si>
    <r>
      <rPr>
        <sz val="9"/>
        <color rgb="FF5F636A"/>
        <rFont val="Open Sans"/>
        <family val="2"/>
      </rPr>
      <t>Postal code</t>
    </r>
  </si>
  <si>
    <r>
      <rPr>
        <sz val="9"/>
        <color rgb="FF5F636A"/>
        <rFont val="Open Sans"/>
        <family val="2"/>
      </rPr>
      <t>Home phone</t>
    </r>
  </si>
  <si>
    <r>
      <rPr>
        <sz val="9"/>
        <color rgb="FF5F636A"/>
        <rFont val="Open Sans"/>
        <family val="2"/>
      </rPr>
      <t>Business phone</t>
    </r>
  </si>
  <si>
    <r>
      <rPr>
        <sz val="9"/>
        <color rgb="FF5F636A"/>
        <rFont val="Open Sans"/>
        <family val="2"/>
      </rPr>
      <t>Mobile / Cell phone</t>
    </r>
  </si>
  <si>
    <r>
      <rPr>
        <sz val="9"/>
        <color rgb="FF5F636A"/>
        <rFont val="Open Sans"/>
        <family val="2"/>
      </rPr>
      <t>Email address</t>
    </r>
  </si>
  <si>
    <r>
      <rPr>
        <sz val="9"/>
        <color rgb="FF5F636A"/>
        <rFont val="Open Sans"/>
        <family val="2"/>
      </rPr>
      <t>Name (Family name, Given names)</t>
    </r>
  </si>
  <si>
    <r>
      <rPr>
        <sz val="9"/>
        <color rgb="FF5F636A"/>
        <rFont val="Open Sans"/>
        <family val="2"/>
      </rPr>
      <t>Date from (DD/MM/YYYY)</t>
    </r>
  </si>
  <si>
    <t>Character declarations</t>
  </si>
  <si>
    <t>Have you or any family members ever been convicted of an offence in any country (including any conviction which is now removed from official records)?</t>
  </si>
  <si>
    <t>Have you or any family members ever been the subject of an arrest warrant or Interpol notice?</t>
  </si>
  <si>
    <t>Have  you  or  any  family  members  ever  been  found  guilty  of  a  sexually  based  offence involving a child (including where no conviction was recorded)?</t>
  </si>
  <si>
    <t>Have you or any family members ever been named on a sex offender register?</t>
  </si>
  <si>
    <t>Have you or any family members ever been acquitted of any offence on the grounds of unsoundness of mind or insanity?</t>
  </si>
  <si>
    <t>Have you or any family members ever been found by a court not fit to plead?</t>
  </si>
  <si>
    <t>Have you or any family members ever been directly or indirectly involved in, or associated with, activities which would represent a risk to national security in Australia or any other country?</t>
  </si>
  <si>
    <t>Have you or any family members ever been charged with, or indicted for: genocide, war crimes, crimes against humanity, torture, slavery, or any other crime that is otherwise of a serious international concern?</t>
  </si>
  <si>
    <t>Have you or any family members ever been associated with a person, group or organisation that has been or is involved in criminal conduct?</t>
  </si>
  <si>
    <t>Have you or any family members ever been associated with an organisation engaged in violence or engaged in acts of violence (including war, insurgency, freedom fighting, terrorism, protest) either overseas or in Australia?</t>
  </si>
  <si>
    <t>Have you or any family members ever undergone any military/paramilitary training, been trained in weapons/explosives or in the manufacture of chemical/biological products?</t>
  </si>
  <si>
    <t>Have you or any family members ever been involved in people smuggling or people trafficking offences?</t>
  </si>
  <si>
    <t>Have you or any family members ever been removed, deported or excluded from any country (including Australia)?</t>
  </si>
  <si>
    <t>Have you or any family members ever overstayed a visa in any country (including Australia)?</t>
  </si>
  <si>
    <t>Have you or any family members ever had any outstanding debts to the Australian Government or any public authority in Australia?</t>
  </si>
  <si>
    <t>The applicant declares that no persons included in this application have engaged in conduct that constitutes a contravention of subsection 245AS(1) of the Migration Act 1958.</t>
  </si>
  <si>
    <t>Understand that, if required to provide their fingerprints and facial image, the applicant’s fingerprints and facial image and biographical information held by the Department may be given to Australian law enforcement agencies to help identify the applicant and determine eligibility for grant of the visa being applied for, and for law enforcement purposes.</t>
  </si>
  <si>
    <t>Additional information</t>
  </si>
  <si>
    <t>Please add any other comments relevant to the application that were not captured above due to space restrictions.</t>
  </si>
  <si>
    <r>
      <rPr>
        <sz val="9"/>
        <color rgb="FF5F636A"/>
        <rFont val="Open Sans"/>
        <family val="2"/>
      </rPr>
      <t>Highest recognised qualification obtained</t>
    </r>
  </si>
  <si>
    <r>
      <rPr>
        <sz val="9"/>
        <color rgb="FF5F636A"/>
        <rFont val="Open Sans"/>
        <family val="2"/>
      </rPr>
      <t>Have you completed or are currently enrolled in any studies at secondary level or above?
If yes, list them below</t>
    </r>
  </si>
  <si>
    <r>
      <rPr>
        <sz val="9"/>
        <color rgb="FF5F636A"/>
        <rFont val="Open Sans"/>
        <family val="2"/>
      </rPr>
      <t>Qualification</t>
    </r>
  </si>
  <si>
    <r>
      <rPr>
        <sz val="9"/>
        <color rgb="FF5F636A"/>
        <rFont val="Open Sans"/>
        <family val="2"/>
      </rPr>
      <t>Course name</t>
    </r>
  </si>
  <si>
    <r>
      <rPr>
        <sz val="9"/>
        <color rgb="FF5F636A"/>
        <rFont val="Open Sans"/>
        <family val="2"/>
      </rPr>
      <t>Institution name</t>
    </r>
  </si>
  <si>
    <r>
      <rPr>
        <sz val="9"/>
        <color rgb="FF5F636A"/>
        <rFont val="Open Sans"/>
        <family val="2"/>
      </rPr>
      <t>Country of institution</t>
    </r>
  </si>
  <si>
    <r>
      <rPr>
        <sz val="9"/>
        <color rgb="FF5F636A"/>
        <rFont val="Open Sans"/>
        <family val="2"/>
      </rPr>
      <t>Date to (DD/MM/YYYY)</t>
    </r>
  </si>
  <si>
    <r>
      <rPr>
        <sz val="9"/>
        <color rgb="FF5F636A"/>
        <rFont val="Open Sans"/>
        <family val="2"/>
      </rPr>
      <t>Do you hold any relevant registration or licence? If yes, complete the following below</t>
    </r>
  </si>
  <si>
    <r>
      <rPr>
        <sz val="9"/>
        <color rgb="FF5F636A"/>
        <rFont val="Open Sans"/>
        <family val="2"/>
      </rPr>
      <t>Name of authority granting licence or registration</t>
    </r>
  </si>
  <si>
    <r>
      <rPr>
        <sz val="9"/>
        <color rgb="FF5F636A"/>
        <rFont val="Open Sans"/>
        <family val="2"/>
      </rPr>
      <t>Registration / licence number</t>
    </r>
  </si>
  <si>
    <r>
      <rPr>
        <sz val="9"/>
        <color rgb="FF5F636A"/>
        <rFont val="Open Sans"/>
        <family val="2"/>
      </rPr>
      <t>Is there an English language ability requirement associated with your professional registration or licence?</t>
    </r>
  </si>
  <si>
    <r>
      <rPr>
        <sz val="9"/>
        <color rgb="FF5F636A"/>
        <rFont val="Open Sans"/>
        <family val="2"/>
      </rPr>
      <t>If yes, give details</t>
    </r>
  </si>
  <si>
    <r>
      <rPr>
        <sz val="9"/>
        <color rgb="FF5F636A"/>
        <rFont val="Open Sans"/>
        <family val="2"/>
      </rPr>
      <t>Is English your first language?</t>
    </r>
  </si>
  <si>
    <r>
      <rPr>
        <sz val="9"/>
        <color rgb="FF5F636A"/>
        <rFont val="Open Sans"/>
        <family val="2"/>
      </rPr>
      <t>If not, what is your main language?</t>
    </r>
  </si>
  <si>
    <r>
      <rPr>
        <sz val="9"/>
        <color rgb="FF5F636A"/>
        <rFont val="Open Sans"/>
        <family val="2"/>
      </rPr>
      <t>Have you studied in a secondary and / or tertiary institution where the instruction was in English?</t>
    </r>
  </si>
  <si>
    <r>
      <rPr>
        <sz val="9"/>
        <color rgb="FF5F636A"/>
        <rFont val="Open Sans"/>
        <family val="2"/>
      </rPr>
      <t>Name of test</t>
    </r>
  </si>
  <si>
    <r>
      <rPr>
        <sz val="9"/>
        <color rgb="FF5F636A"/>
        <rFont val="Open Sans"/>
        <family val="2"/>
      </rPr>
      <t>Test reference number</t>
    </r>
  </si>
  <si>
    <r>
      <rPr>
        <sz val="9"/>
        <color rgb="FF5F636A"/>
        <rFont val="Open Sans"/>
        <family val="2"/>
      </rPr>
      <t>Country where test was undertaken</t>
    </r>
  </si>
  <si>
    <r>
      <rPr>
        <sz val="9"/>
        <color rgb="FF5F636A"/>
        <rFont val="Open Sans"/>
        <family val="2"/>
      </rPr>
      <t>Listening score</t>
    </r>
  </si>
  <si>
    <r>
      <rPr>
        <sz val="9"/>
        <color rgb="FF5F636A"/>
        <rFont val="Open Sans"/>
        <family val="2"/>
      </rPr>
      <t>Reading score</t>
    </r>
  </si>
  <si>
    <r>
      <rPr>
        <sz val="9"/>
        <color rgb="FF5F636A"/>
        <rFont val="Open Sans"/>
        <family val="2"/>
      </rPr>
      <t>Writing score</t>
    </r>
  </si>
  <si>
    <r>
      <rPr>
        <sz val="9"/>
        <color rgb="FF5F636A"/>
        <rFont val="Open Sans"/>
        <family val="2"/>
      </rPr>
      <t>Speaking score</t>
    </r>
  </si>
  <si>
    <r>
      <rPr>
        <sz val="9"/>
        <color rgb="FF5F636A"/>
        <rFont val="Open Sans"/>
        <family val="2"/>
      </rPr>
      <t>Is this your current employment situation?</t>
    </r>
  </si>
  <si>
    <r>
      <rPr>
        <sz val="9"/>
        <color rgb="FF5F636A"/>
        <rFont val="Open Sans"/>
        <family val="2"/>
      </rPr>
      <t>Position</t>
    </r>
  </si>
  <si>
    <r>
      <rPr>
        <sz val="9"/>
        <color rgb="FF5F636A"/>
        <rFont val="Open Sans"/>
        <family val="2"/>
      </rPr>
      <t>Position type</t>
    </r>
  </si>
  <si>
    <r>
      <rPr>
        <sz val="9"/>
        <color rgb="FF5F636A"/>
        <rFont val="Open Sans"/>
        <family val="2"/>
      </rPr>
      <t>Employer name</t>
    </r>
  </si>
  <si>
    <r>
      <rPr>
        <sz val="9"/>
        <color rgb="FF5F636A"/>
        <rFont val="Open Sans"/>
        <family val="2"/>
      </rPr>
      <t>Is this employment related to the nominated position?</t>
    </r>
  </si>
  <si>
    <r>
      <rPr>
        <sz val="9"/>
        <color rgb="FF5F636A"/>
        <rFont val="Open Sans"/>
        <family val="2"/>
      </rPr>
      <t>Have you agreed to pay the employer or the employer’s agent for any purpose whatsoever including, but not limited to, recruitment, travel, visa applications or agent fees?</t>
    </r>
  </si>
  <si>
    <r>
      <rPr>
        <sz val="9"/>
        <color rgb="FF5F636A"/>
        <rFont val="Open Sans"/>
        <family val="2"/>
      </rPr>
      <t>Full name (Family name, Given names)</t>
    </r>
  </si>
  <si>
    <r>
      <rPr>
        <sz val="9"/>
        <color rgb="FF5F636A"/>
        <rFont val="Open Sans"/>
        <family val="2"/>
      </rPr>
      <t>Do you or any family members intend to enter a hospital or a health care facility (including nursing homes) while in Australia?</t>
    </r>
  </si>
  <si>
    <r>
      <rPr>
        <sz val="9"/>
        <color rgb="FF5F636A"/>
        <rFont val="Open Sans"/>
        <family val="2"/>
      </rPr>
      <t>Reason</t>
    </r>
  </si>
  <si>
    <r>
      <rPr>
        <sz val="9"/>
        <color rgb="FF5F636A"/>
        <rFont val="Open Sans"/>
        <family val="2"/>
      </rPr>
      <t>Do you or any family members intend to work as, or study to be a doctor, dentist, nurse or paramedic during their stay in Australia?</t>
    </r>
  </si>
  <si>
    <r>
      <rPr>
        <sz val="9"/>
        <color rgb="FF5F636A"/>
        <rFont val="Open Sans"/>
        <family val="2"/>
      </rPr>
      <t>Condition</t>
    </r>
  </si>
  <si>
    <r>
      <rPr>
        <sz val="9"/>
        <color rgb="FF5F636A"/>
        <rFont val="Open Sans"/>
        <family val="2"/>
      </rPr>
      <t>Do you or any family members require assistance with mobility or care due to a medical condition?</t>
    </r>
  </si>
  <si>
    <r>
      <rPr>
        <sz val="9"/>
        <color rgb="FF5F636A"/>
        <rFont val="Open Sans"/>
        <family val="2"/>
      </rPr>
      <t>Have you or any family members:
• ever had, or currently have, tuberculosis?
• been in close contact with a family member that has active tuberculosis?
• ever had a chest x-ray which showed an abnormality?</t>
    </r>
  </si>
  <si>
    <r>
      <rPr>
        <sz val="9"/>
        <color rgb="FF5F636A"/>
        <rFont val="Open Sans"/>
        <family val="2"/>
      </rPr>
      <t>Have you or any family members ever been charged with any offence that is currently
awaiting legal action?</t>
    </r>
  </si>
  <si>
    <r>
      <t xml:space="preserve">Have you or any family members ever served in a military force, police force, state sponsored / private militia or intelligence agency </t>
    </r>
    <r>
      <rPr>
        <i/>
        <sz val="9"/>
        <color rgb="FF5F636A"/>
        <rFont val="Open Sans"/>
        <family val="2"/>
      </rPr>
      <t>(including secret police)</t>
    </r>
    <r>
      <rPr>
        <sz val="9"/>
        <color rgb="FF5F636A"/>
        <rFont val="Open Sans"/>
        <family val="2"/>
      </rPr>
      <t>?</t>
    </r>
  </si>
  <si>
    <r>
      <rPr>
        <sz val="9"/>
        <color rgb="FF5F636A"/>
        <rFont val="Open Sans"/>
        <family val="2"/>
      </rPr>
      <t>Country of service</t>
    </r>
  </si>
  <si>
    <r>
      <rPr>
        <sz val="9"/>
        <color rgb="FF5F636A"/>
        <rFont val="Open Sans"/>
        <family val="2"/>
      </rPr>
      <t>Have read and understood the information provided to them in this application.</t>
    </r>
  </si>
  <si>
    <r>
      <rPr>
        <sz val="9"/>
        <color rgb="FF5F636A"/>
        <rFont val="Open Sans"/>
        <family val="2"/>
      </rPr>
      <t>Have provided complete and correct information in every detail on this form, and on any attachments to it.</t>
    </r>
  </si>
  <si>
    <r>
      <rPr>
        <sz val="9"/>
        <color rgb="FF5F636A"/>
        <rFont val="Open Sans"/>
        <family val="2"/>
      </rPr>
      <t>Understand that if any fraudulent documents or false or misleading information has been provided with this application, or if any of the applicants  fail to satisfy the Minister of their identity, the application may be refused and the applicant(s), and any member of their family unit, may become unable to be granted a visa for a specified period of time.</t>
    </r>
  </si>
  <si>
    <r>
      <rPr>
        <sz val="9"/>
        <color rgb="FF5F636A"/>
        <rFont val="Open Sans"/>
        <family val="2"/>
      </rPr>
      <t>Understand that if documents are found to be fraudulent or information to be incorrect after the grant of a visa, the visa may subsequently be cancelled.</t>
    </r>
  </si>
  <si>
    <r>
      <rPr>
        <sz val="9"/>
        <color rgb="FF5F636A"/>
        <rFont val="Open Sans"/>
        <family val="2"/>
      </rPr>
      <t>Understand that if this application is approved, any person not included in this application will not have automatic right of entry to Australia.</t>
    </r>
  </si>
  <si>
    <r>
      <rPr>
        <sz val="9"/>
        <color rgb="FF5F636A"/>
        <rFont val="Open Sans"/>
        <family val="2"/>
      </rPr>
      <t xml:space="preserve">Will inform the Department in writing immediately as they become aware of a change in circumstances </t>
    </r>
    <r>
      <rPr>
        <i/>
        <sz val="9"/>
        <color rgb="FF5F636A"/>
        <rFont val="Open Sans"/>
        <family val="2"/>
      </rPr>
      <t xml:space="preserve">(including change of address) </t>
    </r>
    <r>
      <rPr>
        <sz val="9"/>
        <color rgb="FF5F636A"/>
        <rFont val="Open Sans"/>
        <family val="2"/>
      </rPr>
      <t>or  if there is any change relating to information they have provided in or with this application, while it is being considered.</t>
    </r>
  </si>
  <si>
    <r>
      <rPr>
        <sz val="9"/>
        <color rgb="FF5F636A"/>
        <rFont val="Open Sans"/>
        <family val="2"/>
      </rPr>
      <t xml:space="preserve">Have read the information contained in the Privacy Notice </t>
    </r>
    <r>
      <rPr>
        <i/>
        <sz val="9"/>
        <color rgb="FF5F636A"/>
        <rFont val="Open Sans"/>
        <family val="2"/>
      </rPr>
      <t>(Form 1442i)</t>
    </r>
    <r>
      <rPr>
        <sz val="9"/>
        <color rgb="FF5F636A"/>
        <rFont val="Open Sans"/>
        <family val="2"/>
      </rPr>
      <t>.</t>
    </r>
  </si>
  <si>
    <r>
      <rPr>
        <sz val="9"/>
        <color rgb="FF5F636A"/>
        <rFont val="Open Sans"/>
        <family val="2"/>
      </rPr>
      <t xml:space="preserve">Understand that the department may collect, use and disclose the applicant’s personal information (including biometric information and other sensitive information) as outlined in the Privacy Notice </t>
    </r>
    <r>
      <rPr>
        <i/>
        <sz val="9"/>
        <color rgb="FF5F636A"/>
        <rFont val="Open Sans"/>
        <family val="2"/>
      </rPr>
      <t>(Form 1442i)</t>
    </r>
    <r>
      <rPr>
        <sz val="9"/>
        <color rgb="FF5F636A"/>
        <rFont val="Open Sans"/>
        <family val="2"/>
      </rPr>
      <t>.</t>
    </r>
  </si>
  <si>
    <r>
      <rPr>
        <sz val="9"/>
        <color rgb="FF5F636A"/>
        <rFont val="Open Sans"/>
        <family val="2"/>
      </rPr>
      <t>Understand that they must abide by the conditions of the visa.</t>
    </r>
  </si>
  <si>
    <r>
      <rPr>
        <sz val="9"/>
        <color rgb="FF5F636A"/>
        <rFont val="Open Sans"/>
        <family val="2"/>
      </rPr>
      <t>Have made adequate arrangements for health insurance during the period of their intended stay in Australia.</t>
    </r>
  </si>
  <si>
    <r>
      <rPr>
        <sz val="9"/>
        <color rgb="FF5F636A"/>
        <rFont val="Open Sans"/>
        <family val="2"/>
      </rPr>
      <t>Give consent to the collection of their fingerprints
and facial image if required.</t>
    </r>
  </si>
  <si>
    <r>
      <rPr>
        <sz val="9"/>
        <color rgb="FF5F636A"/>
        <rFont val="Open Sans"/>
        <family val="2"/>
      </rPr>
      <t>Give consent to Australian law enforcement agencies disclosing the applicant’s biometric, biographical and criminal record information to the Department to help identify the applicant, to determine eligibility for grant of a visa and for law enforcement purposes.</t>
    </r>
  </si>
  <si>
    <r>
      <rPr>
        <sz val="9"/>
        <color rgb="FF5F636A"/>
        <rFont val="Open Sans"/>
        <family val="2"/>
      </rPr>
      <t>Give consent to the Department using the applicant’s biometric, biographical and criminal record information obtained for the purposes of the Migration Act 1958 or the Citizenship Act 2007.</t>
    </r>
  </si>
  <si>
    <r>
      <rPr>
        <sz val="9"/>
        <color rgb="FF5F636A"/>
        <rFont val="Open Sans"/>
        <family val="2"/>
      </rPr>
      <t>Each applicant who is 18 years or over has read, or had explained to them, information provided by the Australian Government on Australian society and values, and agrees to the Australian values statement.</t>
    </r>
  </si>
  <si>
    <t>Citizen</t>
  </si>
  <si>
    <t>Permanent Resident</t>
  </si>
  <si>
    <t>Visitor</t>
  </si>
  <si>
    <t>Student</t>
  </si>
  <si>
    <t>Work Visa</t>
  </si>
  <si>
    <t>No Legal Status</t>
  </si>
  <si>
    <t>Other</t>
  </si>
  <si>
    <t>Type Skills</t>
  </si>
  <si>
    <t>457/TSS skills assessment - Trades Recognition Australian (TRA)</t>
  </si>
  <si>
    <t>Other Trades Recognition Australia skills assessment</t>
  </si>
  <si>
    <t>Meat Industry Training Advisory Council assessment (MINTRAC)</t>
  </si>
  <si>
    <t>Skills Assessment for Migration - General Occupations - VETASSESS</t>
  </si>
  <si>
    <t>Female</t>
  </si>
  <si>
    <t>Male</t>
  </si>
  <si>
    <t>AFGHANISTAN - AFG</t>
  </si>
  <si>
    <t>ALBANIA - ALB</t>
  </si>
  <si>
    <t>ALGERIA - DZA</t>
  </si>
  <si>
    <t>AMERICAN SAMOA - ASM</t>
  </si>
  <si>
    <t>ANDORRA - AND</t>
  </si>
  <si>
    <t>ANGOLA - AGO</t>
  </si>
  <si>
    <t>ANGUILLA - AIA</t>
  </si>
  <si>
    <t>ANTIGUA AND BARBUDA - ATG</t>
  </si>
  <si>
    <t>ARGENTINA - ARG</t>
  </si>
  <si>
    <t>ARMENIA - ARM</t>
  </si>
  <si>
    <t>ARUBA - ABW</t>
  </si>
  <si>
    <t>AUSTRALIA - AUS</t>
  </si>
  <si>
    <t>AUSTRIA - AUT</t>
  </si>
  <si>
    <t>AZERBAIJAN - AZE</t>
  </si>
  <si>
    <t>BAHAMAS - BHS</t>
  </si>
  <si>
    <t>BAHRAIN - BHR</t>
  </si>
  <si>
    <t>BANGLADESH - BGD</t>
  </si>
  <si>
    <t>BARBADOS - BRB</t>
  </si>
  <si>
    <t>BELARUS - BLR</t>
  </si>
  <si>
    <t>BELGIUM - BEL</t>
  </si>
  <si>
    <t>BELIZE - BLZ</t>
  </si>
  <si>
    <t>BENIN - BEN</t>
  </si>
  <si>
    <t>BERMUDA - BMU</t>
  </si>
  <si>
    <t>BHUTAN - BTN</t>
  </si>
  <si>
    <t>BOLIVIA - BOL</t>
  </si>
  <si>
    <t>BONAIRE, SINT EUSTATIUS AND SABA - BES</t>
  </si>
  <si>
    <t>BOSNIA AND HERZEGOVINA - BIH</t>
  </si>
  <si>
    <t>BOTSWANA - BWA</t>
  </si>
  <si>
    <t>BRAZIL - BRA</t>
  </si>
  <si>
    <t>BRUNEI DARUSSALAM - BRN</t>
  </si>
  <si>
    <t>BULGARIA - BGR</t>
  </si>
  <si>
    <t>BURKINA FASO - BFA</t>
  </si>
  <si>
    <t>BURMA (MYANMAR) - MMR</t>
  </si>
  <si>
    <t>BURUNDI - BDI</t>
  </si>
  <si>
    <t>CABO VERDE - CPV</t>
  </si>
  <si>
    <t>CAMBODIA - KHM</t>
  </si>
  <si>
    <t>CAMEROON - CMR</t>
  </si>
  <si>
    <t>CANADA - CAN</t>
  </si>
  <si>
    <t>CAYMAN ISLANDS - CYM</t>
  </si>
  <si>
    <t>CENTRAL AFRICAN REPUBLIC - CAF</t>
  </si>
  <si>
    <t>CHAD - TCD</t>
  </si>
  <si>
    <t>CHILE - CHL</t>
  </si>
  <si>
    <t>CHINA - CHN</t>
  </si>
  <si>
    <t>COLOMBIA - COL</t>
  </si>
  <si>
    <t>COMOROS - COM</t>
  </si>
  <si>
    <t>CONGO - COG</t>
  </si>
  <si>
    <t>CONGO, DEMOCRATIC REPUBLIC OF THE - COD</t>
  </si>
  <si>
    <t>COOK ISLANDS - COK</t>
  </si>
  <si>
    <t>COSTA RICA - CRI</t>
  </si>
  <si>
    <t>COTE D'IVOIRE - CIV</t>
  </si>
  <si>
    <t>CROATIA - HRV</t>
  </si>
  <si>
    <t>CUBA - CUB</t>
  </si>
  <si>
    <t>CURACAO - CUW</t>
  </si>
  <si>
    <t>CYPRUS - CYP</t>
  </si>
  <si>
    <t>CZECHIA (CZECH REP) - CZE</t>
  </si>
  <si>
    <t>DENMARK - DNK</t>
  </si>
  <si>
    <t>DJIBOUTI - DJI</t>
  </si>
  <si>
    <t>DOMINICA - DMA</t>
  </si>
  <si>
    <t>DOMINICAN REPUBLIC - DOM</t>
  </si>
  <si>
    <t>EAST TIMOR - TMP</t>
  </si>
  <si>
    <t>ECUADOR - ECU</t>
  </si>
  <si>
    <t>EGYPT - EGY</t>
  </si>
  <si>
    <t>EL SALVADOR - SLV</t>
  </si>
  <si>
    <t>EQUATORIAL GUINEA - GNQ</t>
  </si>
  <si>
    <t>ERITREA - ERI</t>
  </si>
  <si>
    <t>ESTONIA - EST</t>
  </si>
  <si>
    <t>ETHIOPIA - ETH</t>
  </si>
  <si>
    <t>FALKLAND ISLANDS (MALVINAS) - FLK</t>
  </si>
  <si>
    <t>FIJI - FJI</t>
  </si>
  <si>
    <t>FINLAND - FIN</t>
  </si>
  <si>
    <t>FRANCE - FRA</t>
  </si>
  <si>
    <t>FRENCH GUIANA - GUF</t>
  </si>
  <si>
    <t>FRENCH POLYNESIA - PYF</t>
  </si>
  <si>
    <t>GABON - GAB</t>
  </si>
  <si>
    <t>GAMBIA - GMB</t>
  </si>
  <si>
    <t>GEORGIA - GEO</t>
  </si>
  <si>
    <t>GERMANY - D</t>
  </si>
  <si>
    <t>GHANA - GHA</t>
  </si>
  <si>
    <t>GIBRALTAR - GIB</t>
  </si>
  <si>
    <t>GREECE - GRC</t>
  </si>
  <si>
    <t>GREENLAND - GRL</t>
  </si>
  <si>
    <t>GRENADA - GRD</t>
  </si>
  <si>
    <t>GUADELOUPE - GLP</t>
  </si>
  <si>
    <t>GUAM - GUM</t>
  </si>
  <si>
    <t>GUATEMALA - GTM</t>
  </si>
  <si>
    <t>GUINEA - GIN</t>
  </si>
  <si>
    <t>GUINEA-BISSAU - GNB</t>
  </si>
  <si>
    <t>GUYANA - GUY</t>
  </si>
  <si>
    <t>HAITI - HTI</t>
  </si>
  <si>
    <t>HONDURAS - HND</t>
  </si>
  <si>
    <t>HONG KONG SAR - HKG</t>
  </si>
  <si>
    <t>HUNGARY - HUN</t>
  </si>
  <si>
    <t>ICELAND - ISL</t>
  </si>
  <si>
    <t>INDIA - IND</t>
  </si>
  <si>
    <t>INDONESIA - IDN</t>
  </si>
  <si>
    <t>IRAN, ISLAMIC REPUBLIC OF - IRN</t>
  </si>
  <si>
    <t>IRAQ - IRQ</t>
  </si>
  <si>
    <t>IRELAND - IRL</t>
  </si>
  <si>
    <t>ISRAEL - ISR</t>
  </si>
  <si>
    <t>ITALY - ITA</t>
  </si>
  <si>
    <t>JAMAICA - JAM</t>
  </si>
  <si>
    <t>JAPAN - JPN</t>
  </si>
  <si>
    <t>JORDAN - JOR</t>
  </si>
  <si>
    <t>KAZAKHSTAN - KAZ</t>
  </si>
  <si>
    <t>KENYA - KEN</t>
  </si>
  <si>
    <t>KIRIBATI - KIR</t>
  </si>
  <si>
    <t>KOREA, DEMOCRATIC PEOPLES REPUBLIC OF (NORTH) - PRK</t>
  </si>
  <si>
    <t>KOREA, REPUBLIC OF (SOUTH) - KOR</t>
  </si>
  <si>
    <t>KOSOVO - RKS</t>
  </si>
  <si>
    <t>KUWAIT - KWT</t>
  </si>
  <si>
    <t>KYRGYZSTAN - KGZ</t>
  </si>
  <si>
    <t>LAO PEOPLE'S DEMOCRATIC REPUBLIC - LAO</t>
  </si>
  <si>
    <t>LATVIA - LVA</t>
  </si>
  <si>
    <t>LEBANON - LBN</t>
  </si>
  <si>
    <t>LESOTHO - LSO</t>
  </si>
  <si>
    <t>LIBERIA - LBR</t>
  </si>
  <si>
    <t>LIBYA - LBY</t>
  </si>
  <si>
    <t>LIECHTENSTEIN - LIE</t>
  </si>
  <si>
    <t>LITHUANIA - LTU</t>
  </si>
  <si>
    <t>LUXEMBOURG - LUX</t>
  </si>
  <si>
    <t>MACAU SAR - MAC</t>
  </si>
  <si>
    <t>MACEDONIA, FORMER YUGOSLAV REPUBLIC OF - MKD</t>
  </si>
  <si>
    <t>MADAGASCAR - MDG</t>
  </si>
  <si>
    <t>MALAWI - MWI</t>
  </si>
  <si>
    <t>MALAYSIA - MYS</t>
  </si>
  <si>
    <t>MALDIVES - MDV</t>
  </si>
  <si>
    <t>MALI - MLI</t>
  </si>
  <si>
    <t>MALTA - MLT</t>
  </si>
  <si>
    <t>MARSHALL ISLANDS - MHL</t>
  </si>
  <si>
    <t>MARTINIQUE - MTQ</t>
  </si>
  <si>
    <t>MAURITANIA - MRT</t>
  </si>
  <si>
    <t>MAURITIUS - MUS</t>
  </si>
  <si>
    <t>MEXICO - MEX</t>
  </si>
  <si>
    <t>MICRONESIA, FEDERATED STATES OF - FSM</t>
  </si>
  <si>
    <t>MOLDOVA, REPUBLIC OF - MDA</t>
  </si>
  <si>
    <t>MONACO - MCO</t>
  </si>
  <si>
    <t>MONGOLIA - MNG</t>
  </si>
  <si>
    <t>MONTENEGRO - MNE</t>
  </si>
  <si>
    <t>MONTSERRAT - MSR</t>
  </si>
  <si>
    <t>MOROCCO - MAR</t>
  </si>
  <si>
    <t>MOZAMBIQUE - MOZ</t>
  </si>
  <si>
    <t>NAMIBIA - NAM</t>
  </si>
  <si>
    <t>NAURU - NRU</t>
  </si>
  <si>
    <t>NEPAL - NPL</t>
  </si>
  <si>
    <t>NETHERLANDS - NLD</t>
  </si>
  <si>
    <t>NETHERLANDS ANTILLES - ANT</t>
  </si>
  <si>
    <t>NEW CALEDONIA - NCL</t>
  </si>
  <si>
    <t>NEW ZEALAND - NZL</t>
  </si>
  <si>
    <t>NICARAGUA - NIC</t>
  </si>
  <si>
    <t>NIGER - NER</t>
  </si>
  <si>
    <t>NIGERIA - NGA</t>
  </si>
  <si>
    <t>NIUE - NIU</t>
  </si>
  <si>
    <t>NORWAY - NOR</t>
  </si>
  <si>
    <t>OMAN - OMN</t>
  </si>
  <si>
    <t>PAKISTAN - PAK</t>
  </si>
  <si>
    <t>PALAU - PLW</t>
  </si>
  <si>
    <t>PALESTINIAN AUTHORITY - PSE</t>
  </si>
  <si>
    <t>PANAMA - PAN</t>
  </si>
  <si>
    <t>PAPUA NEW GUINEA - PNG</t>
  </si>
  <si>
    <t>PARAGUAY - PRY</t>
  </si>
  <si>
    <t>PERU - PER</t>
  </si>
  <si>
    <t>PHILIPPINES - PHL</t>
  </si>
  <si>
    <t>PITCAIRN - PCN</t>
  </si>
  <si>
    <t>POLAND - POL</t>
  </si>
  <si>
    <t>PORTUGAL - PRT</t>
  </si>
  <si>
    <t>PUERTO RICO - PRI</t>
  </si>
  <si>
    <t>QATAR - QAT</t>
  </si>
  <si>
    <t>REUNION - REU</t>
  </si>
  <si>
    <t>ROMANIA - ROU</t>
  </si>
  <si>
    <t>ROMANIA PRE 1/2/2002 - ROM</t>
  </si>
  <si>
    <t>RUSSIAN FEDERATION - RUS</t>
  </si>
  <si>
    <t>RWANDA - RWA</t>
  </si>
  <si>
    <t>SAINT HELENA, ASCENSION AND TRISTAN DA CUNHA - SHN</t>
  </si>
  <si>
    <t>SAINT KITTS AND NEVIS - KNA</t>
  </si>
  <si>
    <t>SAINT LUCIA - LCA</t>
  </si>
  <si>
    <t>SAINT VINCENT AND THE GRENADINES - VCT</t>
  </si>
  <si>
    <t>SAMOA - WSM</t>
  </si>
  <si>
    <t>SAN MARINO - SMR</t>
  </si>
  <si>
    <t>SAO TOME AND PRINCIPE - STP</t>
  </si>
  <si>
    <t>SAUDI ARABIA - SAU</t>
  </si>
  <si>
    <t>SENEGAL - SEN</t>
  </si>
  <si>
    <t>SERBIA - SRB</t>
  </si>
  <si>
    <t>SERBIA AND MONTENEGRO - SCG</t>
  </si>
  <si>
    <t>SEYCHELLES - SYC</t>
  </si>
  <si>
    <t>SIERRA LEONE - SLE</t>
  </si>
  <si>
    <t>SINGAPORE - SGP</t>
  </si>
  <si>
    <t>SINT MAARTEN (DUTCH PART) - SXM</t>
  </si>
  <si>
    <t>SLOVAK REPUBLIC - SVK</t>
  </si>
  <si>
    <t>SLOVENIA - SVN</t>
  </si>
  <si>
    <t>SOLOMON ISLANDS - SLB</t>
  </si>
  <si>
    <t>SOMALIA - SOM</t>
  </si>
  <si>
    <t>SOUTH AFRICA - ZAF</t>
  </si>
  <si>
    <t>SOUTH SUDAN - SSD</t>
  </si>
  <si>
    <t>SPAIN - ESP</t>
  </si>
  <si>
    <t>SRI LANKA - LKA</t>
  </si>
  <si>
    <t>SUDAN - SDN</t>
  </si>
  <si>
    <t>SURINAME - SUR</t>
  </si>
  <si>
    <t>SWAZILAND - SWZ</t>
  </si>
  <si>
    <t>SWEDEN - SWE</t>
  </si>
  <si>
    <t>SWITZERLAND - CHE</t>
  </si>
  <si>
    <t>SYRIAN ARAB REPUBLIC - SYR</t>
  </si>
  <si>
    <t>TAIWAN - TWN</t>
  </si>
  <si>
    <t>TAJIKISTAN - TJK</t>
  </si>
  <si>
    <t>TANZANIA, UNITED REPUBLIC OF - TZA</t>
  </si>
  <si>
    <t>THAILAND - THA</t>
  </si>
  <si>
    <t>TIMOR-LESTE - TLS</t>
  </si>
  <si>
    <t>TOGO - TGO</t>
  </si>
  <si>
    <t>TOKELAU - TKL</t>
  </si>
  <si>
    <t>TONGA - TON</t>
  </si>
  <si>
    <t>TRINIDAD AND TOBAGO - TTO</t>
  </si>
  <si>
    <t>TUNISIA - TUN</t>
  </si>
  <si>
    <t>TURKEY - TUR</t>
  </si>
  <si>
    <t>TURKMENISTAN - TKM</t>
  </si>
  <si>
    <t>TURKS AND CAICOS ISLANDS - TCA</t>
  </si>
  <si>
    <t>TUVALU - TUV</t>
  </si>
  <si>
    <t>UGANDA - UGA</t>
  </si>
  <si>
    <t>UKRAINE - UKR</t>
  </si>
  <si>
    <t>UNITED ARAB EMIRATES - ARE</t>
  </si>
  <si>
    <t>UNITED KINGDOM - BRITISH CITIZEN - GBR</t>
  </si>
  <si>
    <t>UNITED KINGDOM - BRITISH NATIONAL (OVERSEAS) - GBN</t>
  </si>
  <si>
    <t>UNITED KINGDOM - BRITISH OVERSEAS CITIZEN - GBO</t>
  </si>
  <si>
    <t>UNITED KINGDOM - BRITISH OVERSEAS TERRITORIES CITIZEN - GBD</t>
  </si>
  <si>
    <t>UNITED KINGDOM - BRITISH SUBJECT - GBS</t>
  </si>
  <si>
    <t>UNITED STATES - USA</t>
  </si>
  <si>
    <t>URUGUAY - URY</t>
  </si>
  <si>
    <t>UZBEKISTAN - UZB</t>
  </si>
  <si>
    <t>VANUATU - VUT</t>
  </si>
  <si>
    <t>VATICAN CITY STATE (HOLY SEE) - VAT</t>
  </si>
  <si>
    <t>VENEZUELA - VEN</t>
  </si>
  <si>
    <t>VIET NAM - VNM</t>
  </si>
  <si>
    <t>VIRGIN ISLANDS (BRITISH) - VGB</t>
  </si>
  <si>
    <t>YEMEN - YEM</t>
  </si>
  <si>
    <t>YUGOSLAVIA - YUG</t>
  </si>
  <si>
    <t>ZAIRE - ZAR</t>
  </si>
  <si>
    <t>ZAMBIA - ZMB</t>
  </si>
  <si>
    <t>ZIMBABWE - ZWE</t>
  </si>
  <si>
    <t>Country of issue</t>
  </si>
  <si>
    <t>Afghanistan</t>
  </si>
  <si>
    <t>Albania</t>
  </si>
  <si>
    <t>Algeria</t>
  </si>
  <si>
    <t>American Samoa</t>
  </si>
  <si>
    <t>Andorra</t>
  </si>
  <si>
    <t>Angola</t>
  </si>
  <si>
    <t>Anguilla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</si>
  <si>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</si>
  <si>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</si>
  <si>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</si>
  <si>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</si>
  <si>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</si>
  <si>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</si>
  <si>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</si>
  <si>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</si>
  <si>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</si>
  <si>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</si>
  <si>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</si>
  <si>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</si>
  <si>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</si>
  <si>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</si>
  <si>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</si>
  <si>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</si>
  <si>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</si>
  <si>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</si>
  <si>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Bonaire, Sint Eustatius and Saba</t>
  </si>
  <si>
    <t>Bosnia and Herzegovina</t>
  </si>
  <si>
    <t>Botswana</t>
  </si>
  <si>
    <t>Bouvet Island</t>
  </si>
  <si>
    <t>Brazil</t>
  </si>
  <si>
    <t>Brit Indian Ocn Terr</t>
  </si>
  <si>
    <t>British Overseas Territory Citizen</t>
  </si>
  <si>
    <t>Virgin Islands (Brit)</t>
  </si>
  <si>
    <t>Brunei Darussalam</t>
  </si>
  <si>
    <t>Bulgaria</t>
  </si>
  <si>
    <t>Burkina Faso</t>
  </si>
  <si>
    <t>Burundi</t>
  </si>
  <si>
    <t>Cabo Verde</t>
  </si>
  <si>
    <t>Cambodia</t>
  </si>
  <si>
    <t>Cameroon</t>
  </si>
  <si>
    <t>Canada</t>
  </si>
  <si>
    <t>Cayman Islands</t>
  </si>
  <si>
    <t>Central African Rep</t>
  </si>
  <si>
    <t>Chad</t>
  </si>
  <si>
    <t>Chile</t>
  </si>
  <si>
    <t>China</t>
  </si>
  <si>
    <t>Christmas Island</t>
  </si>
  <si>
    <t>Cocos (Keeling) Islands</t>
  </si>
  <si>
    <t>Colombia</t>
  </si>
  <si>
    <t>Comoros</t>
  </si>
  <si>
    <t>Congo</t>
  </si>
  <si>
    <t>Cook Islands</t>
  </si>
  <si>
    <t>Costa Rica</t>
  </si>
  <si>
    <t>Côte d’Ivoire</t>
  </si>
  <si>
    <t>Croatia</t>
  </si>
  <si>
    <t>Cuba</t>
  </si>
  <si>
    <t>Curacao</t>
  </si>
  <si>
    <t>Cyprus</t>
  </si>
  <si>
    <t>Czechia (Czech Rep)</t>
  </si>
  <si>
    <t>Denmark</t>
  </si>
  <si>
    <t>Djibouti</t>
  </si>
  <si>
    <t>Dominica</t>
  </si>
  <si>
    <t>Dominican Republic</t>
  </si>
  <si>
    <t>Ecuador</t>
  </si>
  <si>
    <t>Egypt</t>
  </si>
  <si>
    <t>El Salvador</t>
  </si>
  <si>
    <t>England</t>
  </si>
  <si>
    <t>Equatorial Guinea</t>
  </si>
  <si>
    <t>Eritrea</t>
  </si>
  <si>
    <t>Estonia</t>
  </si>
  <si>
    <t>Ethiopia</t>
  </si>
  <si>
    <t>Falkland Islands</t>
  </si>
  <si>
    <t>Faroe Islands</t>
  </si>
  <si>
    <t>Fiji</t>
  </si>
  <si>
    <t>Finland</t>
  </si>
  <si>
    <t>France</t>
  </si>
  <si>
    <t>French Guiana</t>
  </si>
  <si>
    <t>French Polynesia</t>
  </si>
  <si>
    <t>Gabon</t>
  </si>
  <si>
    <t>Gambia</t>
  </si>
  <si>
    <t>Gaza Strip</t>
  </si>
  <si>
    <t>Georgia</t>
  </si>
  <si>
    <t>Germany</t>
  </si>
  <si>
    <t>Ghana</t>
  </si>
  <si>
    <t>Gibraltar</t>
  </si>
  <si>
    <t>Greece</t>
  </si>
  <si>
    <t>Greenland</t>
  </si>
  <si>
    <t>Grenada</t>
  </si>
  <si>
    <t>Guadeloupe</t>
  </si>
  <si>
    <t>Guam</t>
  </si>
  <si>
    <t>Guatemala</t>
  </si>
  <si>
    <t>Guernsey</t>
  </si>
  <si>
    <t>Guinea</t>
  </si>
  <si>
    <t>Guinea-Bissau</t>
  </si>
  <si>
    <t>Guyana</t>
  </si>
  <si>
    <t>Haiti</t>
  </si>
  <si>
    <t>Heard Island and McDonald Islands</t>
  </si>
  <si>
    <t>Honduras</t>
  </si>
  <si>
    <t xml:space="preserve">Hong Kong SAR </t>
  </si>
  <si>
    <t>Hungary</t>
  </si>
  <si>
    <t>Iceland</t>
  </si>
  <si>
    <t>India</t>
  </si>
  <si>
    <t>Indonesia</t>
  </si>
  <si>
    <t>Iran</t>
  </si>
  <si>
    <t>Iraq</t>
  </si>
  <si>
    <t>Ireland, Republic of</t>
  </si>
  <si>
    <t>Isle of Man</t>
  </si>
  <si>
    <t>Israel</t>
  </si>
  <si>
    <t>Italy</t>
  </si>
  <si>
    <t>Jamaica</t>
  </si>
  <si>
    <t>Japan</t>
  </si>
  <si>
    <t>Jersey</t>
  </si>
  <si>
    <t>Jordan</t>
  </si>
  <si>
    <t>Kazakhstan</t>
  </si>
  <si>
    <t>Kenya</t>
  </si>
  <si>
    <t>Kiribati</t>
  </si>
  <si>
    <t>Kosovo</t>
  </si>
  <si>
    <t>Kuwait</t>
  </si>
  <si>
    <t>Kyrgyzstan</t>
  </si>
  <si>
    <t>Lao Peoples Dem Rep</t>
  </si>
  <si>
    <t>Latvia</t>
  </si>
  <si>
    <t>Lebanon</t>
  </si>
  <si>
    <t>Lesotho</t>
  </si>
  <si>
    <t>Liberia</t>
  </si>
  <si>
    <t>Libya</t>
  </si>
  <si>
    <t>Liechtenstein</t>
  </si>
  <si>
    <t>Lithuania</t>
  </si>
  <si>
    <t>Luxembourg</t>
  </si>
  <si>
    <t>Macau Spcl Admin Rgn</t>
  </si>
  <si>
    <t>FYR 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</si>
  <si>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</si>
  <si>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</si>
  <si>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</si>
  <si>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</si>
  <si>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</si>
  <si>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</si>
  <si>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</si>
  <si>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</si>
  <si>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</si>
  <si>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</si>
  <si>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</si>
  <si>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</si>
  <si>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</si>
  <si>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</si>
  <si>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</si>
  <si>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</si>
  <si>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</si>
  <si>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</si>
  <si>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</si>
  <si>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</si>
  <si>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t>
  </si>
  <si>
    <t>Namibia</t>
  </si>
  <si>
    <t>Nauru</t>
  </si>
  <si>
    <t>Nepal</t>
  </si>
  <si>
    <t>Netherlands</t>
  </si>
  <si>
    <t>New Caledonia</t>
  </si>
  <si>
    <t>New Hebrides</t>
  </si>
  <si>
    <t>New Zealand</t>
  </si>
  <si>
    <t>Nicaragua</t>
  </si>
  <si>
    <t>Niger</t>
  </si>
  <si>
    <t>Nigeria</t>
  </si>
  <si>
    <t>Niue</t>
  </si>
  <si>
    <t>Norfolk Island</t>
  </si>
  <si>
    <t>Northern Ireland</t>
  </si>
  <si>
    <t>Korea, North</t>
  </si>
  <si>
    <t>Northern Mariana Isl</t>
  </si>
  <si>
    <t>Norway</t>
  </si>
  <si>
    <t>Oman</t>
  </si>
  <si>
    <t>Pakistan</t>
  </si>
  <si>
    <t>Palau</t>
  </si>
  <si>
    <t>Palestinian Authority</t>
  </si>
  <si>
    <t>Panama</t>
  </si>
  <si>
    <t>Papua New Guinea</t>
  </si>
  <si>
    <t>Paraguay</t>
  </si>
  <si>
    <t>Peru</t>
  </si>
  <si>
    <t>Philippines</t>
  </si>
  <si>
    <t>Pitcairn</t>
  </si>
  <si>
    <t>Poland</t>
  </si>
  <si>
    <t>Portugal</t>
  </si>
  <si>
    <t>Puerto Rico</t>
  </si>
  <si>
    <t>Qatar</t>
  </si>
  <si>
    <t>Romania</t>
  </si>
  <si>
    <t>Russian Federation</t>
  </si>
  <si>
    <t>Rwanda</t>
  </si>
  <si>
    <t>Reunion</t>
  </si>
  <si>
    <t>Saint Barthelemy</t>
  </si>
  <si>
    <t>St Helena</t>
  </si>
  <si>
    <t>Saint Helena, Ascension and Tristan Da Cunha</t>
  </si>
  <si>
    <t>St Kitts and Nevis</t>
  </si>
  <si>
    <t>Saint Lucia</t>
  </si>
  <si>
    <t>Saint Martin</t>
  </si>
  <si>
    <t>St Pierre and Miquelon</t>
  </si>
  <si>
    <t>St Vincent/Grenadines</t>
  </si>
  <si>
    <t>Samoa</t>
  </si>
  <si>
    <t>San Marino</t>
  </si>
  <si>
    <t>Saudi Arabia</t>
  </si>
  <si>
    <t>Scotland</t>
  </si>
  <si>
    <t>Senegal</t>
  </si>
  <si>
    <t>Serbia</t>
  </si>
  <si>
    <t>Yugoslavia</t>
  </si>
  <si>
    <t>Seychelles</t>
  </si>
  <si>
    <t>Sierra Leone</t>
  </si>
  <si>
    <t>Singapore</t>
  </si>
  <si>
    <t>Sint Maarten (Dutch Part)</t>
  </si>
  <si>
    <t>Slovak Republic</t>
  </si>
  <si>
    <t>Slovenia</t>
  </si>
  <si>
    <t>Solomon Islands</t>
  </si>
  <si>
    <t>Somalia</t>
  </si>
  <si>
    <t>South Africa</t>
  </si>
  <si>
    <t>South Sudan</t>
  </si>
  <si>
    <t>Georgia/Sandwich Isl</t>
  </si>
  <si>
    <t>Korea, South</t>
  </si>
  <si>
    <t>Spain</t>
  </si>
  <si>
    <t>Sri Lanka</t>
  </si>
  <si>
    <t>Sudan</t>
  </si>
  <si>
    <t>Suriname</t>
  </si>
  <si>
    <t>Svalbard &amp; Jan Mayen</t>
  </si>
  <si>
    <t>Swaziland</t>
  </si>
  <si>
    <t>Sweden</t>
  </si>
  <si>
    <t>Switzerland</t>
  </si>
  <si>
    <t>Syria</t>
  </si>
  <si>
    <t>Sao Tome &amp; Principe</t>
  </si>
  <si>
    <t>Taiwan</t>
  </si>
  <si>
    <t>Tajikistan</t>
  </si>
  <si>
    <t>Tanzania</t>
  </si>
  <si>
    <t>Thailand</t>
  </si>
  <si>
    <t>Timor, East</t>
  </si>
  <si>
    <t>Timor-Leste</t>
  </si>
  <si>
    <t>Togo</t>
  </si>
  <si>
    <t>Tokelau</t>
  </si>
  <si>
    <t>Tonga</t>
  </si>
  <si>
    <t>Trinidad and Tobago</t>
  </si>
  <si>
    <t>Tunisia</t>
  </si>
  <si>
    <t>Turkey</t>
  </si>
  <si>
    <t>Turkmenistan</t>
  </si>
  <si>
    <t>Turks and Caicos Isl</t>
  </si>
  <si>
    <t>Tuvalu</t>
  </si>
  <si>
    <t>U.S. Minor Islands</t>
  </si>
  <si>
    <t>Virgin Islands (U.S.)</t>
  </si>
  <si>
    <t>Uganda</t>
  </si>
  <si>
    <t>Ukraine</t>
  </si>
  <si>
    <t>United Arab Emirates</t>
  </si>
  <si>
    <t>United Kingdom</t>
  </si>
  <si>
    <t>United States</t>
  </si>
  <si>
    <t>Uruguay</t>
  </si>
  <si>
    <t>Uzbekistan</t>
  </si>
  <si>
    <t>Vanuatu</t>
  </si>
  <si>
    <t>Vatican City State</t>
  </si>
  <si>
    <t>Venezuela</t>
  </si>
  <si>
    <t>Vietnam</t>
  </si>
  <si>
    <t>Wales</t>
  </si>
  <si>
    <t>Wallis &amp; Futuna Isl</t>
  </si>
  <si>
    <t>West Bank</t>
  </si>
  <si>
    <t>Yemen</t>
  </si>
  <si>
    <t>Zaire</t>
  </si>
  <si>
    <t>Zambia</t>
  </si>
  <si>
    <t>Zimbabwe</t>
  </si>
  <si>
    <t>Country of passport</t>
  </si>
  <si>
    <t>De Facto</t>
  </si>
  <si>
    <t>Divorced</t>
  </si>
  <si>
    <t>Engaged</t>
  </si>
  <si>
    <t>Married</t>
  </si>
  <si>
    <t>Never Married</t>
  </si>
  <si>
    <t>Separated</t>
  </si>
  <si>
    <t>Widowed</t>
  </si>
  <si>
    <t>DFTTA</t>
  </si>
  <si>
    <t>ImmiCard</t>
  </si>
  <si>
    <t>Passport</t>
  </si>
  <si>
    <t>PLO56 (M56)</t>
  </si>
  <si>
    <t>Titre de Voyage</t>
  </si>
  <si>
    <t>Other travel document</t>
  </si>
  <si>
    <t>Other Type of document</t>
  </si>
  <si>
    <t>Birth certificate</t>
  </si>
  <si>
    <t>Drivers license</t>
  </si>
  <si>
    <t>Marriage certificate</t>
  </si>
  <si>
    <t>Relationship to Applicant</t>
  </si>
  <si>
    <t>Adopted child</t>
  </si>
  <si>
    <t>Child</t>
  </si>
  <si>
    <t>Grand Child</t>
  </si>
  <si>
    <t>Step Child</t>
  </si>
  <si>
    <t>Deed Poll</t>
  </si>
  <si>
    <t>Marriage</t>
  </si>
  <si>
    <t>Highest Qualification</t>
  </si>
  <si>
    <t>Doctoral Degree in Science, Business or Technology</t>
  </si>
  <si>
    <t>Doctoral Degree (Other)</t>
  </si>
  <si>
    <t>Masters Degree in Science, Business or Technology</t>
  </si>
  <si>
    <t>Masters Degree (Other)</t>
  </si>
  <si>
    <t>Honours Degree in Science, Business or Technology</t>
  </si>
  <si>
    <t>Honours Degree (Other)</t>
  </si>
  <si>
    <t>Bachelor Degree in Science, Business or Technology</t>
  </si>
  <si>
    <t>Bachelor Degree (Other)</t>
  </si>
  <si>
    <t>Graduate Diploma</t>
  </si>
  <si>
    <t>Other qualification or award recognised by assessing authority</t>
  </si>
  <si>
    <t>Advanced Diploma</t>
  </si>
  <si>
    <t>Associate Degree</t>
  </si>
  <si>
    <t>Diploma</t>
  </si>
  <si>
    <t>AQF Certificate IV</t>
  </si>
  <si>
    <t>AQF Certificate III</t>
  </si>
  <si>
    <t>Certificate III (non-AQF)</t>
  </si>
  <si>
    <t>Senior Secondary School Certificate</t>
  </si>
  <si>
    <t>Other - Non AQF accreditation</t>
  </si>
  <si>
    <t>Main Language</t>
  </si>
  <si>
    <t>Achenese</t>
  </si>
  <si>
    <t>Achang</t>
  </si>
  <si>
    <t>Acholi</t>
  </si>
  <si>
    <t>Adnymathanha (Yura Ngawarla)</t>
  </si>
  <si>
    <t>Afar</t>
  </si>
  <si>
    <t>Afghan</t>
  </si>
  <si>
    <t xml:space="preserve">African Language, nec </t>
  </si>
  <si>
    <t>African Languages, nfd</t>
  </si>
  <si>
    <t>Afrikaans</t>
  </si>
  <si>
    <t>Akan</t>
  </si>
  <si>
    <t>Albanian</t>
  </si>
  <si>
    <t>Alyawarr (Alyawarra)</t>
  </si>
  <si>
    <t xml:space="preserve">American Languages </t>
  </si>
  <si>
    <t>Amharic</t>
  </si>
  <si>
    <t>Anindilyakwa</t>
  </si>
  <si>
    <t>Anmatyerr (Anmatyirra)</t>
  </si>
  <si>
    <t>Anuak</t>
  </si>
  <si>
    <t>Arabana (Arabuna)</t>
  </si>
  <si>
    <t>Arabic (Including Lebanese)</t>
  </si>
  <si>
    <t>Arabic, Sudanese Creole</t>
  </si>
  <si>
    <t>Arakanese</t>
  </si>
  <si>
    <t>Aromunian (Macedo-Romanian)</t>
  </si>
  <si>
    <t>Asante</t>
  </si>
  <si>
    <t>Ashkun</t>
  </si>
  <si>
    <t>Assamese</t>
  </si>
  <si>
    <t>Assyrian</t>
  </si>
  <si>
    <t>Assyrian Neo-Aramaic</t>
  </si>
  <si>
    <t>Auslan</t>
  </si>
  <si>
    <t>Australian Creoles (NFD)</t>
  </si>
  <si>
    <t>Australian Indigenous/Aboriginal (NFD)</t>
  </si>
  <si>
    <t>Azeri</t>
  </si>
  <si>
    <t>Balinese</t>
  </si>
  <si>
    <t>Balochi</t>
  </si>
  <si>
    <t>Baltic, nfd</t>
  </si>
  <si>
    <t>Bari</t>
  </si>
  <si>
    <t>Bardi</t>
  </si>
  <si>
    <t>Basque</t>
  </si>
  <si>
    <t>Bassa</t>
  </si>
  <si>
    <t>Belorussian</t>
  </si>
  <si>
    <t>Bemba</t>
  </si>
  <si>
    <t>Bembe</t>
  </si>
  <si>
    <t>Bengali</t>
  </si>
  <si>
    <t>Bikol</t>
  </si>
  <si>
    <t>Bisaya/Visaya</t>
  </si>
  <si>
    <t>Bislama</t>
  </si>
  <si>
    <t>Bosnian</t>
  </si>
  <si>
    <t>Bulgarian</t>
  </si>
  <si>
    <t>Bunuba (Bunaba)</t>
  </si>
  <si>
    <t>Burarra</t>
  </si>
  <si>
    <t>Burmese and Related Languages</t>
  </si>
  <si>
    <t>Cantonese</t>
  </si>
  <si>
    <t>Cape York Pen Aboriginal (NEC)</t>
  </si>
  <si>
    <t>Cape York Pen Aboriginal (NFD)</t>
  </si>
  <si>
    <t>Catalan</t>
  </si>
  <si>
    <t>Cebuano</t>
  </si>
  <si>
    <t>Celtic</t>
  </si>
  <si>
    <t>Celtic, nec ( Breton, Cornis,h Manz)</t>
  </si>
  <si>
    <t>Celtic, nfd</t>
  </si>
  <si>
    <t>Central Aboriginal (NEC)</t>
  </si>
  <si>
    <t>Central Aboriginal (NFD)</t>
  </si>
  <si>
    <t>Chaldaean</t>
  </si>
  <si>
    <t>Chaldean Neo-Aramaic</t>
  </si>
  <si>
    <t>Chiga</t>
  </si>
  <si>
    <t>Chin</t>
  </si>
  <si>
    <t>Chin Daai</t>
  </si>
  <si>
    <t>Chin Falam</t>
  </si>
  <si>
    <t>Chin Haka</t>
  </si>
  <si>
    <t>Chin Khumi</t>
  </si>
  <si>
    <t>Chin Mara</t>
  </si>
  <si>
    <t>Chin Mro</t>
  </si>
  <si>
    <t>Chin Mun</t>
  </si>
  <si>
    <t>Chin Ngawn</t>
  </si>
  <si>
    <t>Chin Senthang</t>
  </si>
  <si>
    <t>Chin Teddim</t>
  </si>
  <si>
    <t>Chin Thado</t>
  </si>
  <si>
    <t>Chin Zome</t>
  </si>
  <si>
    <t>Chin Zotong</t>
  </si>
  <si>
    <t>Chinese, nec</t>
  </si>
  <si>
    <t>Chinese, nfd</t>
  </si>
  <si>
    <t>Comorian</t>
  </si>
  <si>
    <t>Croatian</t>
  </si>
  <si>
    <t>Czech</t>
  </si>
  <si>
    <t>Czechoslovakian, so described</t>
  </si>
  <si>
    <t>Dagbani</t>
  </si>
  <si>
    <t>Daju, Dar Daju</t>
  </si>
  <si>
    <t>Daju, Dar Sila</t>
  </si>
  <si>
    <t>Danish</t>
  </si>
  <si>
    <t>Dari</t>
  </si>
  <si>
    <t>Dhaangu</t>
  </si>
  <si>
    <t>Dhayyi</t>
  </si>
  <si>
    <t>Dhivehi</t>
  </si>
  <si>
    <t>Dhuwal-Dhuwala</t>
  </si>
  <si>
    <t>Dinka</t>
  </si>
  <si>
    <t>Dravidian, nec</t>
  </si>
  <si>
    <t>Dravidian, nfd</t>
  </si>
  <si>
    <t>Dutch</t>
  </si>
  <si>
    <t>Dzonkha</t>
  </si>
  <si>
    <t>Eastern Asian Languages</t>
  </si>
  <si>
    <t>Eastern European Languages</t>
  </si>
  <si>
    <t>East Slavic, nfd</t>
  </si>
  <si>
    <t>East Aboriginal (NEC)</t>
  </si>
  <si>
    <t>East Aboriginal (NFD)</t>
  </si>
  <si>
    <t>Eastern Kayah</t>
  </si>
  <si>
    <t>English</t>
  </si>
  <si>
    <t>Estonian</t>
  </si>
  <si>
    <t>Ewe</t>
  </si>
  <si>
    <t>Faeroese</t>
  </si>
  <si>
    <t>Fijian</t>
  </si>
  <si>
    <t>Fijian Hindustani</t>
  </si>
  <si>
    <t>Filipino</t>
  </si>
  <si>
    <t>Finnic, nec</t>
  </si>
  <si>
    <t>Finnic, nfd</t>
  </si>
  <si>
    <t>Finnish</t>
  </si>
  <si>
    <t>Flemish</t>
  </si>
  <si>
    <t>Fon</t>
  </si>
  <si>
    <t>French</t>
  </si>
  <si>
    <t>Frisian</t>
  </si>
  <si>
    <t>Fulfulde</t>
  </si>
  <si>
    <t>Fuliiru</t>
  </si>
  <si>
    <t>Fullah</t>
  </si>
  <si>
    <t>Fur</t>
  </si>
  <si>
    <t>Ga</t>
  </si>
  <si>
    <t>Gaelic (Scotland)</t>
  </si>
  <si>
    <t>Georgian</t>
  </si>
  <si>
    <t>German</t>
  </si>
  <si>
    <t>Gilbertese</t>
  </si>
  <si>
    <t>Gio</t>
  </si>
  <si>
    <t>Grebo</t>
  </si>
  <si>
    <t>Greek</t>
  </si>
  <si>
    <t>Gugu Yalanji</t>
  </si>
  <si>
    <t>Gujarati</t>
  </si>
  <si>
    <t>Guugu Yimidhirr</t>
  </si>
  <si>
    <t>Hadiyigna</t>
  </si>
  <si>
    <t>Haka</t>
  </si>
  <si>
    <t>Hakka</t>
  </si>
  <si>
    <t>Harari</t>
  </si>
  <si>
    <t>Hausa</t>
  </si>
  <si>
    <t>Hawaiian English</t>
  </si>
  <si>
    <t>Hazaragi</t>
  </si>
  <si>
    <t>Hebrew</t>
  </si>
  <si>
    <t>Hemba</t>
  </si>
  <si>
    <t>Hindi</t>
  </si>
  <si>
    <t>Hmong</t>
  </si>
  <si>
    <t>Hmong-Mien, nec</t>
  </si>
  <si>
    <t>Hmong-Mien, nfd</t>
  </si>
  <si>
    <t>Hokkien</t>
  </si>
  <si>
    <t>Hpon</t>
  </si>
  <si>
    <t>Hungarian</t>
  </si>
  <si>
    <t>Iban</t>
  </si>
  <si>
    <t>Iberian Romance, nec (Includes Crioulo, Galaician, Ladino)</t>
  </si>
  <si>
    <t>Iberian Romance, nfd</t>
  </si>
  <si>
    <t>Icelandic</t>
  </si>
  <si>
    <t>Igbo</t>
  </si>
  <si>
    <t>Ilokano</t>
  </si>
  <si>
    <t>Ilonggo (Hiligaynon)</t>
  </si>
  <si>
    <t>Inadequately Described</t>
  </si>
  <si>
    <t>Indian</t>
  </si>
  <si>
    <t>Indo-Aryan, nec</t>
  </si>
  <si>
    <t>Indo-Aryan, nfd</t>
  </si>
  <si>
    <t>Indonesian</t>
  </si>
  <si>
    <t>Invented Languages</t>
  </si>
  <si>
    <t>Iranic, nec</t>
  </si>
  <si>
    <t>Iranic, nfd</t>
  </si>
  <si>
    <t>Irish</t>
  </si>
  <si>
    <t>Italian</t>
  </si>
  <si>
    <t>Japanese</t>
  </si>
  <si>
    <t>Jaru (Djaru)</t>
  </si>
  <si>
    <t>Javanese</t>
  </si>
  <si>
    <t>Joba</t>
  </si>
  <si>
    <t>Kachin</t>
  </si>
  <si>
    <t>Kakwa</t>
  </si>
  <si>
    <t>Kalaw Lagaw Ya (Kalaw Kawa Ya)</t>
  </si>
  <si>
    <t>Kannada</t>
  </si>
  <si>
    <t>Karen</t>
  </si>
  <si>
    <t>Karen Brek</t>
  </si>
  <si>
    <t>Karen Bwe</t>
  </si>
  <si>
    <t>Karen Gebe</t>
  </si>
  <si>
    <t>Karen Geko</t>
  </si>
  <si>
    <t>Karen Manumanaw</t>
  </si>
  <si>
    <t>Karen Paku</t>
  </si>
  <si>
    <t>Karen Pwo</t>
  </si>
  <si>
    <t>Karen S’gaw</t>
  </si>
  <si>
    <t>Karen Yinbaw</t>
  </si>
  <si>
    <t>Karen Yintale</t>
  </si>
  <si>
    <t>Karen Zayein</t>
  </si>
  <si>
    <t>Karrwa (Garrwa, Garawa)</t>
  </si>
  <si>
    <t>Kashmiri</t>
  </si>
  <si>
    <t>Kati</t>
  </si>
  <si>
    <t>Kazakh</t>
  </si>
  <si>
    <t>Khmer/Cambodian</t>
  </si>
  <si>
    <t>Kija (Gidya)</t>
  </si>
  <si>
    <t>Kikuyu</t>
  </si>
  <si>
    <t>Kinyarwanda/ Rwanda</t>
  </si>
  <si>
    <t>Kirundi/Nyarwandwa/Rundi</t>
  </si>
  <si>
    <t>Kissi</t>
  </si>
  <si>
    <t>Kiwai</t>
  </si>
  <si>
    <t>Konkani</t>
  </si>
  <si>
    <t>Kono (Seirra Leone)</t>
  </si>
  <si>
    <t>Koongo</t>
  </si>
  <si>
    <t>Korean</t>
  </si>
  <si>
    <t>Kpelle</t>
  </si>
  <si>
    <t>Krahn</t>
  </si>
  <si>
    <t>Kreole/Creole (African)</t>
  </si>
  <si>
    <t>Krieole</t>
  </si>
  <si>
    <t>Krio</t>
  </si>
  <si>
    <t>Kriol</t>
  </si>
  <si>
    <t>Kru</t>
  </si>
  <si>
    <t>Kukatha (Gugaja)</t>
  </si>
  <si>
    <t>Kukatha (Kokatha, Gugada)</t>
  </si>
  <si>
    <t>Kuku</t>
  </si>
  <si>
    <t>Kunwinjku (Gunwinggu)</t>
  </si>
  <si>
    <t>Kuranko</t>
  </si>
  <si>
    <t>Kurdish</t>
  </si>
  <si>
    <t>Kuuku-Yau</t>
  </si>
  <si>
    <t>Kuurinji (Gurindji)</t>
  </si>
  <si>
    <t>Laka</t>
  </si>
  <si>
    <t>Lango</t>
  </si>
  <si>
    <t>Lao</t>
  </si>
  <si>
    <t>Lashi</t>
  </si>
  <si>
    <t>Latin</t>
  </si>
  <si>
    <t>Latvian</t>
  </si>
  <si>
    <t>Letzeburgish</t>
  </si>
  <si>
    <t>Liberian English</t>
  </si>
  <si>
    <t>Limba</t>
  </si>
  <si>
    <t>Lingala</t>
  </si>
  <si>
    <t>Lisu</t>
  </si>
  <si>
    <t>Lithuanian</t>
  </si>
  <si>
    <t>Loko</t>
  </si>
  <si>
    <t>Lokoya</t>
  </si>
  <si>
    <t>Loma / Lorma</t>
  </si>
  <si>
    <t>Luba-Kasai</t>
  </si>
  <si>
    <t>Luganda / Ganda</t>
  </si>
  <si>
    <t>Lumun (Kuku Lumun)</t>
  </si>
  <si>
    <t>Luo</t>
  </si>
  <si>
    <t>Luwo</t>
  </si>
  <si>
    <t>Macedonian</t>
  </si>
  <si>
    <t>Madi</t>
  </si>
  <si>
    <t>Makaton</t>
  </si>
  <si>
    <t>Malay</t>
  </si>
  <si>
    <t>Malayalam</t>
  </si>
  <si>
    <t>Maltese</t>
  </si>
  <si>
    <t>Mandaean (Mandaic)</t>
  </si>
  <si>
    <t>Mandarin</t>
  </si>
  <si>
    <t>Mandingo</t>
  </si>
  <si>
    <t>Mano</t>
  </si>
  <si>
    <t>Maori (Cook Island)</t>
  </si>
  <si>
    <t>Maori(New Zealand)</t>
  </si>
  <si>
    <t>Marathi</t>
  </si>
  <si>
    <t>Maru</t>
  </si>
  <si>
    <t>Mauritian Creole</t>
  </si>
  <si>
    <t>Mende</t>
  </si>
  <si>
    <t>Meryem Mir</t>
  </si>
  <si>
    <t>Middle Eastern Semitic Languages, nec</t>
  </si>
  <si>
    <t>Middle Eastern Semitic Languages, nfd</t>
  </si>
  <si>
    <t>Min Nan</t>
  </si>
  <si>
    <t>Mina</t>
  </si>
  <si>
    <t>Miriwoong</t>
  </si>
  <si>
    <t>Mon</t>
  </si>
  <si>
    <t>Mon-Khmer, nec</t>
  </si>
  <si>
    <t>Mon-Khmer, nfd</t>
  </si>
  <si>
    <t>Mongolian</t>
  </si>
  <si>
    <t>Moro</t>
  </si>
  <si>
    <t>Motu</t>
  </si>
  <si>
    <t>Murrinh-Patha</t>
  </si>
  <si>
    <t>Mutpurra (Mudburra)</t>
  </si>
  <si>
    <t>Northern European Languages</t>
  </si>
  <si>
    <t>Nauruan</t>
  </si>
  <si>
    <t>Ndebele</t>
  </si>
  <si>
    <t>Nederlands</t>
  </si>
  <si>
    <t>Nepali</t>
  </si>
  <si>
    <t>Ngaatjatjara</t>
  </si>
  <si>
    <t>Ngangkikurungurr</t>
  </si>
  <si>
    <t>Ngarluma</t>
  </si>
  <si>
    <t>Non-Verbal So Described</t>
  </si>
  <si>
    <t>Northern Aboriginal (NEC)</t>
  </si>
  <si>
    <t>Northern Aboriginal (NFD)</t>
  </si>
  <si>
    <t>Norwegian</t>
  </si>
  <si>
    <t>Not Stated</t>
  </si>
  <si>
    <t>Nubi</t>
  </si>
  <si>
    <t>Nuer</t>
  </si>
  <si>
    <t>Nung</t>
  </si>
  <si>
    <t>Nunggubuyu</t>
  </si>
  <si>
    <t>Nyangumarta</t>
  </si>
  <si>
    <t>Nyanja (Chichewa)</t>
  </si>
  <si>
    <t>Nyungar (Noongar)</t>
  </si>
  <si>
    <t>OTHER LANGUAGES</t>
  </si>
  <si>
    <t>Oceanian Pidgin and Creoles, nec</t>
  </si>
  <si>
    <t>Oceanian Pidgin and Creoles, nfd</t>
  </si>
  <si>
    <t>Oriya</t>
  </si>
  <si>
    <t>Oromo</t>
  </si>
  <si>
    <t>Other Eastern Asian Languages, nec</t>
  </si>
  <si>
    <t>Other Eastern European Languages, nec</t>
  </si>
  <si>
    <t>Other Eastern European Languages, nfd</t>
  </si>
  <si>
    <t>Other Southeast Asian Languages, nec</t>
  </si>
  <si>
    <t>Other Southern Asian Languages, nfd</t>
  </si>
  <si>
    <t>Other Southern European Languages, nec</t>
  </si>
  <si>
    <t>Other Southern European Languages, nfd</t>
  </si>
  <si>
    <t>Other Southwest and Central Asian Languages, nec</t>
  </si>
  <si>
    <t>Pacific Austronesian Languages, nec</t>
  </si>
  <si>
    <t>Pacific Austronesian Languages, nfd</t>
  </si>
  <si>
    <t>Pakistani</t>
  </si>
  <si>
    <t>Pampangan</t>
  </si>
  <si>
    <t>Panjsheri</t>
  </si>
  <si>
    <t>Papua New Guinea Papuan Languages, nec</t>
  </si>
  <si>
    <t>Papuan</t>
  </si>
  <si>
    <t>Parsun</t>
  </si>
  <si>
    <t>Pashto</t>
  </si>
  <si>
    <t>Persian</t>
  </si>
  <si>
    <t>Persian (Excluding Dari)</t>
  </si>
  <si>
    <t>Persian/Farsi/Dari</t>
  </si>
  <si>
    <t>Pintupi</t>
  </si>
  <si>
    <t>Pitcairnese</t>
  </si>
  <si>
    <t>Pitjantjatjara</t>
  </si>
  <si>
    <t>Polish</t>
  </si>
  <si>
    <t>Portuguese</t>
  </si>
  <si>
    <t>Pular/Fuuta Jalon</t>
  </si>
  <si>
    <t>Punjabi</t>
  </si>
  <si>
    <t>Punu</t>
  </si>
  <si>
    <t>Rembarrnga</t>
  </si>
  <si>
    <t>Ritharrngu</t>
  </si>
  <si>
    <t>Rohinga</t>
  </si>
  <si>
    <t>Romanian</t>
  </si>
  <si>
    <t>Romany</t>
  </si>
  <si>
    <t>Rotuman</t>
  </si>
  <si>
    <t>Russian</t>
  </si>
  <si>
    <t>SOUTHEAST ASIAN LANGUAGES</t>
  </si>
  <si>
    <t>SOUTHERN ASIAN LANGUAGES</t>
  </si>
  <si>
    <t>SOUTHERN EUROPEAN LANGUAGES</t>
  </si>
  <si>
    <t>SOUTHWAST AND CENTRAL ASIAN LANGUAGES</t>
  </si>
  <si>
    <t>Samoan</t>
  </si>
  <si>
    <t>Sango</t>
  </si>
  <si>
    <t>Sasak</t>
  </si>
  <si>
    <t>Scandinavian, nec</t>
  </si>
  <si>
    <t>Scandinavian, nfd</t>
  </si>
  <si>
    <t>Serbian</t>
  </si>
  <si>
    <t>Serbo-Croatian/Yugoslavian, so described</t>
  </si>
  <si>
    <t>Seychelles Creole</t>
  </si>
  <si>
    <t>Shan</t>
  </si>
  <si>
    <t>Shilluk</t>
  </si>
  <si>
    <t>Shona</t>
  </si>
  <si>
    <t>Sign Languages, nec</t>
  </si>
  <si>
    <t>Sign Languages, nfd</t>
  </si>
  <si>
    <t>Sindhi</t>
  </si>
  <si>
    <t>Sinhalese</t>
  </si>
  <si>
    <t>Slovak</t>
  </si>
  <si>
    <t>Slovene</t>
  </si>
  <si>
    <t>Solomon Island Pijin</t>
  </si>
  <si>
    <t>Somali</t>
  </si>
  <si>
    <t>Songo</t>
  </si>
  <si>
    <t>South Slavic, nfd</t>
  </si>
  <si>
    <t>Southeast Asian Austronesian Languages</t>
  </si>
  <si>
    <t>Southeast Asian Austronesian Languages, nec</t>
  </si>
  <si>
    <t>Spanish</t>
  </si>
  <si>
    <t>Sri Lankan</t>
  </si>
  <si>
    <t>Susu</t>
  </si>
  <si>
    <t>Swahili</t>
  </si>
  <si>
    <t>Swedish</t>
  </si>
  <si>
    <t>Szi</t>
  </si>
  <si>
    <t>Tagalog (Filipino)</t>
  </si>
  <si>
    <t>Tai, nec</t>
  </si>
  <si>
    <t>Tai, nfd</t>
  </si>
  <si>
    <t>Tamil</t>
  </si>
  <si>
    <t>Tatar</t>
  </si>
  <si>
    <t>Telugu</t>
  </si>
  <si>
    <t>Temne / Themne</t>
  </si>
  <si>
    <t>Teochew</t>
  </si>
  <si>
    <t>Tetum</t>
  </si>
  <si>
    <t>Thai</t>
  </si>
  <si>
    <t>Tibetan</t>
  </si>
  <si>
    <t>Tigre</t>
  </si>
  <si>
    <t>Tigrinya</t>
  </si>
  <si>
    <t>Timorese</t>
  </si>
  <si>
    <t>Tiwi</t>
  </si>
  <si>
    <t>Tok Pisin</t>
  </si>
  <si>
    <t>Tokelauan</t>
  </si>
  <si>
    <t>Tongan</t>
  </si>
  <si>
    <t>Torres Strait (NFD)</t>
  </si>
  <si>
    <t>Torres Strait Creole (Broken)</t>
  </si>
  <si>
    <t>Tswana</t>
  </si>
  <si>
    <t>Tulu</t>
  </si>
  <si>
    <t>Turkic, nec</t>
  </si>
  <si>
    <t>Turkic, nfd</t>
  </si>
  <si>
    <t>Turkish</t>
  </si>
  <si>
    <t>Turkmen</t>
  </si>
  <si>
    <t>Tuvaluan</t>
  </si>
  <si>
    <t>Twi (Akan)</t>
  </si>
  <si>
    <t>Ukrainian</t>
  </si>
  <si>
    <t>Unspec.Fmr.Yugoslav Language</t>
  </si>
  <si>
    <t>Urdu</t>
  </si>
  <si>
    <t>Uygur / Uyghur</t>
  </si>
  <si>
    <t>Uzbek</t>
  </si>
  <si>
    <t>Vai</t>
  </si>
  <si>
    <t>Vietnamese</t>
  </si>
  <si>
    <t>Waigali</t>
  </si>
  <si>
    <t>Walmajarri (Walmadjari)</t>
  </si>
  <si>
    <t>Warlpiri</t>
  </si>
  <si>
    <t>Warumungu (Warumunga)</t>
  </si>
  <si>
    <t>Welsh</t>
  </si>
  <si>
    <t>West Coast Aboriginal (NEC)</t>
  </si>
  <si>
    <t>West Coast Aboriginal (NFD)</t>
  </si>
  <si>
    <t>West Slavic, nfd</t>
  </si>
  <si>
    <t>Wik-Mungkan</t>
  </si>
  <si>
    <t>Wu</t>
  </si>
  <si>
    <t>Xhosa</t>
  </si>
  <si>
    <t>Yakoma</t>
  </si>
  <si>
    <t>Yankuntjatjara</t>
  </si>
  <si>
    <t>Yanyuwa (Anula)</t>
  </si>
  <si>
    <t>Yapese</t>
  </si>
  <si>
    <t>Yiddish</t>
  </si>
  <si>
    <t>Yindjibarndi</t>
  </si>
  <si>
    <t>Yoruba</t>
  </si>
  <si>
    <t>Yulparija</t>
  </si>
  <si>
    <t>Zaghawa</t>
  </si>
  <si>
    <t>Zaiwa</t>
  </si>
  <si>
    <t>Zande</t>
  </si>
  <si>
    <t>Zophei</t>
  </si>
  <si>
    <t>Zulu</t>
  </si>
  <si>
    <t>English Test</t>
  </si>
  <si>
    <t>Cambridge English: Advanced (CAE)</t>
  </si>
  <si>
    <t>IELTS</t>
  </si>
  <si>
    <t>OET</t>
  </si>
  <si>
    <t>PTE Academic</t>
  </si>
  <si>
    <t>TOEFL iBT</t>
  </si>
  <si>
    <t>Position Type</t>
  </si>
  <si>
    <t>Full-time</t>
  </si>
  <si>
    <t>Part-time</t>
  </si>
  <si>
    <t>Casual</t>
  </si>
  <si>
    <t>Hospital Reasons</t>
  </si>
  <si>
    <t>Work</t>
  </si>
  <si>
    <t>Training</t>
  </si>
  <si>
    <t>Treatment</t>
  </si>
  <si>
    <t>Visiting</t>
  </si>
  <si>
    <t>Give birth</t>
  </si>
  <si>
    <t>Health Condition</t>
  </si>
  <si>
    <t>Blood disorder</t>
  </si>
  <si>
    <t>Cancer</t>
  </si>
  <si>
    <t>Heart disease</t>
  </si>
  <si>
    <t>Hepatitis B or C and/or liver disease</t>
  </si>
  <si>
    <t>HIV infection, including AIDS</t>
  </si>
  <si>
    <t>Kidney disease, including dialysis</t>
  </si>
  <si>
    <t>Mental illness</t>
  </si>
  <si>
    <t>Pregnancy</t>
  </si>
  <si>
    <t>Respiratory disease that has required hospital admission or oxygen therapy</t>
  </si>
  <si>
    <t>Country of location when completing this form</t>
  </si>
  <si>
    <t>SAVE</t>
  </si>
  <si>
    <t>Will your partner be migrating with you?</t>
  </si>
  <si>
    <t>How many children?</t>
  </si>
  <si>
    <t>Number of children</t>
  </si>
  <si>
    <r>
      <rPr>
        <sz val="9"/>
        <color rgb="FF5F636A"/>
        <rFont val="Open Sans"/>
        <family val="2"/>
      </rPr>
      <t>Does this child currently, or have they ever been known by any other names?</t>
    </r>
  </si>
  <si>
    <t>Intention to enter hospitals or health care facilities - 2</t>
  </si>
  <si>
    <t>Intention to work or to be a trainee in child care - 1</t>
  </si>
  <si>
    <t>Intention to work or to be a trainee in child care - 2</t>
  </si>
  <si>
    <t>Do you or any family members intend to work or be a trainee at a child care centre (including preschools and creches) while in Australia?</t>
  </si>
  <si>
    <r>
      <rPr>
        <sz val="9"/>
        <color rgb="FF5F636A"/>
        <rFont val="Open Sans"/>
        <family val="2"/>
      </rPr>
      <t xml:space="preserve">Do you or any family members intend to be in a classroom situation for more than 3 months </t>
    </r>
    <r>
      <rPr>
        <i/>
        <sz val="9"/>
        <color rgb="FF5F636A"/>
        <rFont val="Open Sans"/>
        <family val="2"/>
      </rPr>
      <t>(e.g. as either a student, teacher, lecturer or observer)?</t>
    </r>
  </si>
  <si>
    <t>Is the postal address the same as the residential address? If no, complete the postal address section</t>
  </si>
  <si>
    <t>Child 1</t>
  </si>
  <si>
    <t>Child 2</t>
  </si>
  <si>
    <t>Child 3</t>
  </si>
  <si>
    <t>Child 4</t>
  </si>
  <si>
    <t>Have you undertaken an English test in the last 36 months? If yes, complete the following questions</t>
  </si>
  <si>
    <t>Applicant</t>
  </si>
  <si>
    <t>Education History</t>
  </si>
  <si>
    <t>Registration / Licensing</t>
  </si>
  <si>
    <t>Employment History</t>
  </si>
  <si>
    <t>Health Declarations</t>
  </si>
  <si>
    <t>Character Declarations</t>
  </si>
  <si>
    <t>Additional Information</t>
  </si>
  <si>
    <t>Partner details</t>
  </si>
  <si>
    <t xml:space="preserve">As part of the immigration assistance Deloitte has agreed to provide under an engagement with either you or your employer, we require detailed information about you and your immediate family members.
</t>
  </si>
  <si>
    <t>Please note that we may share some or all of the data, including any personal information, with your current employer or its related entities and other member firms in the Deloitte network.</t>
  </si>
  <si>
    <t>If you have any questions about the information being requested please contact your Deloitte consultant.
We will rely on the information provided and request that you advise us immediately if you subsequently become aware of any errors or inaccuracies.</t>
  </si>
  <si>
    <t>APPLICATION_CONTEXT_COUNTRY_OF_LOCATION</t>
  </si>
  <si>
    <t>APPLICATION_CONTEXT_LEGAL_STATUS</t>
  </si>
  <si>
    <t>APPLICATION_CONTEXT_DETAILS_OF_WHY</t>
  </si>
  <si>
    <t>APPLICATION_CONTEXT_SKILLS_ASSESSMENT</t>
  </si>
  <si>
    <t>APPLICATION_CONTEXT_TYPE_SKILLS</t>
  </si>
  <si>
    <t>APPLICATION_CONTEXT_NAME_OF_PROGRAM</t>
  </si>
  <si>
    <t>APPLICATION_CONTEXT_DATE_ASSESMENT_COMMENCED</t>
  </si>
  <si>
    <t>APPLICATION_CONTEXT_IDENTIFICATION_NUMBER</t>
  </si>
  <si>
    <t>APPLICATION_CONTEXT_DATE_ASSESMENT_COMPLETED</t>
  </si>
  <si>
    <t>APPLICATION_CONTEXT_GIVE_DETAILS</t>
  </si>
  <si>
    <t>YOUR_DETAILS_PASSPORT_DETAILS_FAMILY_NAME1</t>
  </si>
  <si>
    <t>YOUR_DETAILS_PASSPORT_DETAILS_GIVEN_NAMES1</t>
  </si>
  <si>
    <t>YOUR_DETAILS_PASSPORT_DETAILS_SEX</t>
  </si>
  <si>
    <t>YOUR_DETAILS_PASSPORT_DETAILS_DATE_OF_BIRTH</t>
  </si>
  <si>
    <t>YOUR_DETAILS_PASSPORT_DETAILS_PASSPORT_NUMBER</t>
  </si>
  <si>
    <t>YOUR_DETAILS_PASSPORT_DETAILS_COUNTRY_OF_PASSPORT</t>
  </si>
  <si>
    <t>YOUR_DETAILS_PASSPORT_DETAILS_NATIONALITY_OF_PASSPORT_HOLDER</t>
  </si>
  <si>
    <t>YOUR_DETAILS_PASSPORT_DETAILS_DATE_OF_ISSUE1</t>
  </si>
  <si>
    <t>YOUR_DETAILS_PASSPORT_DETAILS_DATE_OF_EXPIRY1</t>
  </si>
  <si>
    <t>YOUR_DETAILS_PASSPORT_DETAILS_PLACE_OF_ISSUE</t>
  </si>
  <si>
    <t>YOUR_DETAILS_AUSTRALIAN_VISA_GRANT_NUMBER</t>
  </si>
  <si>
    <t>YOUR_DETAILS_AUSTRALIAN_VISA_GRANT_NUMBER_PREVIOUS_VISA</t>
  </si>
  <si>
    <t>YOUR_DETAILS_NATIONAL_IDENTITY_CARD_IDENTITY_CARD</t>
  </si>
  <si>
    <t>YOUR_DETAILS_NATIONAL_IDENTITY_CARD_FAMILY_NAME</t>
  </si>
  <si>
    <t>YOUR_DETAILS_NATIONAL_IDENTITY_CARD_GIVEN_NAMES</t>
  </si>
  <si>
    <t>YOUR_DETAILS_NATIONAL_IDENTITY_CARD_IDENTIFICATION_NUMBER</t>
  </si>
  <si>
    <t>YOUR_DETAILS_NATIONAL_IDENTITY_CARD_COUNTRY_OF_ISSUE</t>
  </si>
  <si>
    <t>YOUR_DETAILS_NATIONAL_IDENTITY_CARD_DATE_OF_ISSUE</t>
  </si>
  <si>
    <t>YOUR_DETAILS_NATIONAL_IDENTITY_CARD_DATE_OF_EXPIRY</t>
  </si>
  <si>
    <t>YOUR_DETAILS_PLACE_OF_BIRTH_CITY</t>
  </si>
  <si>
    <t>YOUR_DETAILS_PLACE_OF_BIRTH_STATE_PROVINCE</t>
  </si>
  <si>
    <t>YOUR_DETAILS_PLACE_OF_BIRTH_COUNTRY_OF_BIRTH</t>
  </si>
  <si>
    <t>YOUR_DETAILS_RELATIONSHIP_STATUS_RELATIONSHIP_STATUS</t>
  </si>
  <si>
    <t>YOUR_DETAILS_RELATIONSHIP_STATUS_DE_FACTO</t>
  </si>
  <si>
    <t>YOUR_DETAILS_OTHER_NAMES_HAVE_OTHER_NAMES</t>
  </si>
  <si>
    <t>YOUR_DETAILS_OTHER_NAMES_FAMILY_NAME</t>
  </si>
  <si>
    <t>YOUR_DETAILS_OTHER_NAMES_GIVEN_NAMES</t>
  </si>
  <si>
    <t>YOUR_DETAILS_OTHER_NAMES_NAME_CHANGE</t>
  </si>
  <si>
    <t>YOUR_DETAILS_OTHER_NAMES_GIVE DETAILS</t>
  </si>
  <si>
    <t>YOUR_DETAILS_CITIZENSHIP_CITIZENSHIP_COUNTRY_OF_PASSPORT</t>
  </si>
  <si>
    <t>YOUR_DETAILS_CITIZENSHIP_CITIZENSHIP_OTHER_COUNTRY</t>
  </si>
  <si>
    <t>YOUR_DETAILS_PASSPORT_CITIZENSHIP_LIST COUNTRIES1</t>
  </si>
  <si>
    <t>YOUR_DETAILS_PASSPORT_CITIZENSHIP_LIST COUNTRIES2</t>
  </si>
  <si>
    <t>YOUR_DETAILS_OTHER_TRAVEL_DOCS_HAVE_OTHER_DOCS_FOR_TRAVEL</t>
  </si>
  <si>
    <t>YOUR_DETAILS_OTHER_TRAVEL_DOCS_TYPE_OF_DOCUMENT</t>
  </si>
  <si>
    <t>YOUR_DETAILS_OTHER_TRAVEL_DOCS_FAMILY_NAME</t>
  </si>
  <si>
    <t>YOUR_DETAILS_OTHER_TRAVEL_DOCS_GIVEN_NAMES</t>
  </si>
  <si>
    <t>YOUR_DETAILS_OTHER_TRAVEL_DOCS_SEX</t>
  </si>
  <si>
    <t>YOUR_DETAILS_OTHER_TRAVEL_DOCS_DATE OF BIRTH</t>
  </si>
  <si>
    <t>YOUR_DETAILS_OTHER_TRAVEL_DOCS_PASSPORT_NUMBER</t>
  </si>
  <si>
    <t>YOUR_DETAILS_OTHER_TRAVEL_DOCS_COUNTRY_OF_ISSUE</t>
  </si>
  <si>
    <t>YOUR_DETAILS_OTHER_TRAVEL_DOCS_NATIONALITY_OF_PASSPORT_HOLDER</t>
  </si>
  <si>
    <t>YOUR_DETAILS_OTHER_TRAVEL_DOCS_DATE_OF_ISSUE</t>
  </si>
  <si>
    <t>YOUR_DETAILS_OTHER_TRAVEL_DOCS_DATE_OF_EXPIRY</t>
  </si>
  <si>
    <t>YOUR_DETAILS_OTHER_TRAVEL_DOCS_PLACE_OF_ISSUE</t>
  </si>
  <si>
    <t>YOUR_DETAILS_OTHER_IDENTITY_DOCS_HAVE_OTHER_ID</t>
  </si>
  <si>
    <t>YOUR_DETAILS_OTHER_IDENTITY_DOCS_FAMILY_NAME</t>
  </si>
  <si>
    <t>YOUR_DETAILS_OTHER_IDENTITY_DOCS_GIVEN_NAMES</t>
  </si>
  <si>
    <t>YOUR_DETAILS_OTHER_IDENTITY_DOCS_TYPE_OF_DOCUMENT</t>
  </si>
  <si>
    <t>YOUR_DETAILS_OTHER_IDENTITY_DOCS_IDENTIFICATION NUMBER</t>
  </si>
  <si>
    <t>YOUR_DETAILS_OTHER_IDENTITY_DOCS_COUNTRY_OF_ISSUE</t>
  </si>
  <si>
    <t>YOUR_PARTNER_CURRENT_LOCATION_PARTNER_MIGRATING</t>
  </si>
  <si>
    <t>YOUR_PARTNER_CURRENT_LOCATION_COUNTRY</t>
  </si>
  <si>
    <t>YOUR_PARTNER_CURRENT_LOCATION_LEGAL_STATUS</t>
  </si>
  <si>
    <t>YOUR_PARTNER_CURRENT_LOCATION_GIVE_DETAILS</t>
  </si>
  <si>
    <t>YOUR_PARTNER_PASSPORT_DETAILS_FAMILY_NAME</t>
  </si>
  <si>
    <t>YOUR_PARTNER_PASSPORT_DETAILS_GIVEN_NAMES</t>
  </si>
  <si>
    <t>YOUR_PARTNER_PASSPORT_DETAILS_SEX</t>
  </si>
  <si>
    <t>YOUR_PARTNER_PASSPORT_DETAILS_DATE_OF_BIRTH</t>
  </si>
  <si>
    <t>YOUR_PARTNER_PASSPORT_DETAILS_PASSPORT_NUMBER</t>
  </si>
  <si>
    <t>YOUR_PARTNER_PASSPORT_DETAILS_COUNTRY_OF_PASSPORT</t>
  </si>
  <si>
    <t>YOUR_PARTNER_PASSPORT_DETAILS_NATIONALITY_OF_PASSPORT_HOLDER</t>
  </si>
  <si>
    <t>YOUR_PARTNER_PASSPORT_DETAILS_DATE_OF_ISSUE</t>
  </si>
  <si>
    <t>YOUR_PARTNER_PASSPORT_DETAILS_DATE_OF_EXPIRY</t>
  </si>
  <si>
    <t>YOUR_PARTNER_PASSPORT_DETAILS_PLACE_OF_ISSUE</t>
  </si>
  <si>
    <t>YOUR_PARTNER_AUSTRALIAN_VISA_GRANT_PREVIOUS_VISA</t>
  </si>
  <si>
    <t>YOUR_PARTNER_AUSTRALIAN_VISA_GRANT_NUMBER</t>
  </si>
  <si>
    <t>YOUR_PARTNER_NATIONAL_IDENTITY_HAVE_NATIONAL_ID</t>
  </si>
  <si>
    <t>YOUR_PARTNER_NATIONAL_IDENTITY_FAMILY_NAME</t>
  </si>
  <si>
    <t>YOUR_PARTNER_NATIONAL_IDENTITY_GIVEN_NAMES</t>
  </si>
  <si>
    <t>YOUR_PARTNER_NATIONAL_IDENTITY_ID_NUMBER</t>
  </si>
  <si>
    <t>YOUR_PARTNER_NATIONAL_IDENTITY_COUNTRY_OF_ISSUE</t>
  </si>
  <si>
    <t>YOUR_PARTNER_NATIONAL_IDENTITY_DATE_OF_ISSUE</t>
  </si>
  <si>
    <t>YOUR_PARTNER_NATIONAL_IDENTITY_DATE_OF_EXPIRY</t>
  </si>
  <si>
    <t>YOUR_PARTNER_PLACE_OF_BIRTH_CITY</t>
  </si>
  <si>
    <t>YOUR_PARTNER_PLACE_OF_BIRTH_STATE_PROVINCE</t>
  </si>
  <si>
    <t>YOUR_PARTNER_PLACE_OF_BIRTH_COUNTRY</t>
  </si>
  <si>
    <t>YOUR_PARTNER_OTHER_NAMES_HAVE_OTHER_NAMES</t>
  </si>
  <si>
    <t>YOUR_PARTNER_OTHER_NAMES_FAMILY_NAME</t>
  </si>
  <si>
    <t>YOUR_PARTNER_OTHER_NAMES_GIVEN_NAMES</t>
  </si>
  <si>
    <t>YOUR_PARTNER_OTHER_NAMES_REASON</t>
  </si>
  <si>
    <t>YOUR_PARTNER_OTHER_NAMES_GIVE_DETAILS</t>
  </si>
  <si>
    <t>YOUR_PARTNER_CITIZENSHIP_CITIZEN_OF_COUNTRY_OF_PASSPORT</t>
  </si>
  <si>
    <t>YOUR_PARTNER_CITIZENSHIP_CITIZEN_OF_OTHER_COUNTRY</t>
  </si>
  <si>
    <t>YOUR_PARTNER_CITIZENSHIP_LIST_COUNTRIES1</t>
  </si>
  <si>
    <t>YOUR_PARTNER_CITIZENSHIP_LIST_COUNTRIES2</t>
  </si>
  <si>
    <t>YOUR_PARTNER_OTHER_TRAVEL_DOCS_HAVE_OTHER_TRAVEL_DOC</t>
  </si>
  <si>
    <t>YOUR_PARTNER_OTHER_TRAVEL_DOCS_TYPE_OF_DOCUMENT</t>
  </si>
  <si>
    <t>YOUR_PARTNER_OTHER_PASSPORT_TRAVEL_DOCS_FAMILY_NAME</t>
  </si>
  <si>
    <t>YOUR_PARTNER_OTHER_TRAVEL_DOCS_GIVEN_NAMES</t>
  </si>
  <si>
    <t>YOUR_PARTNER_OTHER_TRAVEL_DOCS_SEX</t>
  </si>
  <si>
    <t>YOUR_PARTNER_OTHER_TRAVEL_DOCS_DATE_OF_BIRTH</t>
  </si>
  <si>
    <t>YOUR_PARTNER_OTHER_TRAVEL_DOCS_PASSPORT_NUMBER</t>
  </si>
  <si>
    <t>YOUR_PARTNER_OTHER_TRAVEL_DOCS_COUNTRY_OF_ISSUE</t>
  </si>
  <si>
    <t>YOUR_PARTNER_OTHER_TRAVEL_DOCS_NATIONALITY_OF_PASSPORT_HOLDER</t>
  </si>
  <si>
    <t>YOUR_PARTNER_OTHER_TRAVEL_DOCS_DATE_OF_ISSUE</t>
  </si>
  <si>
    <t>YOUR_PARTNER_OTHER_TRAVEL_DOCS_EXPIRY_DATE</t>
  </si>
  <si>
    <t>YOUR_PARTNER_OTHER_TRAVEL_DOCS_PLACE_OF_ISSUE</t>
  </si>
  <si>
    <t>YOUR_PARTNER_OTHER_IDENTITY_DOCS_HAVE_OTHER_ID</t>
  </si>
  <si>
    <t>YOUR_PARTNER_OTHER_TRAVEL_DOCS_FAMILY_NAME</t>
  </si>
  <si>
    <t>YOUR_PARTNER_OTHER_IDENTITY_TRAVEL_DOCS_GIVEN_NAMES</t>
  </si>
  <si>
    <t>YOUR_PARTNER_OTHER_IDENTITY_DOCS_TYPE_OF_DOCUMENT</t>
  </si>
  <si>
    <t>YOUR_PARTNER_OTHER_IDENTITY_DOCS_ID_NUMBER</t>
  </si>
  <si>
    <t>YOUR_PARTNER_OTHER_IDENTITY_DOCS_COUNTRY_OF_ISSUE</t>
  </si>
  <si>
    <t>ACCOMPANYING_CHILD1_MIGRATING</t>
  </si>
  <si>
    <t>ACCOMPANYING_CHILD1_RELATIONSHIP_TO_PRIMARY_APPLICANT</t>
  </si>
  <si>
    <t>ACCOMPANYING_CHILD1_CURRENT_LOCATION_COUNTRY</t>
  </si>
  <si>
    <t>ACCOMPANYING_CHILD1_CURRENT_LOCATION_LEGAL_STATUS</t>
  </si>
  <si>
    <t>ACCOMPANYING_CHILD1_CURRENT_LOCATION_GIVE_DETAILS</t>
  </si>
  <si>
    <t>ACCOMPANYING_CHILD1_PASSPORT_DETAILS_FAMILY_NAME</t>
  </si>
  <si>
    <t>ACCOMPANYING_CHILD1_PASSPORT_DETAILS_GIVEN_NAMES</t>
  </si>
  <si>
    <t>ACCOMPANYING_CHILD1_PASSPORT_DETAILS_SEX</t>
  </si>
  <si>
    <t>ACCOMPANYING_CHILD1_PASSPORT_DETAILS_DATE_OF_BIRTH</t>
  </si>
  <si>
    <t>ACCOMPANYING_CHILD1_PASSPORT_DETAILS_PASSPORT_NUMBER</t>
  </si>
  <si>
    <t>ACCOMPANYING_CHILD1_PASSPORT_DETAILS_COUNTRY_OF_PASSPORT</t>
  </si>
  <si>
    <t>ACCOMPANYING_CHILD1_PASSPORT_DETAILS_NATIONALITY_OF_PASSPORT_HOLDER</t>
  </si>
  <si>
    <t>ACCOMPANYING_CHILD1_PASSPORT_DETAILS_DATE_OF_ISSUE</t>
  </si>
  <si>
    <t>ACCOMPANYING_CHILD1_PASSPORT_DETAILS_EXPIRY_DATE</t>
  </si>
  <si>
    <t>ACCOMPANYING_CHILD1_PASSPORT_DETAILS_PLACE_OF_ISSUE</t>
  </si>
  <si>
    <t>ACCOMPANYING_CHILD1_AUSTRALIAN_VISA_PREVIOUS_VISA</t>
  </si>
  <si>
    <t>ACCOMPANYING_CHILD1_AUSTRALIAN_VISA_GRANT_NUMBER</t>
  </si>
  <si>
    <t>ACCOMPANYING_CHILD1_NATIONAL_IDENTITY_HAVE_NATIONAL_ID</t>
  </si>
  <si>
    <t>ACCOMPANYING_CHILD1_NATIONAL_IDENTITY_FAMILY_NAME</t>
  </si>
  <si>
    <t>ACCOMPANYING_CHILD1_NATIONAL_IDENTITY_GIVEN_NAMES</t>
  </si>
  <si>
    <t>ACCOMPANYING_CHILD1_NATIONAL_IDENTITY_ID_NUMBER</t>
  </si>
  <si>
    <t>ACCOMPANYING_CHILD1_NATIONAL_IDENTITY_DOCUMENTS_COUNTRY_OF_ISSUE</t>
  </si>
  <si>
    <t>ACCOMPANYING_CHILD1_NATIONAL_IDENTITY_DATE_OF_ISSUE</t>
  </si>
  <si>
    <t>ACCOMPANYING_CHILD1_NATIONAL_IDENTITY_EXPIRY_DATE</t>
  </si>
  <si>
    <t>ACCOMPANYING_CHILD1_PLACE_OF_BIRTH_CITY</t>
  </si>
  <si>
    <t>ACCOMPANYING_CHILD1_PLACE_OF_STATE_PROVINCE</t>
  </si>
  <si>
    <t>ACCOMPANYING_CHILD1_PLACE_OF_BIRTH_COUNTRY</t>
  </si>
  <si>
    <t>ACCOMPANYING_CHILD1_RELATIONSHIP_STATUS</t>
  </si>
  <si>
    <t>ACCOMPANYING_CHILD1_OTHER_NAMES_HAVE_OTHER_NAME</t>
  </si>
  <si>
    <t>ACCOMPANYING_CHILD1_OTHER_NAMES_FAMILY_NAME</t>
  </si>
  <si>
    <t>ACCOMPANYING_CHILD1_OTHER_NAMES_GIVEN_NAME</t>
  </si>
  <si>
    <t>ACCOMPANYING_CHILD1_OTHER_NAMES_REASON</t>
  </si>
  <si>
    <t>ACCOMPANYING_CHILD1_OTHER_NAMES_GIVE_DETAILS</t>
  </si>
  <si>
    <t>ACCOMPANYING_CHILD1_CITIZENSHIP_COUNTRY_OF_PASSPORT</t>
  </si>
  <si>
    <t>ACCOMPANYING_CHILD1_CITIZENSHIP_OTHER_COUNTRY</t>
  </si>
  <si>
    <t>ACCOMPANYING_CHILD1_CITIZENSHIP_LIST COUNTRIES1</t>
  </si>
  <si>
    <t>ACCOMPANYING_CHILD1_CITIZENSHIP_LIST COUNTRIES2</t>
  </si>
  <si>
    <t>ACCOMPANYING_CHILD1_OTHER_PASSPORT_OR_DOCUMENTS</t>
  </si>
  <si>
    <t>ACCOMPANYING_CHILD1_OTHER_TRAVEL_DOCS_TYPE_OF_DOCUMENT</t>
  </si>
  <si>
    <t>ACCOMPANYING_CHILD1_OTHER_PASSPORT_NAMES_FAMILY_NAME</t>
  </si>
  <si>
    <t>ACCOMPANYING_CHILD1_OTHER_PASSPORT_NAMES_GIVEN_NAME</t>
  </si>
  <si>
    <t>ACCOMPANYING_CHILD1_OTHER_TRAVEL_DOCS_SEX</t>
  </si>
  <si>
    <t>ACCOMPANYING_CHILD1_OTHER_TRAVEL_DOCS_DATE_OF_BIRTH</t>
  </si>
  <si>
    <t>ACCOMPANYING_CHILD1_OTHER_TRAVEL_DOCS_DOCUMENT_NUMBER</t>
  </si>
  <si>
    <t>ACCOMPANYING_CHILD1_OTHER_PASSPORT_DOCUMENTS_COUNTRY_OF_ISSUE</t>
  </si>
  <si>
    <t>ACCOMPANYING_CHILD1_OTHER_TRAVEL_DOCS_NATIONALITY_OF_PASSPORT_HOLDER</t>
  </si>
  <si>
    <t>ACCOMPANYING_CHILD1_OTHER_TRAVEL_DOCS_DATE_OF_ISSUE</t>
  </si>
  <si>
    <t>ACCOMPANYING_CHILD1_OTHER_TRAVEL_DOCS_EXPIRY_DATE</t>
  </si>
  <si>
    <t>ACCOMPANYING_CHILD1_OTHER_TRAVEL_DOCS_PLACE_OF_ISSUE</t>
  </si>
  <si>
    <t>ACCOMPANYING_CHILD1_OTHER_IDENTITY_DOCUMENTS</t>
  </si>
  <si>
    <t>ACCOMPANYING_CHILD1_OTHER_IDENTITY_NAMES_FAMILY_NAME</t>
  </si>
  <si>
    <t>ACCOMPANYING_CHILD1_OTHER_IDENTITY_NAMES_GIVEN_NAME</t>
  </si>
  <si>
    <t>ACCOMPANYING_CHILD1_OTHER_IDENTITY_DOCS_TYPE_OF_DOCUMENT</t>
  </si>
  <si>
    <t>ACCOMPANYING_CHILD1_OTHER_IDENTITY_DOCS_ID_NUMBER</t>
  </si>
  <si>
    <t>ACCOMPANYING_CHILD1_OTHER_IDENTITY_DOCUMENTS_COUNTRY_OF_ISSUE</t>
  </si>
  <si>
    <t>ACCOMPANYING_CHILD1_ADD_QUESTIONS_APPLICANT_DEPENDENT</t>
  </si>
  <si>
    <t>ACCOMPANYING_CHILD1_ADD_QUESTIONS_MENTAL</t>
  </si>
  <si>
    <t>ACCOMPANYING_CHILD1_ADD_QUESTIONS_GIVE_DETAILS_1</t>
  </si>
  <si>
    <t>ACCOMPANYING_CHILD1_ADD_QUESTIONS_LEGAL_CUSTODY</t>
  </si>
  <si>
    <t>ACCOMPANYING_CHILD1_ADD_QUESTIONS_GIVE_DETAILS_2</t>
  </si>
  <si>
    <t>ACCOMPANYING_CHILD1_ADD_QUESTIONS_OTHER_CUSTODY</t>
  </si>
  <si>
    <t>ACCOMPANYING_CHILD1_ADD_QUESTIONS_GIVE_DETAILS_3</t>
  </si>
  <si>
    <t>ACCOMPANYING_CHILD1_ADD_QUESTIONS_LEGAL_IMPEDIMENTS</t>
  </si>
  <si>
    <t>ACCOMPANYING_CHILD1_ADD_QUESTIONS_GIVE_DETAILS_4</t>
  </si>
  <si>
    <t>ACCOMPANYING_CHILD2_MIGRATING</t>
  </si>
  <si>
    <t>ACCOMPANYING_CHILD2_RELATIONSHIP_TO_PRIMARY_APPLICANT</t>
  </si>
  <si>
    <t>ACCOMPANYING_CHILD2_CURRENT_LOCATION_COUNTRY</t>
  </si>
  <si>
    <t>ACCOMPANYING_CHILD2_CURRENT_LOCATION_LEGAL_STATUS</t>
  </si>
  <si>
    <t>ACCOMPANYING_CHILD2_CURRENT_LOCATION_GIVE_DETAILS</t>
  </si>
  <si>
    <t>ACCOMPANYING_CHILD2_PASSPORT_DETAILS_FAMILY_NAME</t>
  </si>
  <si>
    <t>ACCOMPANYING_CHILD2_PASSPORT_DETAILS_GIVEN NAMES</t>
  </si>
  <si>
    <t>ACCOMPANYING_CHILD2_PASSPORT_DETAILS_SEX</t>
  </si>
  <si>
    <t>ACCOMPANYING_CHILD2_PASSPORT_DETAILS_DATE_OF_BIRTH</t>
  </si>
  <si>
    <t>ACCOMPANYING_CHILD2_PASSPORT_DETAILS_PASSPORT_NUMBER</t>
  </si>
  <si>
    <t>ACCOMPANYING_CHILD2_PASSPORT_DETAILS_COUNTRY_OF_PASSPORT</t>
  </si>
  <si>
    <t>ACCOMPANYING_CHILD2_PASSPORT_DETAILS_NATIONALITY_OF_PASSPORT_HOLDER</t>
  </si>
  <si>
    <t>ACCOMPANYING_CHILD2_PASSPORT_DETAILS_DATE_OF_ISSUE</t>
  </si>
  <si>
    <t>ACCOMPANYING_CHILD2_PASSPORT_DETAILS_EXPIRY_DATE</t>
  </si>
  <si>
    <t>ACCOMPANYING_CHILD2_PASSPORT_DETAILS_PLACE_OF_ISSUE</t>
  </si>
  <si>
    <t>ACCOMPANYING_CHILD2_AUSTRALIAN_VISA_PREVIOUS_VISA</t>
  </si>
  <si>
    <t>ACCOMPANYING_CHILD2_AUSTRALIAN_VISA_GRANT_NUMBER</t>
  </si>
  <si>
    <t>ACCOMPANYING_CHILD2_NATIONAL_IDENTITY_HAVE_NATIONAL_ID</t>
  </si>
  <si>
    <t>ACCOMPANYING_CHILD2_NATIONAL_IDENTITY_FAMILY_NAME</t>
  </si>
  <si>
    <t>ACCOMPANYING_CHILD2_NATIONAL_IDENTITY_GIVEN_NAMES</t>
  </si>
  <si>
    <t>ACCOMPANYING_CHILD2_NATIONAL_IDENTITY_ID_NUMBER</t>
  </si>
  <si>
    <t>ACCOMPANYING_CHILD2_NATIONAL_IDENTITY_COUNTRY_OF_ISSUE</t>
  </si>
  <si>
    <t>ACCOMPANYING_CHILD2_NATIONAL_IDENTITY_DATE_OF_ISSUE</t>
  </si>
  <si>
    <t>ACCOMPANYING_CHILD2_NATIONAL_IDENTITY_EXPIRY_DATE</t>
  </si>
  <si>
    <t>ACCOMPANYING_CHILD2_PLACE_OF_BIRTH_CITY</t>
  </si>
  <si>
    <t>ACCOMPANYING_CHILD2_PLACE_OF_STATE_PROVINCE</t>
  </si>
  <si>
    <t>ACCOMPANYING_CHILD2_PLACE_OF_BIRTH_COUNTRY</t>
  </si>
  <si>
    <t>ACCOMPANYING_CHILD2_RELATIONSHIP_STATUS</t>
  </si>
  <si>
    <t>ACCOMPANYING_CHILD2_OTHER_NAMES_HAVE_OTHER_NAME</t>
  </si>
  <si>
    <t>ACCOMPANYING_CHILD2_OTHER_NAMES_FAMILY NAME</t>
  </si>
  <si>
    <t>ACCOMPANYING_CHILD2_OTHER_NAMES_GIVEN NAME</t>
  </si>
  <si>
    <t>ACCOMPANYING_CHILD2_OTHER_NAMES_REASON</t>
  </si>
  <si>
    <t>ACCOMPANYING_CHILD2_OTHER_NAMES_GIVE_DETAILS</t>
  </si>
  <si>
    <t>ACCOMPANYING_CHILD2_CITIZENSHIP_COUNTRY_OF_PASSPORT</t>
  </si>
  <si>
    <t>ACCOMPANYING_CHILD2_CITIZENSHIP_OTHER_COUNTRY_CITIZEN</t>
  </si>
  <si>
    <t>ACCOMPANYING_CHILD2_CITIZENSHIP_LIST COUNTRIES1</t>
  </si>
  <si>
    <t>ACCOMPANYING_CHILD2_CITIZENSHIP_LIST COUNTRIES2</t>
  </si>
  <si>
    <t>ACCOMPANYING_CHILD2_OTHER_PASSPORT_OR_DOCUMENTS</t>
  </si>
  <si>
    <t>ACCOMPANYING_CHILD2_OTHER_TRAVEL_DOCS_TYPE_OF_DOCUMENT</t>
  </si>
  <si>
    <t>ACCOMPANYING_CHILD2_OTHER_TRAVEL_DOCS_FAMILY_NAME</t>
  </si>
  <si>
    <t>ACCOMPANYING_CHILD2_OTHER_TRAVEL_DOCS_GIVEN_NAMES</t>
  </si>
  <si>
    <t>ACCOMPANYING_CHILD2_OTHER_TRAVEL_DOCS_SEX</t>
  </si>
  <si>
    <t>ACCOMPANYING_CHILD2_OTHER_TRAVEL_DOCS_DATE_OF_BIRTH</t>
  </si>
  <si>
    <t>ACCOMPANYING_CHILD2_OTHER_TRAVEL_DOCS_ID_NUMBER</t>
  </si>
  <si>
    <t>ACCOMPANYING_CHILD2_OTHER_TRAVEL_DOCS_COUNTRY_OF_ISSUE</t>
  </si>
  <si>
    <t>ACCOMPANYING_CHILD2_OTHER_TRAVEL_DOCS_NATIONALITY_OF_PASSPORT_HOLDER</t>
  </si>
  <si>
    <t>ACCOMPANYING_CHILD2_OTHER_TRAVEL_DOCS_DATE_OF_ISSUE</t>
  </si>
  <si>
    <t>ACCOMPANYING_CHILD2_OTHER_TRAVEL_DOCS_DATE_OF_EXPIRY</t>
  </si>
  <si>
    <t>ACCOMPANYING_CHILD2_OTHER_TRAVEL_DOCS_PLACE_OF_ISSUE</t>
  </si>
  <si>
    <t>ACCOMPANYING_CHILD2_OTHER_IDENTITY_DOCUMENTS</t>
  </si>
  <si>
    <t>ACCOMPANYING_CHILD2_OTHER_IDENTITY_DOCS_FAMILY_NAME</t>
  </si>
  <si>
    <t>ACCOMPANYING_CHILD2_OTHER_IDENTITY_DOCS_GIVEN_NAMES</t>
  </si>
  <si>
    <t>ACCOMPANYING_CHILD2_OTHER_IDENTITY_DOCS_TYPE_OF_DOCUMENT</t>
  </si>
  <si>
    <t>ACCOMPANYING_CHILD2_OTHER_IDENTITY_DOCS_ID_NUMBER</t>
  </si>
  <si>
    <t>ACCOMPANYING_CHILD2_OTHER_IDENTITY_DOCS_COUNTRY_OF_ISSUE</t>
  </si>
  <si>
    <t>ACCOMPANYING_CHILD2_ADD_QUESTIONS_APPLICANT_DEPENDENT</t>
  </si>
  <si>
    <t>ACCOMPANYING_CHILD2_ADD_QUESTIONS_MENTAL</t>
  </si>
  <si>
    <t>ACCOMPANYING_CHILD2_ADD_QUESTIONS_GIVE_DETAILS_1</t>
  </si>
  <si>
    <t>ACCOMPANYING_CHILD2_ADD_QUESTIONS_LEGAL_CUSTODY</t>
  </si>
  <si>
    <t>ACCOMPANYING_CHILD2_ADD_QUESTIONS_GIVE_DETAILS_2</t>
  </si>
  <si>
    <t>ACCOMPANYING_CHILD2_ADD_QUESTIONS_OTHER_CUSTODY</t>
  </si>
  <si>
    <t>ACCOMPANYING_CHILD2_ADD_QUESTIONS_GIVE_DETAILS_3</t>
  </si>
  <si>
    <t>ACCOMPANYING_CHILD2_ADD_QUESTIONS_LEGAL_IMPEDIMENTS</t>
  </si>
  <si>
    <t>ACCOMPANYING_CHILD2_ADD_QUESTIONS_GIVE_DETAILS_4</t>
  </si>
  <si>
    <t>ACCOMPANYING_CHILD3_MIGRATING</t>
  </si>
  <si>
    <t>ACCOMPANYING_CHILD3_RELATIONSHIP_TO_PRIMARY_APPLICANT</t>
  </si>
  <si>
    <t>ACCOMPANYING_CHILD3_CURRENT_LOCATION_COUNTRY</t>
  </si>
  <si>
    <t>ACCOMPANYING_CHILD3_CURRENT_LOCATION_LEGAL_STATUS</t>
  </si>
  <si>
    <t>ACCOMPANYING_CHILD3_CURRENT_LOCATION_GIVE_DETAILS</t>
  </si>
  <si>
    <t>ACCOMPANYING_CHILD3_PASSPORT_DETAILS_FAMILY_NAME</t>
  </si>
  <si>
    <t>ACCOMPANYING_CHILD3_PASSPORT_DETAILS_GIVEN NAMES</t>
  </si>
  <si>
    <t>ACCOMPANYING_CHILD3_PASSPORT_DETAILS_SEX</t>
  </si>
  <si>
    <t>ACCOMPANYING_CHILD3_PASSPORT_DETAILS_DATE_OF_BIRTH</t>
  </si>
  <si>
    <t>ACCOMPANYING_CHILD3_PASSPORT_DETAILS_PASSPORT_NUMBER</t>
  </si>
  <si>
    <t>ACCOMPANYING_CHILD3_PASSPORT_DETAILS_COUNTRY_OF_PASSPORT</t>
  </si>
  <si>
    <t>ACCOMPANYING_CHILD3_PASSPORT_DETAILS_NATIONALITY_OF_PASSPORT_HOLDER</t>
  </si>
  <si>
    <t>ACCOMPANYING_CHILD3_PASSPORT_DETAILS_DATE_OF_ISSUE</t>
  </si>
  <si>
    <t>ACCOMPANYING_CHILD3_PASSPORT_DETAILS_EXPIRY_DATE</t>
  </si>
  <si>
    <t>ACCOMPANYING_CHILD3_PASSPORT_DETAILS_PLACE_OF_ISSUE</t>
  </si>
  <si>
    <t>ACCOMPANYING_CHILD3_AUSTRALIAN_VISA_PREVIOUS_VISA</t>
  </si>
  <si>
    <t>ACCOMPANYING_CHILD3_AUSTRALIAN_VISA_GRANT_NUMBER</t>
  </si>
  <si>
    <t>ACCOMPANYING_CHILD3_NATIONAL_IDENTITY_HAVE_NATIONAL_ID</t>
  </si>
  <si>
    <t>ACCOMPANYING_CHILD3_NATIONAL_IDENTITY_FAMILY_NAME</t>
  </si>
  <si>
    <t>ACCOMPANYING_CHILD3_NATIONAL_IDENTITY_GIVEN_NAMES</t>
  </si>
  <si>
    <t>ACCOMPANYING_CHILD3_NATIONAL_IDENTITY_ID_NUMBER</t>
  </si>
  <si>
    <t>ACCOMPANYING_CHILD3_OTHER_TRAVEL_DOCS_COUNTRY_OF_ISSUE</t>
  </si>
  <si>
    <t>ACCOMPANYING_CHILD3_NATIONAL_IDENTITY_DATE_OF_ISSUE</t>
  </si>
  <si>
    <t>ACCOMPANYING_CHILD3_NATIONAL_IDENTITY_EXPIRY_DATE</t>
  </si>
  <si>
    <t>ACCOMPANYING_CHILD3_PLACE_OF_BIRTH_CITY</t>
  </si>
  <si>
    <t>ACCOMPANYING_CHILD3_PLACE_OF_STATE_PROVINCE</t>
  </si>
  <si>
    <t>ACCOMPANYING_CHILD3_PLACE_OF_BIRTH_COUNTRY</t>
  </si>
  <si>
    <t>ACCOMPANYING_CHILD3_RELATIONSHIP_STATUS</t>
  </si>
  <si>
    <t>ACCOMPANYING_CHILD3_OTHER_NAMES_GIVEN_NAME</t>
  </si>
  <si>
    <t>ACCOMPANYING_CHILD3_OTHER_NAMES_FAMILY_NAME</t>
  </si>
  <si>
    <t>ACCOMPANYING_CHILD3_OTHER_NAMES_GIVEN_NAMES</t>
  </si>
  <si>
    <t>ACCOMPANYING_CHILD3_OTHER_NAMES_REASON</t>
  </si>
  <si>
    <t>ACCOMPANYING_CHILD3_OTHER_NAMES_GIVE_DETAILS</t>
  </si>
  <si>
    <t>ACCOMPANYING_CHILD3_CITIZENSHIP_COUNTRY_OF_PASSPORT</t>
  </si>
  <si>
    <t>ACCOMPANYING_CHILD3_CITIZENSHIP_OTHER_COUNTRY_CITIZEN</t>
  </si>
  <si>
    <t>ACCOMPANYING_CHILD3_CITIZENSHIP_LIST COUNTRIES1</t>
  </si>
  <si>
    <t>ACCOMPANYING_CHILD3_CITIZENSHIP_LIST COUNTRIES2</t>
  </si>
  <si>
    <t>ACCOMPANYING_CHILD3_OTHER_PASSPORT_OR_DOCUMENTS</t>
  </si>
  <si>
    <t>ACCOMPANYING_CHILD3_OTHER_TRAVEL_DOCS_TYPE_OF_DOCUMENT</t>
  </si>
  <si>
    <t>ACCOMPANYING_CHILD3_OTHER_TRAVEL_DOCS_FAMILY_NAME</t>
  </si>
  <si>
    <t>ACCOMPANYING_CHILD3_OTHER_TRAVEL_DOCS_GIVEN_NAMES</t>
  </si>
  <si>
    <t>ACCOMPANYING_CHILD3_OTHER_TRAVEL_DOCS_SEX</t>
  </si>
  <si>
    <t>ACCOMPANYING_CHILD3_OTHER_TRAVEL_DOCS_DATE_OF_BIRTH</t>
  </si>
  <si>
    <t>ACCOMPANYING_CHILD3_OTHER_TRAVEL_DOCS_ID_NUMBER</t>
  </si>
  <si>
    <t>ACCOMPANYING_CHILD3_NATIONAL_IDENTITY_COUNTRY_OF_ISSUE</t>
  </si>
  <si>
    <t>ACCOMPANYING_CHILD3_OTHER_TRAVEL_DOCS_NATIONALITY_OF_PASSPORT_HOLDER</t>
  </si>
  <si>
    <t>ACCOMPANYING_CHILD3_OTHER_TRAVEL_DOCS_DATE_OF_ISSUE</t>
  </si>
  <si>
    <t>ACCOMPANYING_CHILD3_OTHER_TRAVEL_DOCS_EXPIRY_DATE</t>
  </si>
  <si>
    <t>ACCOMPANYING_CHILD3_OTHER_TRAVEL_DOCS_PLACE_OF_ISSUE</t>
  </si>
  <si>
    <t>ACCOMPANYING_CHILD3_ADD_QUESTIONS_OTHER_ID_DOCUMENTS</t>
  </si>
  <si>
    <t>ACCOMPANYING_CHILD3_OTHER_IDENTITY_DOCS_FAMILY_NAME</t>
  </si>
  <si>
    <t>ACCOMPANYING_CHILD3_OTHER_IDENTITY_DOCS_GIVEN_NAMES</t>
  </si>
  <si>
    <t>ACCOMPANYING_CHILD3_OTHER_IDENTITY_DOCS_TYPE_OF_DOCUMENT</t>
  </si>
  <si>
    <t>ACCOMPANYING_CHILD3_OTHER_IDENTITY_DOCS_ID_NUMBER</t>
  </si>
  <si>
    <t>ACCOMPANYING_CHILD3_OTHER_IDENTITY_DOCS_COUNTRY_OF_ISSUE</t>
  </si>
  <si>
    <t>ACCOMPANYING_CHILD3_ADD_QUESTIONS_APPLICANT_DEPENDENT</t>
  </si>
  <si>
    <t>ACCOMPANYING_CHILD3_ADD_QUESTIONS_MENTAL</t>
  </si>
  <si>
    <t>ACCOMPANYING_CHILD3_ADD_QUESTIONS_GIVE_DETAILS_1</t>
  </si>
  <si>
    <t>ACCOMPANYING_CHILD3_ADD_QUESTIONS_LEGAL_CUSTODY</t>
  </si>
  <si>
    <t>ACCOMPANYING_CHILD3_ADD_QUESTIONS_GIVE_DETAILS_2</t>
  </si>
  <si>
    <t>ACCOMPANYING_CHILD3_ADD_QUESTIONS_OTHER_CUSTODY</t>
  </si>
  <si>
    <t>ACCOMPANYING_CHILD3_ADD_QUESTIONS_GIVE_DETAILS_3</t>
  </si>
  <si>
    <t>ACCOMPANYING_CHILD3_ADD_QUESTIONS_LEGAL_IMPEDIMENTS</t>
  </si>
  <si>
    <t>ACCOMPANYING_CHILD3_ADD_QUESTIONS_GIVE_DETAILS_4</t>
  </si>
  <si>
    <t>ACCOMPANYING_CHILD4_MIGRATING</t>
  </si>
  <si>
    <t>ACCOMPANYING_CHILD4_RELATIONSHIP_TO_PRIMARY_APPLICANT</t>
  </si>
  <si>
    <t>ACCOMPANYING_CHILD4_CURRENT_LOCATION_COUNTRY</t>
  </si>
  <si>
    <t>ACCOMPANYING_CHILD4_CURRENT_LOCATION_LEGAL_STATUS</t>
  </si>
  <si>
    <t>ACCOMPANYING_CHILD4_CURRENT_LOCATION_GIVE_DETAILS</t>
  </si>
  <si>
    <t>ACCOMPANYING_CHILD4_PASSPORT_DETAILS_FAMILY_NAME</t>
  </si>
  <si>
    <t>ACCOMPANYING_CHILD4_PASSPORT_DETAILS_GIVEN NAMES</t>
  </si>
  <si>
    <t>ACCOMPANYING_CHILD4_PASSPORT_DETAILS_SEX</t>
  </si>
  <si>
    <t>ACCOMPANYING_CHILD4_PASSPORT_DETAILS_DATE_OF_BIRTH</t>
  </si>
  <si>
    <t>ACCOMPANYING_CHILD4_PASSPORT_DETAILS_PASSPORT_NUMBER</t>
  </si>
  <si>
    <t>ACCOMPANYING_CHILD4_PASSPORT_DETAILS_COUNTRY_OF_PASSPORT</t>
  </si>
  <si>
    <t>ACCOMPANYING_CHILD4_PASSPORT_DETAILS_NATIONALITY_OF_PASSPORT_HOLDER</t>
  </si>
  <si>
    <t>ACCOMPANYING_CHILD4_PASSPORT_DETAILS_DATE_OF_ISSUE</t>
  </si>
  <si>
    <t>ACCOMPANYING_CHILD4_PASSPORT_DETAILS_EXPIRY_DATE</t>
  </si>
  <si>
    <t>ACCOMPANYING_CHILD4_PASSPORT_DETAILS_PLACE_OF_ISSUE</t>
  </si>
  <si>
    <t>ACCOMPANYING_CHILD4_AUSTRALIAN_VISA_PREVIOUS_VISA</t>
  </si>
  <si>
    <t>ACCOMPANYING_CHILD4_AUSTRALIAN_VISA_GRANT_NUMBER</t>
  </si>
  <si>
    <t>ACCOMPANYING_CHILD4_NATIONAL_IDENTITY_HAVE_NATIONAL_ID</t>
  </si>
  <si>
    <t>ACCOMPANYING_CHILD4_NATIONAL_IDENTITY_FAMILY_NAME</t>
  </si>
  <si>
    <t>ACCOMPANYING_CHILD4_NATIONAL_IDENTITY_GIVEN_NAMES</t>
  </si>
  <si>
    <t>ACCOMPANYING_CHILD4_NATIONAL_IDENTITY_ID_NUMBER</t>
  </si>
  <si>
    <t>ACCOMPANYING_CHILD4_NATIONAL_IDENTITY_COUNTRY_OF_ISSUE</t>
  </si>
  <si>
    <t>ACCOMPANYING_CHILD4_NATIONAL_IDENTITY_DATE_OF_ISSUE</t>
  </si>
  <si>
    <t>ACCOMPANYING_CHILD4_NATIONAL_IDENTITY_EXPIRY_DATE</t>
  </si>
  <si>
    <t>ACCOMPANYING_CHILD4_PLACE_OF_BIRTH_CITY</t>
  </si>
  <si>
    <t>ACCOMPANYING_CHILD4_PLACE_OF_STATE_PROVINCE</t>
  </si>
  <si>
    <t>ACCOMPANYING_CHILD4_PLACE_OF_BIRTH_COUNTRY</t>
  </si>
  <si>
    <t>ACCOMPANYING_CHILD4_RELATIONSHIP_STATUS</t>
  </si>
  <si>
    <t>ACCOMPANYING_CHILD4_OTHER_NAMES_GIVEN</t>
  </si>
  <si>
    <t>ACCOMPANYING_CHILD4_OTHER_NAMES_FAMILY NAME</t>
  </si>
  <si>
    <t>ACCOMPANYING_CHILD4_OTHER_NAMES_GIVEN NAMES</t>
  </si>
  <si>
    <t>ACCOMPANYING_CHILD4_OTHER_NAMES_REASON</t>
  </si>
  <si>
    <t>ACCOMPANYING_CHILD4_OTHER_NAMES_GIVE_DETAILS</t>
  </si>
  <si>
    <t>ACCOMPANYING_CHILD4_CITIZENSHIP_COUNTRY_OF_PASSPORT</t>
  </si>
  <si>
    <t>ACCOMPANYING_CHILD4_CITIZENSHIP_OTHER_COUNTRY_CITIZEN</t>
  </si>
  <si>
    <t>ACCOMPANYING_CHILD4_CITIZENSHIP_LIST COUNTRIES1</t>
  </si>
  <si>
    <t>ACCOMPANYING_CHILD4_CITIZENSHIP_LIST COUNTRIES2</t>
  </si>
  <si>
    <t>ACCOMPANYING_CHILD4_OTHER_PASSPORT_OR_DOCUMENTS</t>
  </si>
  <si>
    <t>ACCOMPANYING_CHILD4_OTHER_TRAVEL_DOCS_TYPE_OF_DOCUMENT</t>
  </si>
  <si>
    <t>ACCOMPANYING_CHILD4_OTHER_TRAVEL_DOCS_FAMILY_NAME</t>
  </si>
  <si>
    <t>ACCOMPANYING_CHILD4_OTHER_TRAVEL_DOCS_GIVEN_NAMES</t>
  </si>
  <si>
    <t>ACCOMPANYING_CHILD4_OTHER_TRAVEL_DOCS_SEX</t>
  </si>
  <si>
    <t>ACCOMPANYING_CHILD4_OTHER_TRAVEL_DOCS_DATE_OF_BIRTH</t>
  </si>
  <si>
    <t>ACCOMPANYING_CHILD4_OTHER_TRAVEL_DOCS_ID_NUMBER</t>
  </si>
  <si>
    <t>ACCOMPANYING_CHILD4_OTHER_TRAVEL_DOCS_COUNTRY_OF_ISSUE</t>
  </si>
  <si>
    <t>ACCOMPANYING_CHILD4_OTHER_TRAVEL_DOCS_NATIONALITY_OF_PASSPORT_HOLDER</t>
  </si>
  <si>
    <t>ACCOMPANYING_CHILD4_OTHER_TRAVEL_DOCS_DATE_OF_ISSUE</t>
  </si>
  <si>
    <t>ACCOMPANYING_CHILD4_OTHER_TRAVEL_DOCS_EXPIRY_DATE</t>
  </si>
  <si>
    <t>ACCOMPANYING_CHILD4_OTHER_TRAVEL_DOCS_PLACE_OF_ISSUE</t>
  </si>
  <si>
    <t>ACCOMPANYING_CHILD4_OTHER_IDENTITY_DOCUMENTS</t>
  </si>
  <si>
    <t>ACCOMPANYING_CHILD4_OTHER_IDENTITY_DOCS_FAMILY_NAME</t>
  </si>
  <si>
    <t>ACCOMPANYING_CHILD4_OTHER_IDENTITY_DOCS_GIVEN_NAMES</t>
  </si>
  <si>
    <t>ACCOMPANYING_CHILD4_OTHER_IDENTITY_DOCS_TYPE_OF_DOCUMENT</t>
  </si>
  <si>
    <t>ACCOMPANYING_CHILD4_OTHER_IDENTITY_DOCS_ID_NUMBER</t>
  </si>
  <si>
    <t>ACCOMPANYING_CHILD4_OTHER_IDENTITY_DOCS_COUNTRY_OF_ISSUE</t>
  </si>
  <si>
    <t>ACCOMPANYING_CHILD4_ADD_QUESTIONS_APPLICANT_DEPENDENT</t>
  </si>
  <si>
    <t>ACCOMPANYING_CHILD4_ADD_QUESTIONS_MENTAL</t>
  </si>
  <si>
    <t>ACCOMPANYING_CHILD4_ADD_QUESTIONS_GIVE_DETAILS_1</t>
  </si>
  <si>
    <t>ACCOMPANYING_CHILD4_ADD_QUESTIONS_LEGAL_CUSTODY</t>
  </si>
  <si>
    <t>ACCOMPANYING_CHILD4_ADD_QUESTIONS_GIVE_DETAILS_2</t>
  </si>
  <si>
    <t>ACCOMPANYING_CHILD4_ADD_QUESTIONS_OTHER_CUSTODY</t>
  </si>
  <si>
    <t>ACCOMPANYING_CHILD4_ADD_QUESTIONS_GIVE_DETAILS_3</t>
  </si>
  <si>
    <t>ACCOMPANYING_CHILD4_ADD_QUESTIONS_LEGAL_IMPEDIMENTS</t>
  </si>
  <si>
    <t>ACCOMPANYING_CHILD4_ADD_QUESTIONS_GIVE_DETAILS_4</t>
  </si>
  <si>
    <t>CONTACT_DETAILS_COUNTRY_OF_RESIDENCE</t>
  </si>
  <si>
    <t>CONTACT_DETAILS_RESIDENTIAL_ADDRESS_COUNTRY</t>
  </si>
  <si>
    <t>CONTACT_DETAILS_RESIDENTIAL_ADDRESS_ADDRESS</t>
  </si>
  <si>
    <t>CONTACT_DETAILS_RESIDENTIAL_ADDRESS_ADDRESS2</t>
  </si>
  <si>
    <t>CONTACT_DETAILS_RESIDENTIAL_ADDRESS_SUBURB_TOWN</t>
  </si>
  <si>
    <t>CONTACT_DETAILS_RESIDENTIAL_ADDRESS_STATE_PROVINCE</t>
  </si>
  <si>
    <t>CONTACT_DETAILS_RESIDENTIAL_ADDRESS_POSTAL_CODE</t>
  </si>
  <si>
    <t>CONTACT_DETAILS_POSTAL_ADDRESS_SAME</t>
  </si>
  <si>
    <t>CONTACT_DETAILS_POSTAL_ADDRESS_COUNTRY</t>
  </si>
  <si>
    <t>CONTACT_DETAILS_POSTAL_ADDRESS_ADDRESS</t>
  </si>
  <si>
    <t>CONTACT_DETAILS_POSTAL_ADDRESS_ADDRESS2</t>
  </si>
  <si>
    <t>CONTACT_DETAILS_POSTAL_ADDRESS_SUBURB</t>
  </si>
  <si>
    <t>CONTACT_DETAILS_POSTAL_ADDRESS_STATE_PROVINCE</t>
  </si>
  <si>
    <t>CONTACT_DETAILS_POSTAL_ADDRESS_POSTAL_CODE</t>
  </si>
  <si>
    <t>CONTACT_DETAILS_TELEPHONE_HOME_PHONE</t>
  </si>
  <si>
    <t>CONTACT_DETAILS_TELEPHONE_BUSINESS_PHONE</t>
  </si>
  <si>
    <t>CONTACT_DETAILS_TELEPHONE_MOBILE_PHONE</t>
  </si>
  <si>
    <t>CONTACT_DETAILS_EMAIL</t>
  </si>
  <si>
    <t>COUNTRIES_OF_RESIDENCE_ALL_APPLICANTS_NAME1</t>
  </si>
  <si>
    <t>COUNTRIES_OF_RESIDENCE_ALL_APPLICANTS_DATE_FROM1</t>
  </si>
  <si>
    <t>COUNTRIES_OF_RESIDENCE_ALL_APPLICANTS_DATE_TO1</t>
  </si>
  <si>
    <t>COUNTRIES_OF_RESIDENCE_ALL_APPLICANTS_COUNTRY1</t>
  </si>
  <si>
    <t>COUNTRIES_OF_RESIDENCE_ALL_APPLICANTS_ADDRESS1</t>
  </si>
  <si>
    <t>COUNTRIES_OF_RESIDENCE_ALL_APPLICANTS_ADDRESS12</t>
  </si>
  <si>
    <t>COUNTRIES_OF_RESIDENCE_ALL_APPLICANTS_SUBURB_TOWN1</t>
  </si>
  <si>
    <t>COUNTRIES_OF_RESIDENCE_ALL_APPLICANTS_STATE_PROVINCE1</t>
  </si>
  <si>
    <t>COUNTRIES_OF_RESIDENCE_ALL_APPLICANTS_POSTAL_CODE1</t>
  </si>
  <si>
    <t>COUNTRIES_OF_RESIDENCE_ALL_APPLICANTS_NAME2</t>
  </si>
  <si>
    <t>COUNTRIES_OF_RESIDENCE_ALL_APPLICANTS_DATE_FROM2</t>
  </si>
  <si>
    <t>COUNTRIES_OF_RESIDENCE_ALL_APPLICANTS_DATE_TO2</t>
  </si>
  <si>
    <t>COUNTRIES_OF_RESIDENCE_ALL_APPLICANTS_COUNTRY2</t>
  </si>
  <si>
    <t>COUNTRIES_OF_RESIDENCE_ALL_APPLICANTS_ADDRESS2</t>
  </si>
  <si>
    <t>COUNTRIES_OF_RESIDENCE_ALL_APPLICANTS_ADDRESS22</t>
  </si>
  <si>
    <t>COUNTRIES_OF_RESIDENCE_ALL_APPLICANTS_SUBURB_TOWN2</t>
  </si>
  <si>
    <t>COUNTRIES_OF_RESIDENCE_ALL_APPLICANTS_STATE_PROVINCE2</t>
  </si>
  <si>
    <t>COUNTRIES_OF_RESIDENCE_ALL_APPLICANTS_POSTAL_CODE2</t>
  </si>
  <si>
    <t>COUNTRIES_OF_RESIDENCE_ALL_APPLICANTS_NAME3</t>
  </si>
  <si>
    <t>COUNTRIES_OF_RESIDENCE_ALL_APPLICANTS_DATE_FROM3</t>
  </si>
  <si>
    <t>COUNTRIES_OF_RESIDENCE_ALL_APPLICANTS_DATE_TO3</t>
  </si>
  <si>
    <t>COUNTRIES_OF_RESIDENCE_ALL_APPLICANTS_COUNTRY3</t>
  </si>
  <si>
    <t>COUNTRIES_OF_RESIDENCE_ALL_APPLICANTS_ADDRESS3</t>
  </si>
  <si>
    <t>COUNTRIES_OF_RESIDENCE_ALL_APPLICANTS_ADDRESS32</t>
  </si>
  <si>
    <t>COUNTRIES_OF_RESIDENCE_ALL_APPLICANTS_SUBURB_TOWN3</t>
  </si>
  <si>
    <t>COUNTRIES_OF_RESIDENCE_ALL_APPLICANTS_STATE_PROVINCE3</t>
  </si>
  <si>
    <t>COUNTRIES_OF_RESIDENCE_ALL_APPLICANTS_POSTAL_CODE3</t>
  </si>
  <si>
    <t>COUNTRIES_OF_RESIDENCE_ALL_APPLICANTS_NAME4</t>
  </si>
  <si>
    <t>COUNTRIES_OF_RESIDENCE_ALL_APPLICANTS_DATE_FROM4</t>
  </si>
  <si>
    <t>COUNTRIES_OF_RESIDENCE_ALL_APPLICANTS_DATE_TO4</t>
  </si>
  <si>
    <t>COUNTRIES_OF_RESIDENCE_ALL_APPLICANTS_COUNTRY4</t>
  </si>
  <si>
    <t>COUNTRIES_OF_RESIDENCE_ALL_APPLICANTS_ADDRESS4</t>
  </si>
  <si>
    <t>COUNTRIES_OF_RESIDENCE_ALL_APPLICANTS_ADDRESS42</t>
  </si>
  <si>
    <t>COUNTRIES_OF_RESIDENCE_ALL_APPLICANTS_SUBURB_TOWN4</t>
  </si>
  <si>
    <t>COUNTRIES_OF_RESIDENCE_ALL_APPLICANTS_STATE_PROVINCE4</t>
  </si>
  <si>
    <t>COUNTRIES_OF_RESIDENCE_ALL_APPLICANTS_POSTAL_CODE4</t>
  </si>
  <si>
    <t>COUNTRIES_OF_RESIDENCE_ALL_APPLICANTS_NAME5</t>
  </si>
  <si>
    <t>COUNTRIES_OF_RESIDENCE_ALL_APPLICANTS_DATE_FROM5</t>
  </si>
  <si>
    <t>COUNTRIES_OF_RESIDENCE_ALL_APPLICANTS_DATE_TO5</t>
  </si>
  <si>
    <t>COUNTRIES_OF_RESIDENCE_ALL_APPLICANTS_COUNTRY5</t>
  </si>
  <si>
    <t>COUNTRIES_OF_RESIDENCE_ALL_APPLICANTS_ADDRESS5</t>
  </si>
  <si>
    <t>COUNTRIES_OF_RESIDENCE_ALL_APPLICANTS_ADDRESS52</t>
  </si>
  <si>
    <t>COUNTRIES_OF_RESIDENCE_ALL_APPLICANTS_SUBURB_TOWN5</t>
  </si>
  <si>
    <t>COUNTRIES_OF_RESIDENCE_ALL_APPLICANTS_STATE_PROVINCE5</t>
  </si>
  <si>
    <t>COUNTRIES_OF_RESIDENCE_ALL_APPLICANTS_POSTAL_CODE5</t>
  </si>
  <si>
    <t>COUNTRIES_OF_RESIDENCE_ALL_APPLICANTS_NAME6</t>
  </si>
  <si>
    <t>COUNTRIES_OF_RESIDENCE_ALL_APPLICANTS_DATE_FROM6</t>
  </si>
  <si>
    <t>COUNTRIES_OF_RESIDENCE_ALL_APPLICANTS_DATE_TO6</t>
  </si>
  <si>
    <t>COUNTRIES_OF_RESIDENCE_ALL_APPLICANTS_COUNTRY6</t>
  </si>
  <si>
    <t>COUNTRIES_OF_RESIDENCE_ALL_APPLICANTS_ADDRESS6</t>
  </si>
  <si>
    <t>COUNTRIES_OF_RESIDENCE_ALL_APPLICANTS_ADDRESS62</t>
  </si>
  <si>
    <t>COUNTRIES_OF_RESIDENCE_ALL_APPLICANTS_SUBURB_TOWN6</t>
  </si>
  <si>
    <t>COUNTRIES_OF_RESIDENCE_ALL_APPLICANTS_STATE_PROVINCE6</t>
  </si>
  <si>
    <t>COUNTRIES_OF_RESIDENCE_ALL_APPLICANTS_POSTAL_CODE6</t>
  </si>
  <si>
    <t>EDUCATION_HISTORY_HIGHEST_QUALIFICATION</t>
  </si>
  <si>
    <t>EDUCATION_HISTORY_STUDIES_SECONDARY</t>
  </si>
  <si>
    <t>EDUCATION_HISTORY_HIGHEST_QUALIFICATION1</t>
  </si>
  <si>
    <t>EDUCATION_HISTORY_COURSE_NAME1</t>
  </si>
  <si>
    <t>EDUCATION_HISTORY_INSTITUTION1</t>
  </si>
  <si>
    <t>EDUCATION_HISTORY_COUNTRY1</t>
  </si>
  <si>
    <t>EDUCATION_HISTORY_DATE_FROM1</t>
  </si>
  <si>
    <t>EDUCATION_HISTORY_DATE_TO1</t>
  </si>
  <si>
    <t>EDUCATION_HISTORY_HIGHEST_QUALIFICATION2</t>
  </si>
  <si>
    <t>EDUCATION_HISTORY_COURSE_NAME2</t>
  </si>
  <si>
    <t>EDUCATION_HISTORY_INSTITUTION2</t>
  </si>
  <si>
    <t>EDUCATION_HISTORY_COUNTRY2</t>
  </si>
  <si>
    <t>EDUCATION_HISTORY_DATE_FROM2</t>
  </si>
  <si>
    <t>EDUCATION_HISTORY_DATE_TO2</t>
  </si>
  <si>
    <t>EDUCATION_HISTORY_HIGHEST_QUALIFICATION3</t>
  </si>
  <si>
    <t>EDUCATION_HISTORY_COURSE_NAME3</t>
  </si>
  <si>
    <t>EDUCATION_HISTORY_INSTITUTION3</t>
  </si>
  <si>
    <t>EDUCATION_HISTORY_COUNTRY3</t>
  </si>
  <si>
    <t>EDUCATION_HISTORY_DATE_FROM3</t>
  </si>
  <si>
    <t>EDUCATION_HISTORY_DATE_TO3</t>
  </si>
  <si>
    <t>EDUCATION_HISTORY_HIGHEST_QUALIFICATION4</t>
  </si>
  <si>
    <t>EDUCATION_HISTORY_COURSE_NAME4</t>
  </si>
  <si>
    <t>EDUCATION_HISTORY_INSTITUTION4</t>
  </si>
  <si>
    <t>EDUCATION_HISTORY_COUNTRY4</t>
  </si>
  <si>
    <t>EDUCATION_HISTORY_DATE_FROM4</t>
  </si>
  <si>
    <t>EDUCATION_HISTORY_DATE_TO4</t>
  </si>
  <si>
    <t>LANGUAGE_SKILLS_FIRST_LANGUAGE</t>
  </si>
  <si>
    <t>LANGUAGE_SKILLS_MAIN_LANGUAGE</t>
  </si>
  <si>
    <t>LANGUAGE_SKILLS_SECONDARY LANGUAGE</t>
  </si>
  <si>
    <t>LANGUAGE_SKILLS_GIVE_DETAILS</t>
  </si>
  <si>
    <t>LANGUAGE_SKILLS_ENGLISH_TEST</t>
  </si>
  <si>
    <t>LANGUAGE_SKILLS_ENGLISH_TEST_NAME_OF_TEST</t>
  </si>
  <si>
    <t>LANGUAGE_SKILLS_ENGLISH_TEST_DATE_OF_TEST</t>
  </si>
  <si>
    <t>LANGUAGE_SKILLS_ENGLISH_TEST_REFERENCE_NUMBER</t>
  </si>
  <si>
    <t>LANGUAGE_SKILLS_ENGLISH_TEST_COUNTRY</t>
  </si>
  <si>
    <t>LANGUAGE_SKILLS_ENGLISH_TEST_LISTENING_SCORE</t>
  </si>
  <si>
    <t>LANGUAGE_SKILLS_ENGLISH_TEST_READING_SCORE</t>
  </si>
  <si>
    <t>LANGUAGE_SKILLS_ENGLISH_TEST_WRITING_SCORE</t>
  </si>
  <si>
    <t>LANGUAGE_SKILLS_ENGLISH_TEST_SPEAKING_SCORE</t>
  </si>
  <si>
    <t>LANGUAGE_SKILLS_ENGLISH_TEST_OVERALL_BAND_SCORE</t>
  </si>
  <si>
    <t>REGISTRATION_HOLD_LICENCE</t>
  </si>
  <si>
    <t>REGISTRATION_NAME_OF_AUTHORITY_GRANTING_LICENCE</t>
  </si>
  <si>
    <t>REGISTRATION_LICENCE_NUMBER</t>
  </si>
  <si>
    <t>REGISTRATION_ENGLISH_LANGUAGE</t>
  </si>
  <si>
    <t>REGISTRATION_GIVE_DETAILS</t>
  </si>
  <si>
    <t>EMPLOYMENT_HISTORY_SIMILAR_POSITION</t>
  </si>
  <si>
    <t>EMPLOYMENT_HISTORY_IS_CURRENT1</t>
  </si>
  <si>
    <t>EMPLOYMENT_HISTORY_POSITION1</t>
  </si>
  <si>
    <t>EMPLOYMENT_HISTORY_POSITION_TYPE1</t>
  </si>
  <si>
    <t>EMPLOYMENT_HISTORY_EMPLOYER_NAME1</t>
  </si>
  <si>
    <t>EMPLOYMENT_HISTORY_COUNTRY1</t>
  </si>
  <si>
    <t>EMPLOYMENT_HISTORY_DATE_FROM1</t>
  </si>
  <si>
    <t>EMPLOYMENT_HISTORY_DATE_TO1</t>
  </si>
  <si>
    <t>EMPLOYMENT_HISTORY_DESCRIPTION_OF_DUTIES1</t>
  </si>
  <si>
    <t>EMPLOYMENT_HISTORY_EMPLOYMENT_RELATED1</t>
  </si>
  <si>
    <t>EMPLOYMENT_HISTORY_IS_CURRENT2</t>
  </si>
  <si>
    <t>EMPLOYMENT_HISTORY_POSITION2</t>
  </si>
  <si>
    <t>EMPLOYMENT_HISTORY_POSITION_TYPE2</t>
  </si>
  <si>
    <t>EMPLOYMENT_HISTORY_EMPLOYER_NAME2</t>
  </si>
  <si>
    <t>EMPLOYMENT_HISTORY_COUNTRY2</t>
  </si>
  <si>
    <t>EMPLOYMENT_HISTORY_DATE_FROM2</t>
  </si>
  <si>
    <t>EMPLOYMENT_HISTORY_DATE_TO2</t>
  </si>
  <si>
    <t>EMPLOYMENT_HISTORY_DESCRIPTION_OF_DUTIES2</t>
  </si>
  <si>
    <t>EMPLOYMENT_HISTORY_RELATED2</t>
  </si>
  <si>
    <t>EMPLOYMENT_HISTORY_IS_CURRENT3</t>
  </si>
  <si>
    <t>EMPLOYMENT_HISTORY_POSITION3</t>
  </si>
  <si>
    <t>EMPLOYMENT_HISTORY_POSITION_TYPE3</t>
  </si>
  <si>
    <t>EMPLOYMENT_HISTORY_EMPLOYER_NAME3</t>
  </si>
  <si>
    <t>EMPLOYMENT_HISTORY_COUNTRY3</t>
  </si>
  <si>
    <t>EMPLOYMENT_HISTORY_DATE_FROM3</t>
  </si>
  <si>
    <t>EMPLOYMENT_HISTORY_DATE_TO3</t>
  </si>
  <si>
    <t>EMPLOYMENT_HISTORY_DESCRIPTION_OF_DUTIES3</t>
  </si>
  <si>
    <t>EMPLOYMENT_HISTORY_RELATED3</t>
  </si>
  <si>
    <t>EMPLOYMENT_HISTORY_IS_CURRENT4</t>
  </si>
  <si>
    <t>EMPLOYMENT_HISTORY_POSITION4</t>
  </si>
  <si>
    <t>EMPLOYMENT_HISTORY_POSITION_TYPE4</t>
  </si>
  <si>
    <t>EMPLOYMENT_HISTORY_EMPLOYER_NAME4</t>
  </si>
  <si>
    <t>EMPLOYMENT_HISTORY_COUNTRY4</t>
  </si>
  <si>
    <t>EMPLOYMENT_HISTORY_DATE_FROM4</t>
  </si>
  <si>
    <t>EMPLOYMENT_HISTORY_DATE_TO4</t>
  </si>
  <si>
    <t>EMPLOYMENT_HISTORY_DESCRIPTION_OF_DUTIES4</t>
  </si>
  <si>
    <t>EMPLOYMENT_HISTORY_RELATED4</t>
  </si>
  <si>
    <t>HEALTH_DECLARATIONS</t>
  </si>
  <si>
    <t>HEALTH_DECLARATIONS_VISIT_OTHER_COUNTRIES_NAME1</t>
  </si>
  <si>
    <t>HEALTH_DECLARATIONS_VISIT_OTHER_COUNTRIES_COUNTRY1</t>
  </si>
  <si>
    <t>HEALTH_DECLARATIONS_VISIT_OTHER_COUNTRIES_DATE_FROM1</t>
  </si>
  <si>
    <t>HEALTH_DECLARATIONS_VISIT_OTHER_COUNTRIES_DATE_TO1</t>
  </si>
  <si>
    <t>HEALTH_DECLARATIONS_VISIT_OTHER_COUNTRIES_NAME2</t>
  </si>
  <si>
    <t>HEALTH_DECLARATIONS_VISIT_OTHER_COUNTRIES_COUNTRY2</t>
  </si>
  <si>
    <t>HEALTH_DECLARATIONS_VISIT_OTHER_COUNTRIES_DATE_FROM2</t>
  </si>
  <si>
    <t>HEALTH_DECLARATIONS_VISIT_OTHER_COUNTRIES_DATE_TO2</t>
  </si>
  <si>
    <t>HEALTH_DECLARATIONS_VISIT_OTHER_COUNTRIES_NAME3</t>
  </si>
  <si>
    <t>HEALTH_DECLARATIONS_VISIT_OTHER_COUNTRIES_COUNTRY3</t>
  </si>
  <si>
    <t>HEALTH_DECLARATIONS_VISIT_OTHER_COUNTRIES_DATE_FROM3</t>
  </si>
  <si>
    <t>HEALTH_DECLARATIONS_VISIT_OTHER_COUNTRIES_DATE_TO3</t>
  </si>
  <si>
    <t>HEALTH_DECLARATIONS_VISIT_OTHER_COUNTRIES_NAME4</t>
  </si>
  <si>
    <t>HEALTH_DECLARATIONS_VISIT_OTHER_COUNTRIES_COUNTRY4</t>
  </si>
  <si>
    <t>HEALTH_DECLARATIONS_VISIT_OTHER_COUNTRIES_DATE_FROM4</t>
  </si>
  <si>
    <t>HEALTH_DECLARATIONS_VISIT_OTHER_COUNTRIES_DATE_TO4</t>
  </si>
  <si>
    <t>HEALTH_DECLARATIONS_VISIT_OTHER_COUNTRIES_NAME5</t>
  </si>
  <si>
    <t>HEALTH_DECLARATIONS_VISIT_OTHER_COUNTRIES_COUNTRY5</t>
  </si>
  <si>
    <t>HEALTH_DECLARATIONS_VISIT_OTHER_COUNTRIES_DATE_FROM5</t>
  </si>
  <si>
    <t>HEALTH_DECLARATIONS_VISIT_OTHER_COUNTRIES_DATE_TO5</t>
  </si>
  <si>
    <t>HEALTH_DECLARATIONS_VISIT_OTHER_COUNTRIES_NAME6</t>
  </si>
  <si>
    <t>HEALTH_DECLARATIONS_VISIT_OTHER_COUNTRIES_COUNTRY6</t>
  </si>
  <si>
    <t>HEALTH_DECLARATIONS_VISIT_OTHER_COUNTRIES_DATE_FROM6</t>
  </si>
  <si>
    <t>HEALTH_DECLARATIONS_VISIT_OTHER_COUNTRIES_DATE_TO6</t>
  </si>
  <si>
    <t>PAYMENT_TO_EMPLOYER_AGREED</t>
  </si>
  <si>
    <t>PAYMENT_TO_EMPLOYER_GIVE_DETAILS</t>
  </si>
  <si>
    <t>HEALTH_DECLARATIONS_ENTER_HOSPITALS_INTENTION</t>
  </si>
  <si>
    <t>HEALTH_DECLARATIONS_ENTER_HOSPITALS_FULL_NAME1</t>
  </si>
  <si>
    <t>HEALTH_DECLARATIONS_ENTER_HOSPITALS_REASON1</t>
  </si>
  <si>
    <t>HEALTH_DECLARATIONS_ENTER_HOSPITALS_GIVE_DETAILS1</t>
  </si>
  <si>
    <t>HEALTH_DECLARATIONS_ENTER_HOSPITALS_FULL_NAME2</t>
  </si>
  <si>
    <t>HEALTH_DECLARATIONS_ENTER_HOSPITALS_REASON2</t>
  </si>
  <si>
    <t>HEALTH_DECLARATIONS_ENTER_HOSPITALS_GIVE_DETAILS2</t>
  </si>
  <si>
    <t>HEALTH_DECLARATIONS_WORK_STUDY_HOSPITALS_INTENTION</t>
  </si>
  <si>
    <t>HEALTH_DECLARATIONS_WORK_STUDY_HOSPITALS_FULL_NAME1</t>
  </si>
  <si>
    <t>HEALTH_DECLARATIONS_WORK_STUDY_HOSPITALS_GIVE_DETAILS1</t>
  </si>
  <si>
    <t>HEALTH_DECLARATIONS_WORK_STUDY_HOSPITALS_FULL_NAME2</t>
  </si>
  <si>
    <t>HEALTH_DECLARATIONS_WORK_STUDY_HOSPITALS_GIVE_DETAILS2</t>
  </si>
  <si>
    <t>HEALTH_DECLARATIONS_WORK_CHILD_CARE_INTENTION</t>
  </si>
  <si>
    <t>HEALTH_DECLARATIONS_WORK_CHILD_CARE_FULL_NAME1</t>
  </si>
  <si>
    <t>HEALTH_DECLARATIONS_WORK_CHILD_CARE_GIVE_DETAILS1</t>
  </si>
  <si>
    <t>HEALTH_DECLARATIONS_WORK_CHILD_CARE_FULL_NAME2</t>
  </si>
  <si>
    <t>HEALTH_DECLARATIONS_WORK_CHILD_CARE_GIVE_DETAILS2</t>
  </si>
  <si>
    <t>HEALTH_DECLARATIONS_CLASSROOM_INTENTION</t>
  </si>
  <si>
    <t>HEALTH_DECLARATIONS_CLASSROOM_FULL_NAME1</t>
  </si>
  <si>
    <t>HEALTH_DECLARATIONS_CLASSROOM_GIVE_DETAILS1</t>
  </si>
  <si>
    <t>HEALTH_DECLARATIONS_CLASSROOM_FULL_NAME2</t>
  </si>
  <si>
    <t>HEALTH_DECLARATIONS_CLASSROOM_GIVE_DETAILS2</t>
  </si>
  <si>
    <t>HEALTH_DECLARATIONS_MEDICAL COST</t>
  </si>
  <si>
    <t>HEALTH_DECLARATIONS_MEDICAL_COSTS_FULL_NAME1</t>
  </si>
  <si>
    <t>HEALTH_DECLARATIONS_MEDICAL_COSTS_CONDITION1</t>
  </si>
  <si>
    <t>HEALTH_DECLARATIONS_MEDICAL_COSTS_GIVE_DETAILS1</t>
  </si>
  <si>
    <t>HEALTH_DECLARATIONS_MEDICAL_COSTS_FULL_NAME2</t>
  </si>
  <si>
    <t>HEALTH_DECLARATIONS_MEDICAL_COSTS_CONDITION2</t>
  </si>
  <si>
    <t>HEALTH_DECLARATIONS_MEDICAL_COSTS_GIVE_DETAILS2</t>
  </si>
  <si>
    <t>HEALTH_DECLARATIONS_REQUIRE_ASSISTANCE</t>
  </si>
  <si>
    <t>HEALTH_DECLARATIONS_REQUIRE_ASSISTANCE_FULL_NAME1</t>
  </si>
  <si>
    <t>HEALTH_DECLARATIONS_REQUIRE_ASSISTANCE_GIVE_DETAILS1</t>
  </si>
  <si>
    <t>HEALTH_DECLARATIONS_REQUIRE_ASSISTANCE_FULL_NAME2</t>
  </si>
  <si>
    <t>HEALTH_DECLARATIONS_REQUIRE_ASSISTANCE_GIVE_DETAILS2</t>
  </si>
  <si>
    <t>HEALTH_DECLARATIONS_TUBERCULOSIS</t>
  </si>
  <si>
    <t>HEALTH_DECLARATIONS_TUBERCULOSIS_FULL_NAME1</t>
  </si>
  <si>
    <t>HEALTH_DECLARATIONS_TUBERCULOSIS_GIVE_DETAILS1</t>
  </si>
  <si>
    <t>HEALTH_DECLARATIONS_TUBERCULOSIS_FULL_NAME2</t>
  </si>
  <si>
    <t>HEALTH_DECLARATIONS_TUBERCULOSIS_GIVE_DETAILS2</t>
  </si>
  <si>
    <t>CHARACTER_DECLARATIONS_ANY_OFFENCE_AWAITING</t>
  </si>
  <si>
    <t>CHARACTER_DECLARATIONS_ANY_OFFENCE_AWAITING_GIVE_DETAILS</t>
  </si>
  <si>
    <t>CHARACTER_DECLARATIONS_ANY_OFFENCE_REMOVED</t>
  </si>
  <si>
    <t>CHARACTER_DECLARATIONS_ANY_OFFENCE_REMOVED_GIVE_DETAILS</t>
  </si>
  <si>
    <t>CHARACTER_DECLARATIONS_ARREST</t>
  </si>
  <si>
    <t>CHARACTER_DECLARATIONS_ARREST_GIVE_DETAILS</t>
  </si>
  <si>
    <t>CHARACTER_DECLARATIONS_GUILTY_SEX_CHILD</t>
  </si>
  <si>
    <t>CHARACTER_DECLARATIONS_GUILTY_SEX_CHILD_GIVE_DETAILS</t>
  </si>
  <si>
    <t>CHARACTER_DECLARATIONS_SEX_OFFENDER</t>
  </si>
  <si>
    <t>CHARACTER_DECLARATIONS_SEX_OFFENDER_GIVE_DETAILS</t>
  </si>
  <si>
    <t>CHARACTER_DECLARATIONS_ANY_OFFENCE_INSANITY</t>
  </si>
  <si>
    <t>CHARACTER_DECLARATIONS_ANY_OFFENCE_INSANITY_GIVE_DETAILS</t>
  </si>
  <si>
    <t>CHARACTER_DECLARATIONS_COURT_UNFIT</t>
  </si>
  <si>
    <t>CHARACTER_DECLARATIONS_COURT_UNFIT_GIVE_DETAILS</t>
  </si>
  <si>
    <t>CHARACTER_DECLARATIONS_NAT_SECURITY_RISK</t>
  </si>
  <si>
    <t>CHARACTER_DECLARATIONS_NAT_SECURITY_RISK_GIVE_DETAILS</t>
  </si>
  <si>
    <t>CHARACTER_DECLARATIONS_INTERNATIONAL_CRIME</t>
  </si>
  <si>
    <t>CHARACTER_DECLARATIONS_INTERNATIONAL_CRIME_GIVE_DETAILS</t>
  </si>
  <si>
    <t>CHARACTER_DECLARATIONS_CRIMINAL_CONDUCT</t>
  </si>
  <si>
    <t>CHARACTER_DECLARATIONS_CRIMINAL_CONDUCT_GIVE_DETAILS</t>
  </si>
  <si>
    <t>CHARACTER_DECLARATIONS_ENGAGED_IN_VIOLENCE</t>
  </si>
  <si>
    <t>CHARACTER_DECLARATIONS_ENGAGED_IN_VIOLENCE_GIVE_DETAILS</t>
  </si>
  <si>
    <t>CHARACTER_DECLARATIONS_MILITARY_SERVICE</t>
  </si>
  <si>
    <t>CHARACTER_DECLARATIONS_MILITARY_SERVICE_FULL_NAME</t>
  </si>
  <si>
    <t>CHARACTER_DECLARATIONS_MILITARY_SERVICE_COUNTRY1</t>
  </si>
  <si>
    <t>CHARACTER_DECLARATIONS_MILITARY_SERVICE_DATE_FROM</t>
  </si>
  <si>
    <t>CHARACTER_DECLARATIONS_MILITARY_SERVICE_DATE_TO</t>
  </si>
  <si>
    <t>CHARACTER_DECLARATIONS_MILITARY_SERVICE_GIVE_DETAILS</t>
  </si>
  <si>
    <t>CHARACTER_DECLARATIONS_MILITARY_TRAINING</t>
  </si>
  <si>
    <t>CHARACTER_DECLARATIONS_MILITARY_TRAINING_FULL_NAME</t>
  </si>
  <si>
    <t>CHARACTER_DECLARATIONS_MILITARY_TRAINING_COUNTRY1</t>
  </si>
  <si>
    <t>CHARACTER_DECLARATIONS_MILITARY_TRAINING_DATE_FROM</t>
  </si>
  <si>
    <t>CHARACTER_DECLARATIONS_MILITARY_TRAINING_DATE_TO</t>
  </si>
  <si>
    <t>CHARACTER_DECLARATIONS_MILITARY_TRAINING_GIVE_DETAILS</t>
  </si>
  <si>
    <t>CHARACTER_DECLARATIONS_SMUGGLING</t>
  </si>
  <si>
    <t>CHARACTER_DECLARATIONS_SMUGGLING_GIVE_DETAILS</t>
  </si>
  <si>
    <t>CHARACTER_DECLARATIONS_DEPORTED</t>
  </si>
  <si>
    <t>CHARACTER_DECLARATIONS_DEPORTED_GIVE_DETAILS</t>
  </si>
  <si>
    <t>CHARACTER_DECLARATIONS_OVERSTAYED_VISA</t>
  </si>
  <si>
    <t>CHARACTER_DECLARATIONS_OVERSTAYED_VISA_GIVE_DETAILS</t>
  </si>
  <si>
    <t>CHARACTER_DECLARATIONS_OUTSTANDING_DEBT</t>
  </si>
  <si>
    <t>CHARACTER_DECLARATIONS_OUTSTANDING_DEBT_GIVE_DETAILS</t>
  </si>
  <si>
    <t>DECLARATIONS_READ_UNDERSTOOD</t>
  </si>
  <si>
    <t>DECLARATIONS_CORRECT_INFORMATION</t>
  </si>
  <si>
    <t>DECLARATIONS_MISLEADING_INFO</t>
  </si>
  <si>
    <t>DECLARATIONS_FRAUDULENT_INFO</t>
  </si>
  <si>
    <t>DECLARATIONS_RIGHT_OF_ENTRY</t>
  </si>
  <si>
    <t>DECLARATIONS_WRITING_IMMEDIATELY</t>
  </si>
  <si>
    <t>DECLARATIONS_PRIVACY_NOTICE</t>
  </si>
  <si>
    <t>DECLARATIONS_SENSITIVE_INFORMATION</t>
  </si>
  <si>
    <t>DECLARATIONS_ABIDE</t>
  </si>
  <si>
    <t>DECLARATIONS_ADEQUATE</t>
  </si>
  <si>
    <t>DECLARATIONS_FACIAL_IMAGE_FINGERTIPS_GIVE_CONSENT</t>
  </si>
  <si>
    <t>DECLARATIONS_FACIAL_IMAGE_FINGERTIPS_UNDERSTAND</t>
  </si>
  <si>
    <t>DECLARATIONS_LAW_ENFORCEMENT</t>
  </si>
  <si>
    <t>DECLARATIONS_BIOMETRIC</t>
  </si>
  <si>
    <t>DECLARATIONS_ACIC</t>
  </si>
  <si>
    <t>DECLARATIONS_INFO_EXPLAINED18</t>
  </si>
  <si>
    <t>DECLARATIONS_CONTRAVENTION</t>
  </si>
  <si>
    <t>ADDITIONAL INFORMATION</t>
  </si>
  <si>
    <t>Sheet Name</t>
  </si>
  <si>
    <t>applicationContext</t>
  </si>
  <si>
    <t>yourDetails</t>
  </si>
  <si>
    <t>yourPartner</t>
  </si>
  <si>
    <t>child_1</t>
  </si>
  <si>
    <t>Field Name</t>
  </si>
  <si>
    <t>Field Value</t>
  </si>
  <si>
    <r>
      <t xml:space="preserve">Give details of why you are at your current location, including the end date of your current visa </t>
    </r>
    <r>
      <rPr>
        <i/>
        <sz val="9"/>
        <color rgb="FF5F636A"/>
        <rFont val="Open Sans"/>
        <family val="2"/>
      </rPr>
      <t>(if relevant)</t>
    </r>
  </si>
  <si>
    <t>Additional questions</t>
  </si>
  <si>
    <t>During their proposed visit to Australia, do you or any family members expect to incur medical costs, or require treatment or medical follow up for:
• Blood disorder
• HIV infection, including AIDS
• Respiratory disease that has required hospital admission or oxygen therapy
• Cancer
• Kidney disease, including dialysis 
• Heart disease
• Mental illness
• Hepatitis B or C and/or liver disease
• Pregnancy
• Other?</t>
  </si>
  <si>
    <t>Select</t>
  </si>
  <si>
    <t>*</t>
  </si>
  <si>
    <t>Accompanying child - 2</t>
  </si>
  <si>
    <t>Accompanying child - 3</t>
  </si>
  <si>
    <t>Accompanying child - 4</t>
  </si>
  <si>
    <t xml:space="preserve">validation min 6 digits no other chars allowed + at least one phone number must </t>
  </si>
  <si>
    <t>Add more employment history?</t>
  </si>
  <si>
    <t>Is this employment related to the nominated position?</t>
  </si>
  <si>
    <t>Are you a citizen of any other country?</t>
  </si>
  <si>
    <t>Your Details</t>
  </si>
  <si>
    <t>Contact Details</t>
  </si>
  <si>
    <t>Country of Residence</t>
  </si>
  <si>
    <t>Declarations</t>
  </si>
  <si>
    <t>child_2</t>
  </si>
  <si>
    <t>child_3</t>
  </si>
  <si>
    <t>child_4</t>
  </si>
  <si>
    <t>contactDetailsApplicant</t>
  </si>
  <si>
    <t>coutryOfResidence</t>
  </si>
  <si>
    <t>educationHistory</t>
  </si>
  <si>
    <t>languageSkills</t>
  </si>
  <si>
    <t>registrationLicensing</t>
  </si>
  <si>
    <t>employmentHistory</t>
  </si>
  <si>
    <t>healthDeclaration</t>
  </si>
  <si>
    <t>characterDeclarations</t>
  </si>
  <si>
    <t>declarations</t>
  </si>
  <si>
    <t>additionalInfo</t>
  </si>
  <si>
    <t>CHECKLIST</t>
  </si>
  <si>
    <t>Application Context</t>
  </si>
  <si>
    <t>Accompanying children</t>
  </si>
  <si>
    <r>
      <rPr>
        <sz val="10"/>
        <color rgb="FF5F636A"/>
        <rFont val="Open Sans"/>
        <family val="2"/>
      </rPr>
      <t>Type of skills assessment</t>
    </r>
  </si>
  <si>
    <r>
      <rPr>
        <sz val="10"/>
        <color rgb="FF5F636A"/>
        <rFont val="Open Sans"/>
        <family val="2"/>
      </rPr>
      <t>Name of program</t>
    </r>
  </si>
  <si>
    <r>
      <rPr>
        <sz val="10"/>
        <color rgb="FF5F636A"/>
        <rFont val="Open Sans"/>
        <family val="2"/>
      </rPr>
      <t>Identification number</t>
    </r>
  </si>
  <si>
    <t>Giving false or misleading information is a serious offence. The applicants declare that they:</t>
  </si>
  <si>
    <t>SAVE AS</t>
  </si>
  <si>
    <t>COVER</t>
  </si>
  <si>
    <t>Home</t>
  </si>
  <si>
    <t>Applicant Details</t>
  </si>
  <si>
    <t>Main Applicant</t>
  </si>
  <si>
    <t>Name list</t>
  </si>
  <si>
    <t>Family name</t>
  </si>
  <si>
    <t>Given names</t>
  </si>
  <si>
    <r>
      <t xml:space="preserve">Partner </t>
    </r>
    <r>
      <rPr>
        <b/>
        <i/>
        <sz val="10"/>
        <color theme="4"/>
        <rFont val="Open Sans"/>
        <family val="2"/>
      </rPr>
      <t>- Select Yes or No</t>
    </r>
  </si>
  <si>
    <r>
      <t>Children</t>
    </r>
    <r>
      <rPr>
        <b/>
        <sz val="11"/>
        <color theme="4"/>
        <rFont val="Open Sans"/>
        <family val="2"/>
      </rPr>
      <t xml:space="preserve"> </t>
    </r>
    <r>
      <rPr>
        <b/>
        <i/>
        <sz val="10"/>
        <color theme="4"/>
        <rFont val="Open Sans"/>
        <family val="2"/>
      </rPr>
      <t>- Select Yes or No</t>
    </r>
  </si>
  <si>
    <t>Information</t>
  </si>
  <si>
    <t xml:space="preserve">Please complete the form as accurately as possible and if additional explanations or information are required, please include this separately.
</t>
  </si>
  <si>
    <r>
      <t xml:space="preserve">Please ensure you complete all mandatory fields marked with </t>
    </r>
    <r>
      <rPr>
        <sz val="10"/>
        <color rgb="FFFF0000"/>
        <rFont val="Open Sans"/>
        <family val="2"/>
      </rPr>
      <t>*</t>
    </r>
    <r>
      <rPr>
        <sz val="10"/>
        <rFont val="Open Sans"/>
        <family val="2"/>
      </rPr>
      <t>.</t>
    </r>
  </si>
  <si>
    <t>Please do not use special characters such as !@#$%^&amp;*()</t>
  </si>
  <si>
    <t xml:space="preserve">To complete this form, first download and use the Save As button on the front page to save it to a local directory.  Once complete you should return it to your Deloitte consultant.
</t>
  </si>
  <si>
    <t>To navigate to each section simply click on the HOME button and then select the next incomplete item.  An item will be marked as complete once all mandatory fields are entered.</t>
  </si>
  <si>
    <t>Hide</t>
  </si>
  <si>
    <t>required</t>
  </si>
  <si>
    <t>supplied</t>
  </si>
  <si>
    <t>response</t>
  </si>
  <si>
    <t>field</t>
  </si>
  <si>
    <t>Coloured cells contain formulas do not delete</t>
  </si>
  <si>
    <t>Required</t>
  </si>
  <si>
    <t>Is this child wholly and substantially  financially dependent on the primary applicant?</t>
  </si>
  <si>
    <t>need to know how to determine if required?</t>
  </si>
  <si>
    <t>Give details of all countries where the applicant(s) has spent a total period of time that adds up to 12 months or more in the past 10 years since turning 16 years of age. Please list only the most recent address lived in for each country and complete for one person at a time.  If you need more space please provide on a separate document.</t>
  </si>
  <si>
    <t>Child's relationship status</t>
  </si>
  <si>
    <t>To begin, Click Next&gt;&gt; above and complete all the applicant details first as this will setup the rest of the questions.</t>
  </si>
  <si>
    <t>Date of expiry (DD-MMM-YYYY)</t>
  </si>
  <si>
    <t>Date of issue (DD-MMM-YYYY)</t>
  </si>
  <si>
    <t>Date of issue(DD-MMM-YYYY)</t>
  </si>
  <si>
    <r>
      <t xml:space="preserve">For de facto, engaged &amp; married please provide the date when relationship began </t>
    </r>
    <r>
      <rPr>
        <sz val="8"/>
        <color rgb="FF5F636A"/>
        <rFont val="Open Sans"/>
        <family val="2"/>
      </rPr>
      <t>(DD-MMM-YYYY)</t>
    </r>
  </si>
  <si>
    <t>Date of birth (DD-MMM-YYYY)</t>
  </si>
  <si>
    <t>Date of issue  (DD-MMM-YYYY)</t>
  </si>
  <si>
    <t>Date from (DD-MMM-YYYY)</t>
  </si>
  <si>
    <r>
      <rPr>
        <sz val="9"/>
        <color rgb="FF5F636A"/>
        <rFont val="Open Sans"/>
        <family val="2"/>
      </rPr>
      <t xml:space="preserve">Date to (DD-MMM-YYYY)
</t>
    </r>
    <r>
      <rPr>
        <i/>
        <sz val="9"/>
        <color rgb="FF5F636A"/>
        <rFont val="Open Sans"/>
        <family val="2"/>
      </rPr>
      <t>(this may be left blank if this address is current)</t>
    </r>
  </si>
  <si>
    <r>
      <t xml:space="preserve">Date to  (DD-MMM-YYYY)
</t>
    </r>
    <r>
      <rPr>
        <i/>
        <sz val="9"/>
        <color rgb="FF5F636A"/>
        <rFont val="Open Sans"/>
        <family val="2"/>
      </rPr>
      <t>(this may be left blank if this address is current)</t>
    </r>
  </si>
  <si>
    <t>Date to (DD-MMM-YYYY)</t>
  </si>
  <si>
    <t>Date of test (DD-MMM-YYYY)</t>
  </si>
  <si>
    <t>Date assessment commenced (DD-MMM-YYYY)</t>
  </si>
  <si>
    <t>Date assessment completed(DD-MMM-YYYY)</t>
  </si>
  <si>
    <t>Overall band score</t>
  </si>
  <si>
    <t>You declare that you have been working in a similar position for at least 2 years.</t>
  </si>
  <si>
    <t>Provide details of your employment history for the past 5 years.</t>
  </si>
  <si>
    <t>Language Skills</t>
  </si>
  <si>
    <t>GES_IndividualQuestionaire.xlsm</t>
  </si>
  <si>
    <t>As an applicant, I understand that if my visa ceases to be in effect and I do not hold another visa to remain in Australia at that time, I will be an unlawful non-citizen under the Migration Act 1958. As such, I will be expected to depart from Australia, and be subject to removal under the Migration Act 1958.</t>
  </si>
  <si>
    <t>I give consent for the Department of Home Affairs to the collection of the fingertips and facial images of each accompanying person aged under 16 years.</t>
  </si>
  <si>
    <t>Is the family member over 5 years of age?</t>
  </si>
  <si>
    <t>ACCOMPANYING_CHILD1_PASSPORT_DETAILS_OVER_FIVE_YEARS_OF_AGE</t>
  </si>
  <si>
    <t>Does the family member have a current passport?</t>
  </si>
  <si>
    <t>ACCOMPANYING_CHILD1_PASSPORT_DETAILS_CURRENT_PASSPORT</t>
  </si>
  <si>
    <t>Offence details</t>
  </si>
  <si>
    <t>Name</t>
  </si>
  <si>
    <t>Offence type</t>
  </si>
  <si>
    <t>Description of offence</t>
  </si>
  <si>
    <t>CHARACTER_DECLARATIONS_ANY_OFFENCE_AWAITING_NAME</t>
  </si>
  <si>
    <t>CHARACTER_DECLARATIONS_ANY_OFFENCE_AWAITING_OFFENCE_TYPE</t>
  </si>
  <si>
    <t>CHARACTER_DECLARATIONS_ANY_OFFENCE_AWAITING_DATE_OF_OFFENCE</t>
  </si>
  <si>
    <t>Offence Types</t>
  </si>
  <si>
    <t>Armed robbery</t>
  </si>
  <si>
    <t>Assault</t>
  </si>
  <si>
    <t>Child pornography</t>
  </si>
  <si>
    <t>Child sex offences</t>
  </si>
  <si>
    <t>Domestic or family violence</t>
  </si>
  <si>
    <t>Drug offences</t>
  </si>
  <si>
    <t>Fraud, deception, white collar crime</t>
  </si>
  <si>
    <t>Grivous odily harm, reckless injury</t>
  </si>
  <si>
    <t>Kidnapping</t>
  </si>
  <si>
    <t>Manslaughter</t>
  </si>
  <si>
    <t>Murder</t>
  </si>
  <si>
    <t>People smuggling</t>
  </si>
  <si>
    <t>Rape, sexual offences</t>
  </si>
  <si>
    <t>Theft, robbery, break and enter</t>
  </si>
  <si>
    <t>Threat involving weapon use</t>
  </si>
  <si>
    <t>Traffic and driving offences</t>
  </si>
  <si>
    <t>Other offence</t>
  </si>
  <si>
    <t>CHARACTER_DECLARATIONS_ANY_OFFENCE_REMOVED_NAME</t>
  </si>
  <si>
    <t>CHARACTER_DECLARATIONS_ANY_OFFENCE_REMOVED_OFFENCE_TYPE</t>
  </si>
  <si>
    <t>CHARACTER_DECLARATIONS_ANY_OFFENCE_REMOVED_DATE_OF_OFFENCE</t>
  </si>
  <si>
    <t>Date of offence (DD-MMM-YYYY)</t>
  </si>
  <si>
    <t>Has any applicant ever been the subject of a domestic violence or family violence order, or any other order, of a tribunal or court or other similar authority, for the personal protection of another person?</t>
  </si>
  <si>
    <t>Domestic violence order details</t>
  </si>
  <si>
    <t>Date order raised (DD-MMM-YYYY)</t>
  </si>
  <si>
    <t>Give details of domestic violence order</t>
  </si>
  <si>
    <t>CHARACTER_DECLARATIONS_ANY_DOMESTIC_VIOLENCE_NAME</t>
  </si>
  <si>
    <t>CHARACTER_DECLARATIONS_ANY_DOMESTIC_VIOLENCE_DATE_OF_ORDER</t>
  </si>
  <si>
    <t>CHARACTER_DECLARATIONS_ANY_DOMESTIC_VIOLENCE_GIVE_DETAILS</t>
  </si>
  <si>
    <t>CHARACTER_DECLARATIONS_ANY_DOMESTIC_VIOLENCE</t>
  </si>
  <si>
    <t>I understand that if my visa ceases to be in effect and I do not hold another visa to remain in Australia at that time, I will be an unlawful non-citizen under the Migration Act 1958. As such, I will be expected to depart from Australia, and be subject to removal under the Migration Act 1958.</t>
  </si>
  <si>
    <t>Give consent to Australian Criminal Intelligence Commission (ACIC) to access their personal information?</t>
  </si>
  <si>
    <t>DECLARATIONS_SUBJECT_TO_REMOVAL</t>
  </si>
  <si>
    <t>YOUR_DETAILS_NATIONAL_IDENTITY_CARD_GIVE_REASON</t>
  </si>
  <si>
    <t>Give the reason the applicant cannot provide details of a national identity card issued by their country of passport.</t>
  </si>
  <si>
    <t>China Place of Issue</t>
  </si>
  <si>
    <t>ANHUI SHENG</t>
  </si>
  <si>
    <t>BEIJING SHI</t>
  </si>
  <si>
    <t>CHONGQING SHI</t>
  </si>
  <si>
    <t>FUJIAN SHENG</t>
  </si>
  <si>
    <t>GANSU SHENG</t>
  </si>
  <si>
    <t>GUANGDONG SHENG</t>
  </si>
  <si>
    <t>GUANGXI ZHUANGZU ZIZHIQU</t>
  </si>
  <si>
    <t>GUIZHOU SHENG</t>
  </si>
  <si>
    <t>HAINAN SHENG</t>
  </si>
  <si>
    <t>HEBEI SHENG</t>
  </si>
  <si>
    <t>HEILONGJIANG SHENG</t>
  </si>
  <si>
    <t>HENAN SHENG</t>
  </si>
  <si>
    <t>HUBEI SHENG</t>
  </si>
  <si>
    <t>HUNAN SHENG</t>
  </si>
  <si>
    <t>JIANGSU SHENG</t>
  </si>
  <si>
    <t>JILIN SHENG</t>
  </si>
  <si>
    <t>LIAONING SHENG</t>
  </si>
  <si>
    <t>NEI MONGOL ZIZHIQU</t>
  </si>
  <si>
    <t>NINGXIA HUIZI ZIZHIQU</t>
  </si>
  <si>
    <t>QINGHAI SHENG</t>
  </si>
  <si>
    <t>SHAANXI SHENG</t>
  </si>
  <si>
    <t>SHANDONG SHENG</t>
  </si>
  <si>
    <t>SHANGHAI SHI</t>
  </si>
  <si>
    <t>SHANXI SHENG</t>
  </si>
  <si>
    <t>SICHUAN SHENG</t>
  </si>
  <si>
    <t>TIANJIN SHI</t>
  </si>
  <si>
    <t>XINJIANG UYGUR ZIZHIQU</t>
  </si>
  <si>
    <t>XIZANG ZIZHIQU</t>
  </si>
  <si>
    <t>YUNNAN SHENG</t>
  </si>
  <si>
    <t>ZHEJIANG SHENG</t>
  </si>
  <si>
    <t>OTHER</t>
  </si>
  <si>
    <t>OVERSEAS</t>
  </si>
  <si>
    <t>YOUR_DETAILS_PASSPORT_DETAILS_PLACE_OF_ISSUE_CHINA</t>
  </si>
  <si>
    <t>YOUR_PARTNER_PASSPORT_DETAILS_PLACE_OF_ISSUE_CHINA</t>
  </si>
  <si>
    <t>ACCOMPANYING_CHILD1_PASSPORT_DETAILS_PLACE_OF_ISSUE_CHINA</t>
  </si>
  <si>
    <t>YOUR_PARTNER_NATIONAL_IDENTITY_GIVE_REASON</t>
  </si>
  <si>
    <t>ACCOMPANYING_CHILD1_NATIONAL_IDENTITY_GIVE_REASON</t>
  </si>
  <si>
    <t>ACCOMPANYING_CHILD2_PASSPORT_DETAILS_OVER_FIVE_YEARS_OF_AGE</t>
  </si>
  <si>
    <t>ACCOMPANYING_CHILD2_PASSPORT_DETAILS_CURRENT_PASSPORT</t>
  </si>
  <si>
    <t>ACCOMPANYING_CHILD2_PASSPORT_DETAILS_PLACE_OF_ISSUE_CHINA</t>
  </si>
  <si>
    <t>ACCOMPANYING_CHILD2_NATIONAL_IDENTITY_GIVE_REASON</t>
  </si>
  <si>
    <t>ACCOMPANYING_CHILD3_PASSPORT_DETAILS_OVER_FIVE_YEARS_OF_AGE</t>
  </si>
  <si>
    <t>ACCOMPANYING_CHILD3_PASSPORT_DETAILS_CURRENT_PASSPORT</t>
  </si>
  <si>
    <t>ACCOMPANYING_CHILD3_PASSPORT_DETAILS_PLACE_OF_ISSUE_CHINA</t>
  </si>
  <si>
    <t>ACCOMPANYING_CHILD3_NATIONAL_IDENTITY_GIVE_REASON</t>
  </si>
  <si>
    <t>ACCOMPANYING_CHILD4_PASSPORT_DETAILS_OVER_FIVE_YEARS_OF_AGE</t>
  </si>
  <si>
    <t>ACCOMPANYING_CHILD4_PASSPORT_DETAILS_CURRENT_PASSPORT</t>
  </si>
  <si>
    <t>ACCOMPANYING_CHILD4_PASSPORT_DETAILS_PLACE_OF_ISSUE_CHINA</t>
  </si>
  <si>
    <t>ACCOMPANYING_CHILD4_NATIONAL_IDENTITY_GIVE_REASON</t>
  </si>
  <si>
    <t>Please see CV attached.</t>
  </si>
  <si>
    <t>V2.7</t>
  </si>
  <si>
    <t>Anand</t>
  </si>
  <si>
    <t>Animesh</t>
  </si>
  <si>
    <t>K6810177</t>
  </si>
  <si>
    <t>PATNA</t>
  </si>
  <si>
    <t>8269550124458</t>
  </si>
  <si>
    <t>692881822968</t>
  </si>
  <si>
    <t>Bihar</t>
  </si>
  <si>
    <t>Siwan</t>
  </si>
  <si>
    <t>AVNPA3106F</t>
  </si>
  <si>
    <t>australia.visa@tcs.com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</si>
</sst>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 mmm\ yyyy"/>
    <numFmt numFmtId="165" formatCode="###\ ###\ ####"/>
  </numFmts>
  <fonts count="45">
    <font>
      <sz val="10"/>
      <color rgb="FF000000"/>
      <name val="Times New Roman"/>
      <charset val="204"/>
    </font>
    <font>
      <b/>
      <sz val="12"/>
      <color rgb="FF5F636A"/>
      <name val="Open Sans"/>
      <family val="2"/>
    </font>
    <font>
      <sz val="10"/>
      <color rgb="FF000000"/>
      <name val="Open Sans"/>
      <family val="2"/>
    </font>
    <font>
      <sz val="37"/>
      <name val="Open Sans"/>
      <family val="2"/>
    </font>
    <font>
      <b/>
      <sz val="14"/>
      <name val="Open Sans"/>
      <family val="2"/>
    </font>
    <font>
      <b/>
      <sz val="10"/>
      <name val="Open Sans"/>
      <family val="2"/>
    </font>
    <font>
      <sz val="10"/>
      <color rgb="FF5F636A"/>
      <name val="Open Sans"/>
      <family val="2"/>
    </font>
    <font>
      <b/>
      <sz val="12"/>
      <name val="Open Sans"/>
      <family val="2"/>
    </font>
    <font>
      <i/>
      <sz val="9"/>
      <color rgb="FF5F636A"/>
      <name val="Open Sans"/>
      <family val="2"/>
    </font>
    <font>
      <vertAlign val="superscript"/>
      <sz val="9"/>
      <color rgb="FF5F636A"/>
      <name val="Open Sans"/>
      <family val="2"/>
    </font>
    <font>
      <sz val="9"/>
      <color rgb="FF5F636A"/>
      <name val="Open Sans"/>
      <family val="2"/>
    </font>
    <font>
      <b/>
      <sz val="9"/>
      <name val="Open Sans"/>
      <family val="2"/>
    </font>
    <font>
      <sz val="9"/>
      <color rgb="FF000000"/>
      <name val="Open Sans"/>
      <family val="2"/>
    </font>
    <font>
      <sz val="9"/>
      <color rgb="FF000000"/>
      <name val="Times New Roman"/>
      <family val="1"/>
    </font>
    <font>
      <b/>
      <sz val="14"/>
      <color theme="0"/>
      <name val="Open Sans"/>
      <family val="2"/>
    </font>
    <font>
      <sz val="10"/>
      <color rgb="FF000000"/>
      <name val="Times New Roman"/>
      <family val="1"/>
    </font>
    <font>
      <sz val="10"/>
      <color theme="0" tint="-0.249977111117893"/>
      <name val="Times New Roman"/>
      <family val="1"/>
    </font>
    <font>
      <sz val="40"/>
      <color theme="0" tint="-0.249977111117893"/>
      <name val="Open Sans"/>
      <family val="2"/>
    </font>
    <font>
      <sz val="30"/>
      <color theme="0" tint="-0.249977111117893"/>
      <name val="Open Sans"/>
      <family val="2"/>
    </font>
    <font>
      <u/>
      <sz val="10"/>
      <color theme="10"/>
      <name val="Times New Roman"/>
      <family val="1"/>
    </font>
    <font>
      <b/>
      <sz val="10"/>
      <color theme="4"/>
      <name val="Open Sans"/>
      <family val="2"/>
    </font>
    <font>
      <sz val="8.5"/>
      <color rgb="FF5F636A"/>
      <name val="Open Sans"/>
      <family val="2"/>
    </font>
    <font>
      <sz val="10"/>
      <color theme="4"/>
      <name val="Open Sans"/>
      <family val="2"/>
    </font>
    <font>
      <sz val="10"/>
      <name val="Open Sans"/>
      <family val="2"/>
    </font>
    <font>
      <i/>
      <sz val="9"/>
      <color theme="4"/>
      <name val="Open Sans"/>
      <family val="2"/>
    </font>
    <font>
      <sz val="9"/>
      <name val="Open Sans"/>
      <family val="2"/>
    </font>
    <font>
      <sz val="9"/>
      <color theme="4"/>
      <name val="Open Sans"/>
      <family val="2"/>
    </font>
    <font>
      <b/>
      <sz val="14"/>
      <color theme="4"/>
      <name val="Open Sans"/>
      <family val="2"/>
    </font>
    <font>
      <b/>
      <sz val="10"/>
      <color rgb="FF000000"/>
      <name val="Open Sans"/>
      <family val="2"/>
    </font>
    <font>
      <sz val="9"/>
      <color theme="0" tint="-0.499984740745262"/>
      <name val="Open Sans"/>
      <family val="2"/>
    </font>
    <font>
      <sz val="10"/>
      <color rgb="FFFF0000"/>
      <name val="Times New Roman"/>
      <family val="1"/>
    </font>
    <font>
      <sz val="9"/>
      <color rgb="FFFF0000"/>
      <name val="Open Sans"/>
      <family val="2"/>
    </font>
    <font>
      <sz val="9"/>
      <color rgb="FFFF0000"/>
      <name val="Times New Roman"/>
      <family val="1"/>
    </font>
    <font>
      <u/>
      <sz val="10"/>
      <color theme="4"/>
      <name val="Open Sans"/>
      <family val="2"/>
    </font>
    <font>
      <b/>
      <sz val="12"/>
      <color theme="4"/>
      <name val="Open Sans"/>
      <family val="2"/>
    </font>
    <font>
      <sz val="10"/>
      <color rgb="FFFF0000"/>
      <name val="Open Sans"/>
      <family val="2"/>
    </font>
    <font>
      <sz val="10"/>
      <color rgb="FF92D050"/>
      <name val="Open Sans"/>
      <family val="2"/>
    </font>
    <font>
      <b/>
      <sz val="11"/>
      <color theme="4"/>
      <name val="Open Sans"/>
      <family val="2"/>
    </font>
    <font>
      <b/>
      <i/>
      <sz val="10"/>
      <color theme="4"/>
      <name val="Open Sans"/>
      <family val="2"/>
    </font>
    <font>
      <b/>
      <sz val="10"/>
      <color rgb="FF000000"/>
      <name val="Open Sans"/>
      <family val="2"/>
    </font>
    <font>
      <sz val="8"/>
      <color rgb="FF5F636A"/>
      <name val="Open Sans"/>
      <family val="2"/>
    </font>
    <font>
      <sz val="10"/>
      <color theme="0"/>
      <name val="Times New Roman"/>
      <family val="1"/>
    </font>
    <font>
      <b/>
      <i/>
      <sz val="9"/>
      <color theme="4"/>
      <name val="Open Sans"/>
      <family val="2"/>
    </font>
    <font>
      <sz val="9"/>
      <color rgb="FF000000"/>
      <name val="Open Sans"/>
    </font>
    <font>
      <sz val="9"/>
      <color rgb="FF5F636A"/>
      <name val="Open Sans"/>
    </font>
  </fonts>
  <fills count="12">
    <fill>
      <patternFill patternType="none"/>
    </fill>
    <fill>
      <patternFill patternType="gray125"/>
    </fill>
    <fill>
      <patternFill patternType="solid">
        <fgColor theme="4" tint="0.79998168889431442"/>
        <bgColor indexed="64"/>
      </patternFill>
    </fill>
    <fill>
      <patternFill patternType="solid">
        <fgColor theme="4"/>
        <bgColor indexed="64"/>
      </patternFill>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bgColor indexed="64"/>
      </patternFill>
    </fill>
    <fill>
      <patternFill patternType="solid">
        <fgColor rgb="FFFFC000"/>
        <bgColor indexed="64"/>
      </patternFill>
    </fill>
  </fills>
  <borders count="36">
    <border>
      <left/>
      <right/>
      <top/>
      <bottom/>
      <diagonal/>
    </border>
    <border>
      <left style="thin">
        <color rgb="FF5F636A"/>
      </left>
      <right style="thin">
        <color rgb="FF5F636A"/>
      </right>
      <top style="thin">
        <color rgb="FF5F636A"/>
      </top>
      <bottom style="thin">
        <color rgb="FF5F636A"/>
      </bottom>
      <diagonal/>
    </border>
    <border>
      <left style="thin">
        <color rgb="FF5F636A"/>
      </left>
      <right/>
      <top style="thin">
        <color rgb="FF5F636A"/>
      </top>
      <bottom style="thin">
        <color rgb="FF5F636A"/>
      </bottom>
      <diagonal/>
    </border>
    <border>
      <left style="thin">
        <color rgb="FF5F636A"/>
      </left>
      <right style="thin">
        <color rgb="FF5F636A"/>
      </right>
      <top style="thin">
        <color rgb="FF5F636A"/>
      </top>
      <bottom/>
      <diagonal/>
    </border>
    <border>
      <left style="thin">
        <color rgb="FF5F636A"/>
      </left>
      <right/>
      <top/>
      <bottom style="thin">
        <color rgb="FF5F636A"/>
      </bottom>
      <diagonal/>
    </border>
    <border>
      <left style="thin">
        <color rgb="FF5F636A"/>
      </left>
      <right/>
      <top style="thin">
        <color rgb="FF5F636A"/>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rgb="FF5F636A"/>
      </right>
      <top style="thin">
        <color indexed="64"/>
      </top>
      <bottom style="thin">
        <color indexed="64"/>
      </bottom>
      <diagonal/>
    </border>
    <border>
      <left style="thin">
        <color indexed="64"/>
      </left>
      <right style="thin">
        <color rgb="FF5F636A"/>
      </right>
      <top style="thin">
        <color indexed="64"/>
      </top>
      <bottom style="thin">
        <color rgb="FF5F636A"/>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rgb="FF5F636A"/>
      </left>
      <right/>
      <top/>
      <bottom/>
      <diagonal/>
    </border>
    <border>
      <left/>
      <right/>
      <top style="thin">
        <color indexed="64"/>
      </top>
      <bottom style="thin">
        <color indexed="64"/>
      </bottom>
      <diagonal/>
    </border>
    <border>
      <left/>
      <right/>
      <top/>
      <bottom style="thin">
        <color indexed="64"/>
      </bottom>
      <diagonal/>
    </border>
    <border>
      <left style="thin">
        <color rgb="FF5F636A"/>
      </left>
      <right/>
      <top style="thin">
        <color indexed="64"/>
      </top>
      <bottom/>
      <diagonal/>
    </border>
    <border>
      <left style="thin">
        <color indexed="64"/>
      </left>
      <right style="thin">
        <color rgb="FF5F636A"/>
      </right>
      <top style="thin">
        <color rgb="FF5F636A"/>
      </top>
      <bottom style="thin">
        <color rgb="FF5F636A"/>
      </bottom>
      <diagonal/>
    </border>
    <border>
      <left style="thin">
        <color indexed="64"/>
      </left>
      <right/>
      <top style="thin">
        <color rgb="FF5F636A"/>
      </top>
      <bottom style="thin">
        <color rgb="FF5F636A"/>
      </bottom>
      <diagonal/>
    </border>
    <border>
      <left style="thin">
        <color indexed="64"/>
      </left>
      <right/>
      <top style="thin">
        <color rgb="FF5F636A"/>
      </top>
      <bottom/>
      <diagonal/>
    </border>
    <border>
      <left style="thin">
        <color indexed="64"/>
      </left>
      <right/>
      <top style="thin">
        <color rgb="FF5F636A"/>
      </top>
      <bottom style="thin">
        <color indexed="64"/>
      </bottom>
      <diagonal/>
    </border>
    <border>
      <left style="thin">
        <color rgb="FF5F636A"/>
      </left>
      <right/>
      <top style="thin">
        <color indexed="64"/>
      </top>
      <bottom style="thin">
        <color indexed="64"/>
      </bottom>
      <diagonal/>
    </border>
    <border>
      <left style="thin">
        <color rgb="FF5F636A"/>
      </left>
      <right style="thin">
        <color rgb="FF5F636A"/>
      </right>
      <top/>
      <bottom style="thin">
        <color rgb="FF5F636A"/>
      </bottom>
      <diagonal/>
    </border>
    <border>
      <left/>
      <right style="thin">
        <color rgb="FF5F636A"/>
      </right>
      <top style="thin">
        <color indexed="64"/>
      </top>
      <bottom style="thin">
        <color indexed="64"/>
      </bottom>
      <diagonal/>
    </border>
    <border>
      <left style="thin">
        <color rgb="FF5F636A"/>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rgb="FF5F636A"/>
      </left>
      <right style="thin">
        <color rgb="FF5F636A"/>
      </right>
      <top/>
      <bottom/>
      <diagonal/>
    </border>
    <border>
      <left style="thin">
        <color rgb="FF5F636A"/>
      </left>
      <right style="thin">
        <color indexed="64"/>
      </right>
      <top style="thin">
        <color indexed="64"/>
      </top>
      <bottom style="thin">
        <color indexed="64"/>
      </bottom>
      <diagonal/>
    </border>
    <border>
      <left/>
      <right/>
      <top/>
      <bottom style="thin">
        <color theme="0" tint="-0.249977111117893"/>
      </bottom>
      <diagonal/>
    </border>
    <border>
      <left style="thin">
        <color indexed="64"/>
      </left>
      <right style="thin">
        <color indexed="64"/>
      </right>
      <top/>
      <bottom/>
      <diagonal/>
    </border>
  </borders>
  <cellStyleXfs count="2">
    <xf numFmtId="0" fontId="0" fillId="0" borderId="0"/>
    <xf numFmtId="0" fontId="19" fillId="0" borderId="0" applyNumberFormat="0" applyFill="0" applyBorder="0" applyAlignment="0" applyProtection="0"/>
  </cellStyleXfs>
  <cellXfs count="368">
    <xf numFmtId="0" fontId="0" fillId="0" borderId="0" xfId="0" applyFill="1" applyBorder="1" applyAlignment="1">
      <alignment horizontal="left" vertical="top"/>
    </xf>
    <xf numFmtId="0" fontId="2" fillId="0" borderId="0" xfId="0" applyFont="1" applyFill="1" applyBorder="1" applyAlignment="1">
      <alignment horizontal="left" vertical="top"/>
    </xf>
    <xf numFmtId="0" fontId="12" fillId="0" borderId="0" xfId="0" applyFont="1" applyFill="1" applyBorder="1" applyAlignment="1">
      <alignment horizontal="left" vertical="center" wrapText="1"/>
    </xf>
    <xf numFmtId="0" fontId="4" fillId="0" borderId="0" xfId="0" applyFont="1" applyFill="1" applyBorder="1" applyAlignment="1">
      <alignment horizontal="left" vertical="top" wrapText="1"/>
    </xf>
    <xf numFmtId="0" fontId="0" fillId="0" borderId="0" xfId="0" applyFill="1" applyBorder="1" applyAlignment="1">
      <alignment horizontal="left" vertical="center"/>
    </xf>
    <xf numFmtId="0" fontId="4" fillId="0" borderId="0" xfId="0" applyFont="1" applyFill="1" applyBorder="1" applyAlignment="1">
      <alignment horizontal="left" vertical="center" wrapText="1"/>
    </xf>
    <xf numFmtId="0" fontId="13" fillId="0" borderId="0" xfId="0" applyFont="1" applyFill="1" applyBorder="1" applyAlignment="1">
      <alignment horizontal="left" vertical="center"/>
    </xf>
    <xf numFmtId="0" fontId="11" fillId="0" borderId="1" xfId="0" applyFont="1" applyFill="1" applyBorder="1" applyAlignment="1">
      <alignment horizontal="left" vertical="center" wrapText="1" indent="2"/>
    </xf>
    <xf numFmtId="0" fontId="11" fillId="0" borderId="3" xfId="0" applyFont="1" applyFill="1" applyBorder="1" applyAlignment="1">
      <alignment horizontal="left" vertical="center" wrapText="1" indent="2"/>
    </xf>
    <xf numFmtId="0" fontId="11" fillId="0" borderId="0" xfId="0" applyFont="1" applyFill="1" applyBorder="1" applyAlignment="1">
      <alignment horizontal="left" vertical="center" wrapText="1" indent="2"/>
    </xf>
    <xf numFmtId="0" fontId="12" fillId="0" borderId="0" xfId="0" applyFont="1" applyFill="1" applyBorder="1" applyAlignment="1">
      <alignment horizontal="left" vertical="center" wrapText="1" indent="2"/>
    </xf>
    <xf numFmtId="0" fontId="11" fillId="0" borderId="9" xfId="0" applyFont="1" applyFill="1" applyBorder="1" applyAlignment="1">
      <alignment horizontal="left" vertical="center" wrapText="1" indent="2"/>
    </xf>
    <xf numFmtId="0" fontId="11" fillId="0" borderId="10" xfId="0" applyFont="1" applyFill="1" applyBorder="1" applyAlignment="1">
      <alignment horizontal="left" vertical="center" wrapText="1" indent="2"/>
    </xf>
    <xf numFmtId="0" fontId="12" fillId="0" borderId="9" xfId="0" applyFont="1" applyFill="1" applyBorder="1" applyAlignment="1">
      <alignment horizontal="left" vertical="center" wrapText="1" indent="2"/>
    </xf>
    <xf numFmtId="0" fontId="12" fillId="0" borderId="0" xfId="0" applyFont="1" applyFill="1" applyBorder="1" applyAlignment="1">
      <alignment horizontal="center" vertical="center" wrapText="1"/>
    </xf>
    <xf numFmtId="0" fontId="17" fillId="0" borderId="0" xfId="0" applyFont="1" applyFill="1" applyBorder="1" applyAlignment="1">
      <alignment vertical="center"/>
    </xf>
    <xf numFmtId="0" fontId="20" fillId="0" borderId="0" xfId="1" applyFont="1" applyFill="1" applyBorder="1" applyAlignment="1">
      <alignment vertical="center" wrapText="1"/>
    </xf>
    <xf numFmtId="0" fontId="5" fillId="0" borderId="2" xfId="0" applyFont="1" applyFill="1" applyBorder="1" applyAlignment="1">
      <alignment horizontal="left" vertical="center" wrapText="1" indent="2"/>
    </xf>
    <xf numFmtId="0" fontId="5" fillId="0" borderId="4" xfId="0" applyFont="1" applyFill="1" applyBorder="1" applyAlignment="1">
      <alignment horizontal="left" vertical="center" wrapText="1" indent="2"/>
    </xf>
    <xf numFmtId="0" fontId="12" fillId="0" borderId="0" xfId="0" applyFont="1" applyFill="1" applyBorder="1" applyAlignment="1">
      <alignment horizontal="center" vertical="center" wrapText="1"/>
    </xf>
    <xf numFmtId="0" fontId="11" fillId="0" borderId="22" xfId="0" applyFont="1" applyFill="1" applyBorder="1" applyAlignment="1">
      <alignment horizontal="left" vertical="center" wrapText="1" indent="2"/>
    </xf>
    <xf numFmtId="0" fontId="11" fillId="0" borderId="23" xfId="0" applyFont="1" applyFill="1" applyBorder="1" applyAlignment="1">
      <alignment horizontal="left" vertical="center" wrapText="1" indent="2"/>
    </xf>
    <xf numFmtId="0" fontId="11" fillId="0" borderId="25" xfId="0" applyFont="1" applyFill="1" applyBorder="1" applyAlignment="1">
      <alignment horizontal="left" vertical="center" wrapText="1" indent="2"/>
    </xf>
    <xf numFmtId="0" fontId="11" fillId="0" borderId="6" xfId="0" applyFont="1" applyFill="1" applyBorder="1" applyAlignment="1">
      <alignment horizontal="left" vertical="center" wrapText="1" indent="2"/>
    </xf>
    <xf numFmtId="0" fontId="3" fillId="0" borderId="0" xfId="0" applyFont="1" applyFill="1" applyBorder="1" applyAlignment="1">
      <alignment vertical="top"/>
    </xf>
    <xf numFmtId="0" fontId="11" fillId="0" borderId="2" xfId="0" applyFont="1" applyFill="1" applyBorder="1" applyAlignment="1">
      <alignment horizontal="left" vertical="center" wrapText="1" indent="2"/>
    </xf>
    <xf numFmtId="0" fontId="12" fillId="0" borderId="1" xfId="0" applyFont="1" applyFill="1" applyBorder="1" applyAlignment="1">
      <alignment horizontal="left" vertical="center" wrapText="1" indent="2"/>
    </xf>
    <xf numFmtId="0" fontId="12" fillId="0" borderId="19" xfId="0" applyFont="1" applyFill="1" applyBorder="1" applyAlignment="1">
      <alignment horizontal="left" vertical="center" wrapText="1"/>
    </xf>
    <xf numFmtId="0" fontId="12" fillId="0" borderId="8" xfId="0" applyFont="1" applyFill="1" applyBorder="1" applyAlignment="1">
      <alignment horizontal="left" vertical="center" wrapText="1"/>
    </xf>
    <xf numFmtId="0" fontId="12" fillId="0" borderId="7" xfId="0" applyFont="1" applyFill="1" applyBorder="1" applyAlignment="1">
      <alignment horizontal="left" vertical="center" wrapText="1"/>
    </xf>
    <xf numFmtId="0" fontId="10" fillId="0" borderId="2" xfId="0" applyFont="1" applyFill="1" applyBorder="1" applyAlignment="1">
      <alignment horizontal="left" vertical="center" wrapText="1" indent="2"/>
    </xf>
    <xf numFmtId="0" fontId="10" fillId="0" borderId="1" xfId="0" applyFont="1" applyFill="1" applyBorder="1" applyAlignment="1">
      <alignment horizontal="left" vertical="center" wrapText="1" indent="2"/>
    </xf>
    <xf numFmtId="0" fontId="2" fillId="0" borderId="0" xfId="0" applyFont="1" applyFill="1" applyBorder="1" applyAlignment="1">
      <alignment horizontal="left" vertical="center"/>
    </xf>
    <xf numFmtId="0" fontId="15" fillId="0" borderId="0" xfId="0" applyFont="1" applyFill="1" applyBorder="1" applyAlignment="1">
      <alignment horizontal="left" vertical="center"/>
    </xf>
    <xf numFmtId="0" fontId="12" fillId="0" borderId="0" xfId="0" applyFont="1" applyFill="1" applyBorder="1" applyAlignment="1">
      <alignment horizontal="left" vertical="center"/>
    </xf>
    <xf numFmtId="0" fontId="25" fillId="0" borderId="1" xfId="0" applyFont="1" applyFill="1" applyBorder="1" applyAlignment="1">
      <alignment horizontal="left" vertical="center" wrapText="1" indent="2"/>
    </xf>
    <xf numFmtId="0" fontId="25" fillId="0" borderId="27" xfId="0" applyFont="1" applyFill="1" applyBorder="1" applyAlignment="1">
      <alignment horizontal="left" vertical="center" wrapText="1" indent="2"/>
    </xf>
    <xf numFmtId="0" fontId="12" fillId="0" borderId="2" xfId="0" applyFont="1" applyFill="1" applyBorder="1" applyAlignment="1">
      <alignment horizontal="left" vertical="center" wrapText="1" indent="2"/>
    </xf>
    <xf numFmtId="0" fontId="10" fillId="0" borderId="6" xfId="0" applyFont="1" applyFill="1" applyBorder="1" applyAlignment="1">
      <alignment horizontal="left" vertical="center" wrapText="1" indent="2"/>
    </xf>
    <xf numFmtId="0" fontId="12" fillId="0" borderId="0" xfId="0" applyFont="1" applyFill="1" applyBorder="1" applyAlignment="1">
      <alignment horizontal="left" vertical="center" indent="2"/>
    </xf>
    <xf numFmtId="0" fontId="26" fillId="0" borderId="0" xfId="0" applyFont="1" applyFill="1" applyBorder="1" applyAlignment="1">
      <alignment horizontal="left" vertical="center" wrapText="1"/>
    </xf>
    <xf numFmtId="0" fontId="10" fillId="0" borderId="0" xfId="0" applyFont="1" applyFill="1" applyBorder="1" applyAlignment="1">
      <alignment horizontal="center" vertical="center" wrapText="1"/>
    </xf>
    <xf numFmtId="0" fontId="2" fillId="4" borderId="0" xfId="0" applyFont="1" applyFill="1" applyBorder="1" applyAlignment="1">
      <alignment horizontal="left" vertical="top"/>
    </xf>
    <xf numFmtId="0" fontId="6" fillId="0" borderId="2" xfId="0" applyFont="1" applyFill="1" applyBorder="1" applyAlignment="1">
      <alignment horizontal="left" vertical="top" wrapText="1" indent="2"/>
    </xf>
    <xf numFmtId="49" fontId="10" fillId="0" borderId="9" xfId="0" applyNumberFormat="1" applyFont="1" applyFill="1" applyBorder="1" applyAlignment="1">
      <alignment horizontal="left" vertical="center" wrapText="1" indent="2"/>
    </xf>
    <xf numFmtId="0" fontId="20" fillId="0" borderId="0" xfId="1" applyFont="1" applyFill="1" applyBorder="1" applyAlignment="1">
      <alignment wrapText="1"/>
    </xf>
    <xf numFmtId="0" fontId="0" fillId="0" borderId="0" xfId="0" applyFill="1" applyBorder="1" applyAlignment="1">
      <alignment horizontal="left" vertical="top" wrapText="1"/>
    </xf>
    <xf numFmtId="0" fontId="23" fillId="0" borderId="0" xfId="0" applyFont="1" applyFill="1" applyBorder="1" applyAlignment="1">
      <alignment horizontal="left" vertical="center" wrapText="1" indent="2"/>
    </xf>
    <xf numFmtId="0" fontId="11" fillId="0" borderId="27" xfId="0" applyFont="1" applyFill="1" applyBorder="1" applyAlignment="1">
      <alignment horizontal="left" vertical="center" wrapText="1" indent="2"/>
    </xf>
    <xf numFmtId="0" fontId="0" fillId="0" borderId="0" xfId="0" applyFill="1" applyBorder="1" applyAlignment="1">
      <alignment vertical="top"/>
    </xf>
    <xf numFmtId="0" fontId="23" fillId="0" borderId="0" xfId="0" applyFont="1" applyFill="1" applyBorder="1" applyAlignment="1">
      <alignment vertical="center" wrapText="1"/>
    </xf>
    <xf numFmtId="0" fontId="0" fillId="0" borderId="0" xfId="0" applyFill="1" applyBorder="1" applyAlignment="1">
      <alignment vertical="top" wrapText="1"/>
    </xf>
    <xf numFmtId="0" fontId="2" fillId="0" borderId="0" xfId="0" applyFont="1"/>
    <xf numFmtId="0" fontId="28" fillId="0" borderId="0" xfId="0" applyFont="1" applyFill="1" applyBorder="1" applyAlignment="1">
      <alignment horizontal="left" vertical="top"/>
    </xf>
    <xf numFmtId="0" fontId="6" fillId="0" borderId="7" xfId="0" applyFont="1" applyFill="1" applyBorder="1" applyAlignment="1">
      <alignment horizontal="left" vertical="center" wrapText="1" indent="2"/>
    </xf>
    <xf numFmtId="0" fontId="0" fillId="0" borderId="0" xfId="0" applyFill="1" applyBorder="1" applyAlignment="1">
      <alignment horizontal="left" vertical="top"/>
    </xf>
    <xf numFmtId="0" fontId="12" fillId="0" borderId="0" xfId="0" applyFont="1" applyFill="1" applyBorder="1" applyAlignment="1">
      <alignment horizontal="left" vertical="center" wrapText="1"/>
    </xf>
    <xf numFmtId="0" fontId="13" fillId="0" borderId="0" xfId="0" applyFont="1" applyFill="1" applyBorder="1" applyAlignment="1">
      <alignment vertical="center"/>
    </xf>
    <xf numFmtId="0" fontId="13" fillId="0" borderId="0" xfId="0" applyFont="1" applyFill="1" applyBorder="1" applyAlignment="1">
      <alignment horizontal="left" vertical="center" wrapText="1"/>
    </xf>
    <xf numFmtId="0" fontId="10" fillId="0" borderId="27" xfId="0" applyFont="1" applyFill="1" applyBorder="1" applyAlignment="1">
      <alignment horizontal="left" vertical="center" wrapText="1" indent="2"/>
    </xf>
    <xf numFmtId="0" fontId="10" fillId="0" borderId="0" xfId="0" applyFont="1" applyFill="1" applyBorder="1" applyAlignment="1">
      <alignment vertical="center" wrapText="1"/>
    </xf>
    <xf numFmtId="0" fontId="29" fillId="0" borderId="1" xfId="0" applyFont="1" applyFill="1" applyBorder="1" applyAlignment="1">
      <alignment horizontal="left" vertical="center" wrapText="1" indent="2"/>
    </xf>
    <xf numFmtId="0" fontId="12" fillId="0" borderId="7" xfId="0" applyFont="1" applyFill="1" applyBorder="1" applyAlignment="1">
      <alignment horizontal="left" vertical="center" wrapText="1"/>
    </xf>
    <xf numFmtId="0" fontId="12" fillId="0" borderId="19" xfId="0" applyFont="1" applyFill="1" applyBorder="1" applyAlignment="1">
      <alignment horizontal="left" vertical="center" wrapText="1"/>
    </xf>
    <xf numFmtId="0" fontId="12" fillId="0" borderId="8" xfId="0" applyFont="1" applyFill="1" applyBorder="1" applyAlignment="1">
      <alignment horizontal="left" vertical="center" wrapText="1"/>
    </xf>
    <xf numFmtId="0" fontId="12" fillId="0" borderId="0" xfId="0" applyFont="1" applyFill="1" applyBorder="1" applyAlignment="1">
      <alignment horizontal="left" vertical="center" wrapText="1"/>
    </xf>
    <xf numFmtId="0" fontId="11" fillId="0" borderId="0" xfId="0" applyFont="1" applyFill="1" applyBorder="1" applyAlignment="1">
      <alignment horizontal="left" vertical="center" wrapText="1" indent="2"/>
    </xf>
    <xf numFmtId="22" fontId="2" fillId="0" borderId="0" xfId="0" applyNumberFormat="1" applyFont="1" applyFill="1" applyBorder="1" applyAlignment="1">
      <alignment horizontal="left" vertical="center"/>
    </xf>
    <xf numFmtId="0" fontId="0" fillId="3" borderId="0" xfId="0" applyFill="1" applyBorder="1" applyAlignment="1">
      <alignment horizontal="left" vertical="center"/>
    </xf>
    <xf numFmtId="0" fontId="2" fillId="3" borderId="0" xfId="0" applyFont="1" applyFill="1" applyBorder="1" applyAlignment="1">
      <alignment horizontal="left" vertical="top"/>
    </xf>
    <xf numFmtId="0" fontId="2" fillId="3" borderId="0" xfId="0" applyFont="1" applyFill="1" applyBorder="1" applyAlignment="1">
      <alignment horizontal="left" vertical="center"/>
    </xf>
    <xf numFmtId="0" fontId="0" fillId="3" borderId="0" xfId="0" applyFill="1" applyBorder="1" applyAlignment="1">
      <alignment horizontal="left" vertical="top"/>
    </xf>
    <xf numFmtId="0" fontId="30" fillId="0" borderId="0" xfId="0" applyFont="1" applyFill="1" applyBorder="1" applyAlignment="1">
      <alignment horizontal="left" vertical="top"/>
    </xf>
    <xf numFmtId="0" fontId="31" fillId="0" borderId="0" xfId="0" applyFont="1" applyFill="1" applyBorder="1" applyAlignment="1">
      <alignment horizontal="center" vertical="center"/>
    </xf>
    <xf numFmtId="0" fontId="30" fillId="0" borderId="0" xfId="0" applyFont="1" applyFill="1" applyBorder="1" applyAlignment="1">
      <alignment horizontal="center" vertical="center"/>
    </xf>
    <xf numFmtId="0" fontId="32" fillId="0" borderId="0" xfId="0" applyFont="1" applyFill="1" applyBorder="1" applyAlignment="1">
      <alignment horizontal="left" vertical="center"/>
    </xf>
    <xf numFmtId="0" fontId="10" fillId="0" borderId="32" xfId="0" applyFont="1" applyFill="1" applyBorder="1" applyAlignment="1">
      <alignment horizontal="left" vertical="center" wrapText="1" indent="2"/>
    </xf>
    <xf numFmtId="0" fontId="11" fillId="0" borderId="33" xfId="0" applyFont="1" applyFill="1" applyBorder="1" applyAlignment="1">
      <alignment horizontal="left" vertical="center" wrapText="1" indent="2"/>
    </xf>
    <xf numFmtId="0" fontId="2" fillId="0" borderId="0" xfId="0" applyFont="1" applyFill="1" applyBorder="1" applyAlignment="1">
      <alignment horizontal="left"/>
    </xf>
    <xf numFmtId="0" fontId="0" fillId="0" borderId="0" xfId="0" applyFill="1" applyBorder="1" applyAlignment="1">
      <alignment horizontal="left"/>
    </xf>
    <xf numFmtId="0" fontId="16" fillId="0" borderId="0" xfId="0" applyFont="1" applyFill="1" applyBorder="1" applyAlignment="1">
      <alignment vertical="center"/>
    </xf>
    <xf numFmtId="0" fontId="23" fillId="0" borderId="0" xfId="0" applyFont="1" applyFill="1" applyBorder="1" applyAlignment="1">
      <alignment horizontal="left" vertical="center" wrapText="1" indent="2"/>
    </xf>
    <xf numFmtId="0" fontId="12" fillId="0" borderId="0" xfId="0" applyFont="1" applyFill="1" applyBorder="1" applyAlignment="1">
      <alignment horizontal="left" vertical="center" wrapText="1"/>
    </xf>
    <xf numFmtId="0" fontId="11" fillId="0" borderId="0" xfId="0" applyFont="1" applyFill="1" applyBorder="1" applyAlignment="1">
      <alignment horizontal="left" vertical="center" wrapText="1" indent="2"/>
    </xf>
    <xf numFmtId="0" fontId="33" fillId="0" borderId="34" xfId="1" applyFont="1" applyFill="1" applyBorder="1" applyAlignment="1">
      <alignment horizontal="left" vertical="center" wrapText="1" indent="2"/>
    </xf>
    <xf numFmtId="0" fontId="33" fillId="0" borderId="34" xfId="1" applyFont="1" applyFill="1" applyBorder="1" applyAlignment="1">
      <alignment horizontal="left" vertical="center" indent="2"/>
    </xf>
    <xf numFmtId="0" fontId="20" fillId="0" borderId="0" xfId="1" applyFont="1" applyFill="1" applyBorder="1" applyAlignment="1">
      <alignment horizontal="right" wrapText="1"/>
    </xf>
    <xf numFmtId="0" fontId="20" fillId="0" borderId="0" xfId="1" applyFont="1" applyFill="1" applyBorder="1" applyAlignment="1">
      <alignment horizontal="right" vertical="center" wrapText="1"/>
    </xf>
    <xf numFmtId="0" fontId="20" fillId="0" borderId="0" xfId="1" applyFont="1" applyFill="1" applyBorder="1" applyAlignment="1">
      <alignment horizontal="right" vertical="center" wrapText="1"/>
    </xf>
    <xf numFmtId="0" fontId="12" fillId="0" borderId="7" xfId="0" applyFont="1" applyFill="1" applyBorder="1" applyAlignment="1">
      <alignment vertical="center" wrapText="1"/>
    </xf>
    <xf numFmtId="0" fontId="12" fillId="0" borderId="19" xfId="0" applyFont="1" applyFill="1" applyBorder="1" applyAlignment="1">
      <alignment vertical="center" wrapText="1"/>
    </xf>
    <xf numFmtId="0" fontId="12" fillId="0" borderId="8" xfId="0" applyFont="1" applyFill="1" applyBorder="1" applyAlignment="1">
      <alignment vertical="center" wrapText="1"/>
    </xf>
    <xf numFmtId="0" fontId="12" fillId="0" borderId="7" xfId="0" applyFont="1" applyFill="1" applyBorder="1" applyAlignment="1">
      <alignment horizontal="left" vertical="center" wrapText="1"/>
    </xf>
    <xf numFmtId="0" fontId="12" fillId="0" borderId="19" xfId="0" applyFont="1" applyFill="1" applyBorder="1" applyAlignment="1">
      <alignment horizontal="left" vertical="center" wrapText="1"/>
    </xf>
    <xf numFmtId="0" fontId="12" fillId="0" borderId="8" xfId="0" applyFont="1" applyFill="1" applyBorder="1" applyAlignment="1">
      <alignment horizontal="left" vertical="center" wrapText="1"/>
    </xf>
    <xf numFmtId="14" fontId="2" fillId="0" borderId="0" xfId="0" applyNumberFormat="1" applyFont="1" applyFill="1" applyBorder="1" applyAlignment="1">
      <alignment horizontal="left" vertical="top"/>
    </xf>
    <xf numFmtId="0" fontId="12" fillId="0" borderId="7" xfId="0" applyFont="1" applyFill="1" applyBorder="1" applyAlignment="1">
      <alignment horizontal="left" vertical="center" wrapText="1"/>
    </xf>
    <xf numFmtId="0" fontId="12" fillId="0" borderId="19" xfId="0" applyFont="1" applyFill="1" applyBorder="1" applyAlignment="1">
      <alignment horizontal="left" vertical="center" wrapText="1"/>
    </xf>
    <xf numFmtId="0" fontId="12" fillId="0" borderId="8" xfId="0" applyFont="1" applyFill="1" applyBorder="1" applyAlignment="1">
      <alignment horizontal="left" vertical="center" wrapText="1"/>
    </xf>
    <xf numFmtId="0" fontId="12" fillId="0" borderId="0" xfId="0" applyFont="1" applyFill="1" applyBorder="1" applyAlignment="1">
      <alignment horizontal="left" vertical="center" wrapText="1"/>
    </xf>
    <xf numFmtId="0" fontId="2" fillId="6" borderId="0" xfId="0" applyFont="1" applyFill="1" applyBorder="1" applyAlignment="1">
      <alignment horizontal="left" vertical="top"/>
    </xf>
    <xf numFmtId="0" fontId="2" fillId="0" borderId="0" xfId="0" applyNumberFormat="1" applyFont="1"/>
    <xf numFmtId="0" fontId="23" fillId="0" borderId="2" xfId="0" applyFont="1" applyFill="1" applyBorder="1" applyAlignment="1">
      <alignment horizontal="left" vertical="center" wrapText="1" indent="2"/>
    </xf>
    <xf numFmtId="0" fontId="13" fillId="6" borderId="0" xfId="0" applyFont="1" applyFill="1" applyBorder="1" applyAlignment="1">
      <alignment horizontal="left" vertical="center"/>
    </xf>
    <xf numFmtId="0" fontId="0" fillId="0" borderId="0" xfId="0" applyFill="1" applyBorder="1" applyAlignment="1" applyProtection="1">
      <alignment horizontal="left" vertical="center"/>
      <protection locked="0"/>
    </xf>
    <xf numFmtId="0" fontId="13" fillId="0" borderId="0" xfId="0" applyFont="1" applyFill="1" applyBorder="1" applyAlignment="1" applyProtection="1">
      <alignment horizontal="left" vertical="center"/>
      <protection locked="0"/>
    </xf>
    <xf numFmtId="0" fontId="2" fillId="0" borderId="0" xfId="0" applyFont="1" applyFill="1" applyBorder="1" applyAlignment="1" applyProtection="1">
      <alignment horizontal="left" vertical="center"/>
      <protection locked="0"/>
    </xf>
    <xf numFmtId="0" fontId="13" fillId="0" borderId="0" xfId="0" applyFont="1" applyFill="1" applyBorder="1" applyAlignment="1" applyProtection="1">
      <alignment horizontal="left" vertical="center" wrapText="1"/>
      <protection locked="0"/>
    </xf>
    <xf numFmtId="0" fontId="2" fillId="0" borderId="0" xfId="0" applyFont="1" applyFill="1" applyBorder="1" applyAlignment="1" applyProtection="1">
      <alignment horizontal="left" vertical="center" wrapText="1"/>
      <protection locked="0"/>
    </xf>
    <xf numFmtId="0" fontId="12" fillId="0" borderId="0" xfId="0" applyFont="1" applyFill="1" applyBorder="1" applyAlignment="1" applyProtection="1">
      <alignment horizontal="left" vertical="center" wrapText="1"/>
      <protection locked="0"/>
    </xf>
    <xf numFmtId="0" fontId="11" fillId="0" borderId="19" xfId="0" applyFont="1" applyFill="1" applyBorder="1" applyAlignment="1" applyProtection="1">
      <alignment vertical="center" wrapText="1"/>
      <protection locked="0"/>
    </xf>
    <xf numFmtId="0" fontId="11" fillId="0" borderId="8" xfId="0" applyFont="1" applyFill="1" applyBorder="1" applyAlignment="1" applyProtection="1">
      <alignment vertical="center" wrapText="1"/>
      <protection locked="0"/>
    </xf>
    <xf numFmtId="0" fontId="2" fillId="0" borderId="0" xfId="0" applyFont="1" applyFill="1" applyBorder="1" applyAlignment="1" applyProtection="1">
      <alignment horizontal="left" vertical="top"/>
      <protection locked="0"/>
    </xf>
    <xf numFmtId="0" fontId="12" fillId="0" borderId="0" xfId="0" applyFont="1" applyFill="1" applyBorder="1" applyAlignment="1" applyProtection="1">
      <alignment horizontal="left" vertical="center"/>
      <protection locked="0"/>
    </xf>
    <xf numFmtId="0" fontId="2" fillId="5" borderId="0" xfId="0" applyFont="1" applyFill="1" applyBorder="1" applyAlignment="1" applyProtection="1">
      <alignment horizontal="left" vertical="center"/>
      <protection locked="0"/>
    </xf>
    <xf numFmtId="0" fontId="12" fillId="0" borderId="0" xfId="0" applyFont="1" applyFill="1" applyBorder="1" applyAlignment="1" applyProtection="1">
      <alignment horizontal="left" vertical="center" indent="2"/>
      <protection locked="0"/>
    </xf>
    <xf numFmtId="0" fontId="2" fillId="0" borderId="0" xfId="0" quotePrefix="1" applyFont="1" applyFill="1" applyBorder="1" applyAlignment="1">
      <alignment horizontal="left" vertical="top"/>
    </xf>
    <xf numFmtId="14" fontId="2" fillId="0" borderId="0" xfId="0" quotePrefix="1" applyNumberFormat="1" applyFont="1" applyFill="1" applyBorder="1" applyAlignment="1">
      <alignment horizontal="left" vertical="top"/>
    </xf>
    <xf numFmtId="0" fontId="2" fillId="0" borderId="0" xfId="0" applyNumberFormat="1" applyFont="1" applyFill="1" applyBorder="1" applyAlignment="1">
      <alignment horizontal="left" vertical="top"/>
    </xf>
    <xf numFmtId="0" fontId="31" fillId="0" borderId="0" xfId="0" applyFont="1" applyFill="1" applyBorder="1" applyAlignment="1">
      <alignment horizontal="left" vertical="center"/>
    </xf>
    <xf numFmtId="0" fontId="20" fillId="0" borderId="0" xfId="1" applyFont="1" applyFill="1" applyBorder="1" applyAlignment="1">
      <alignment horizontal="left" vertical="center" wrapText="1"/>
    </xf>
    <xf numFmtId="0" fontId="2" fillId="0" borderId="0" xfId="0" applyFont="1" applyFill="1" applyBorder="1" applyAlignment="1">
      <alignment horizontal="center" vertical="center"/>
    </xf>
    <xf numFmtId="0" fontId="2" fillId="0" borderId="0" xfId="0" quotePrefix="1" applyFont="1" applyFill="1" applyBorder="1" applyAlignment="1" applyProtection="1">
      <alignment horizontal="left" vertical="center"/>
      <protection locked="0"/>
    </xf>
    <xf numFmtId="0" fontId="2" fillId="6" borderId="0" xfId="0" applyFont="1" applyFill="1" applyBorder="1" applyAlignment="1" applyProtection="1">
      <alignment horizontal="left" vertical="center"/>
      <protection locked="0"/>
    </xf>
    <xf numFmtId="0" fontId="36" fillId="0" borderId="34" xfId="1" applyFont="1" applyFill="1" applyBorder="1" applyAlignment="1">
      <alignment horizontal="center" vertical="center"/>
    </xf>
    <xf numFmtId="0" fontId="0" fillId="6" borderId="0" xfId="0" applyFill="1" applyBorder="1" applyAlignment="1">
      <alignment horizontal="left" vertical="center"/>
    </xf>
    <xf numFmtId="0" fontId="13" fillId="7" borderId="0" xfId="0" applyFont="1" applyFill="1" applyBorder="1" applyAlignment="1">
      <alignment horizontal="left" vertical="center"/>
    </xf>
    <xf numFmtId="0" fontId="13" fillId="8" borderId="0" xfId="0" applyFont="1" applyFill="1" applyBorder="1" applyAlignment="1">
      <alignment horizontal="left" vertical="center"/>
    </xf>
    <xf numFmtId="0" fontId="39" fillId="0" borderId="0" xfId="0" applyFont="1" applyFill="1" applyBorder="1" applyAlignment="1">
      <alignment horizontal="left" vertical="top"/>
    </xf>
    <xf numFmtId="0" fontId="0" fillId="8" borderId="0" xfId="0" applyFill="1" applyBorder="1" applyAlignment="1">
      <alignment horizontal="left" vertical="center"/>
    </xf>
    <xf numFmtId="0" fontId="0" fillId="7" borderId="0" xfId="0" applyFill="1" applyBorder="1" applyAlignment="1">
      <alignment horizontal="left" vertical="center"/>
    </xf>
    <xf numFmtId="0" fontId="2" fillId="0" borderId="0" xfId="0" applyFont="1" applyFill="1"/>
    <xf numFmtId="0" fontId="2" fillId="0" borderId="0" xfId="0" applyFont="1" applyFill="1" applyBorder="1" applyAlignment="1" applyProtection="1">
      <alignment horizontal="center" vertical="center"/>
      <protection locked="0"/>
    </xf>
    <xf numFmtId="0" fontId="12" fillId="0" borderId="0" xfId="0" applyFont="1" applyFill="1" applyBorder="1" applyAlignment="1" applyProtection="1">
      <alignment horizontal="center" vertical="center"/>
      <protection locked="0"/>
    </xf>
    <xf numFmtId="0" fontId="23" fillId="0" borderId="0" xfId="0" applyFont="1" applyFill="1" applyBorder="1" applyAlignment="1">
      <alignment horizontal="left" vertical="top"/>
    </xf>
    <xf numFmtId="0" fontId="3" fillId="0" borderId="0" xfId="0" applyFont="1" applyFill="1" applyBorder="1" applyAlignment="1">
      <alignment horizontal="center" vertical="top" wrapText="1"/>
    </xf>
    <xf numFmtId="0" fontId="2" fillId="0" borderId="0" xfId="0" applyFont="1" applyFill="1" applyBorder="1" applyAlignment="1" applyProtection="1">
      <alignment horizontal="left" vertical="top"/>
    </xf>
    <xf numFmtId="0" fontId="20" fillId="0" borderId="0" xfId="1" applyFont="1" applyFill="1" applyBorder="1" applyAlignment="1" applyProtection="1">
      <alignment wrapText="1"/>
    </xf>
    <xf numFmtId="0" fontId="2" fillId="0" borderId="0" xfId="0" applyFont="1" applyFill="1" applyBorder="1" applyAlignment="1" applyProtection="1">
      <alignment horizontal="left" vertical="center"/>
    </xf>
    <xf numFmtId="0" fontId="20" fillId="0" borderId="0" xfId="1" applyFont="1" applyFill="1" applyBorder="1" applyAlignment="1" applyProtection="1">
      <alignment horizontal="left" vertical="center" wrapText="1"/>
    </xf>
    <xf numFmtId="0" fontId="3" fillId="0" borderId="0" xfId="0" applyFont="1" applyFill="1" applyBorder="1" applyAlignment="1" applyProtection="1">
      <alignment vertical="center"/>
    </xf>
    <xf numFmtId="0" fontId="20" fillId="0" borderId="0" xfId="1" applyFont="1" applyFill="1" applyBorder="1" applyAlignment="1" applyProtection="1">
      <alignment horizontal="right" vertical="center" wrapText="1"/>
    </xf>
    <xf numFmtId="0" fontId="2" fillId="3" borderId="0" xfId="0" applyFont="1" applyFill="1" applyBorder="1" applyAlignment="1" applyProtection="1">
      <alignment horizontal="left" vertical="top"/>
    </xf>
    <xf numFmtId="0" fontId="35" fillId="0" borderId="0" xfId="0" applyFont="1" applyFill="1" applyBorder="1" applyAlignment="1" applyProtection="1">
      <alignment horizontal="center" vertical="center"/>
    </xf>
    <xf numFmtId="0" fontId="31" fillId="0" borderId="0" xfId="0" applyFont="1" applyFill="1" applyBorder="1" applyAlignment="1" applyProtection="1">
      <alignment horizontal="left" vertical="center" wrapText="1"/>
    </xf>
    <xf numFmtId="0" fontId="23" fillId="0" borderId="6" xfId="0" applyFont="1" applyFill="1" applyBorder="1" applyAlignment="1" applyProtection="1">
      <alignment horizontal="left" vertical="center" wrapText="1" indent="2"/>
    </xf>
    <xf numFmtId="0" fontId="11" fillId="0" borderId="0" xfId="0" applyFont="1" applyFill="1" applyBorder="1" applyAlignment="1" applyProtection="1">
      <alignment horizontal="left" vertical="center" wrapText="1" indent="2"/>
    </xf>
    <xf numFmtId="0" fontId="12" fillId="0" borderId="0" xfId="0" applyFont="1" applyFill="1" applyBorder="1" applyAlignment="1" applyProtection="1">
      <alignment horizontal="left" vertical="center" wrapText="1"/>
    </xf>
    <xf numFmtId="0" fontId="2" fillId="0" borderId="0" xfId="0" applyFont="1" applyFill="1" applyBorder="1" applyAlignment="1" applyProtection="1">
      <alignment horizontal="center" vertical="center"/>
    </xf>
    <xf numFmtId="0" fontId="2" fillId="6" borderId="0" xfId="0" applyFont="1" applyFill="1" applyBorder="1" applyAlignment="1" applyProtection="1">
      <alignment horizontal="left" vertical="top"/>
    </xf>
    <xf numFmtId="0" fontId="23" fillId="0" borderId="10" xfId="0" applyFont="1" applyFill="1" applyBorder="1" applyAlignment="1" applyProtection="1">
      <alignment horizontal="left" vertical="center" wrapText="1" indent="2"/>
    </xf>
    <xf numFmtId="0" fontId="35" fillId="0" borderId="0" xfId="0" applyFont="1" applyFill="1" applyBorder="1" applyAlignment="1" applyProtection="1">
      <alignment horizontal="left" vertical="top"/>
    </xf>
    <xf numFmtId="0" fontId="23" fillId="0" borderId="23" xfId="0" applyFont="1" applyFill="1" applyBorder="1" applyAlignment="1" applyProtection="1">
      <alignment horizontal="left" vertical="center" wrapText="1" indent="2"/>
    </xf>
    <xf numFmtId="0" fontId="23" fillId="0" borderId="0" xfId="0" applyFont="1" applyFill="1" applyBorder="1" applyAlignment="1" applyProtection="1">
      <alignment horizontal="left" vertical="center" wrapText="1" indent="2"/>
    </xf>
    <xf numFmtId="0" fontId="2" fillId="0" borderId="0" xfId="0" applyFont="1" applyFill="1" applyBorder="1" applyAlignment="1" applyProtection="1">
      <alignment horizontal="center" vertical="top"/>
    </xf>
    <xf numFmtId="0" fontId="23" fillId="0" borderId="35" xfId="0" applyFont="1" applyFill="1" applyBorder="1" applyAlignment="1" applyProtection="1">
      <alignment horizontal="left" vertical="center" wrapText="1" indent="2"/>
    </xf>
    <xf numFmtId="0" fontId="23" fillId="0" borderId="30" xfId="0" applyFont="1" applyFill="1" applyBorder="1" applyAlignment="1" applyProtection="1">
      <alignment horizontal="left" vertical="center" wrapText="1" indent="2"/>
    </xf>
    <xf numFmtId="0" fontId="13" fillId="9" borderId="0" xfId="0" applyFont="1" applyFill="1" applyBorder="1" applyAlignment="1">
      <alignment horizontal="left" vertical="center"/>
    </xf>
    <xf numFmtId="0" fontId="0" fillId="9" borderId="0" xfId="0" applyFill="1" applyBorder="1" applyAlignment="1">
      <alignment horizontal="left" vertical="center"/>
    </xf>
    <xf numFmtId="0" fontId="2" fillId="0" borderId="0" xfId="0" applyFont="1" applyFill="1" applyBorder="1" applyAlignment="1" applyProtection="1">
      <alignment horizontal="left"/>
      <protection locked="0"/>
    </xf>
    <xf numFmtId="0" fontId="2" fillId="0" borderId="0" xfId="0" applyFont="1" applyFill="1" applyBorder="1" applyAlignment="1" applyProtection="1">
      <alignment horizontal="center"/>
      <protection locked="0"/>
    </xf>
    <xf numFmtId="0" fontId="0" fillId="0" borderId="0" xfId="0" applyFill="1" applyBorder="1" applyAlignment="1" applyProtection="1">
      <alignment horizontal="left"/>
      <protection locked="0"/>
    </xf>
    <xf numFmtId="0" fontId="0" fillId="0" borderId="0" xfId="0" applyFill="1" applyBorder="1" applyAlignment="1" applyProtection="1">
      <alignment horizontal="left" vertical="top"/>
      <protection locked="0"/>
    </xf>
    <xf numFmtId="0" fontId="10" fillId="0" borderId="10" xfId="0" applyFont="1" applyFill="1" applyBorder="1" applyAlignment="1">
      <alignment horizontal="left" vertical="center" wrapText="1" indent="2"/>
    </xf>
    <xf numFmtId="0" fontId="10" fillId="0" borderId="24" xfId="0" applyFont="1" applyFill="1" applyBorder="1" applyAlignment="1">
      <alignment horizontal="left" vertical="center" wrapText="1" indent="2"/>
    </xf>
    <xf numFmtId="0" fontId="10" fillId="0" borderId="3" xfId="0" applyFont="1" applyFill="1" applyBorder="1" applyAlignment="1">
      <alignment horizontal="left" vertical="center" wrapText="1" indent="2"/>
    </xf>
    <xf numFmtId="0" fontId="10" fillId="0" borderId="9" xfId="0" applyFont="1" applyFill="1" applyBorder="1" applyAlignment="1">
      <alignment horizontal="left" vertical="center" wrapText="1" indent="2"/>
    </xf>
    <xf numFmtId="0" fontId="10" fillId="0" borderId="23" xfId="0" applyFont="1" applyFill="1" applyBorder="1" applyAlignment="1">
      <alignment horizontal="left" vertical="center" wrapText="1" indent="2"/>
    </xf>
    <xf numFmtId="0" fontId="6" fillId="0" borderId="2" xfId="0" applyFont="1" applyFill="1" applyBorder="1" applyAlignment="1">
      <alignment horizontal="left" vertical="center" wrapText="1" indent="2"/>
    </xf>
    <xf numFmtId="0" fontId="6" fillId="0" borderId="5" xfId="0" applyFont="1" applyFill="1" applyBorder="1" applyAlignment="1">
      <alignment horizontal="left" vertical="center" wrapText="1" indent="2"/>
    </xf>
    <xf numFmtId="0" fontId="30" fillId="10" borderId="0" xfId="0" applyFont="1" applyFill="1" applyBorder="1" applyAlignment="1">
      <alignment horizontal="center" vertical="center"/>
    </xf>
    <xf numFmtId="0" fontId="41" fillId="0" borderId="0" xfId="0" applyFont="1" applyFill="1" applyBorder="1" applyAlignment="1">
      <alignment horizontal="left" vertical="top"/>
    </xf>
    <xf numFmtId="0" fontId="2" fillId="11" borderId="0" xfId="0" applyFont="1" applyFill="1" applyBorder="1" applyAlignment="1">
      <alignment horizontal="left" vertical="top"/>
    </xf>
    <xf numFmtId="0" fontId="2" fillId="11" borderId="0" xfId="0" applyFont="1" applyFill="1"/>
    <xf numFmtId="14" fontId="2" fillId="11" borderId="0" xfId="0" applyNumberFormat="1" applyFont="1" applyFill="1" applyBorder="1" applyAlignment="1">
      <alignment horizontal="left" vertical="top"/>
    </xf>
    <xf numFmtId="0" fontId="2" fillId="11" borderId="0" xfId="0" applyNumberFormat="1" applyFont="1" applyFill="1" applyBorder="1" applyAlignment="1">
      <alignment horizontal="left" vertical="top"/>
    </xf>
    <xf numFmtId="0" fontId="12" fillId="0" borderId="7" xfId="0" applyFont="1" applyFill="1" applyBorder="1" applyAlignment="1" applyProtection="1">
      <alignment horizontal="left" vertical="center" wrapText="1"/>
    </xf>
    <xf numFmtId="0" fontId="12" fillId="0" borderId="19" xfId="0" applyFont="1" applyFill="1" applyBorder="1" applyAlignment="1" applyProtection="1">
      <alignment horizontal="left" vertical="center" wrapText="1"/>
    </xf>
    <xf numFmtId="0" fontId="12" fillId="0" borderId="8" xfId="0" applyFont="1" applyFill="1" applyBorder="1" applyAlignment="1" applyProtection="1">
      <alignment horizontal="left" vertical="center" wrapText="1"/>
    </xf>
    <xf numFmtId="0" fontId="32" fillId="0" borderId="0" xfId="0" applyFont="1" applyFill="1" applyAlignment="1">
      <alignment horizontal="center" vertical="center"/>
    </xf>
    <xf numFmtId="0" fontId="30" fillId="0" borderId="0" xfId="0" applyFont="1" applyFill="1" applyAlignment="1">
      <alignment horizontal="center" vertical="center"/>
    </xf>
    <xf numFmtId="0" fontId="44" fillId="0" borderId="1" xfId="0" applyFont="1" applyFill="1" applyBorder="1" applyAlignment="1">
      <alignment horizontal="left" vertical="center" wrapText="1" indent="2"/>
    </xf>
    <xf numFmtId="0" fontId="2" fillId="0" borderId="0" xfId="0" applyFont="1" applyFill="1" applyBorder="1" applyAlignment="1">
      <alignment horizontal="left" vertical="top" wrapText="1"/>
    </xf>
    <xf numFmtId="0" fontId="18" fillId="0" borderId="0" xfId="0" applyFont="1" applyFill="1" applyBorder="1" applyAlignment="1">
      <alignment horizontal="center" vertical="center"/>
    </xf>
    <xf numFmtId="0" fontId="14" fillId="3" borderId="0" xfId="0" applyFont="1" applyFill="1" applyBorder="1" applyAlignment="1">
      <alignment horizontal="center" vertical="center" wrapText="1"/>
    </xf>
    <xf numFmtId="0" fontId="3" fillId="0" borderId="0" xfId="0" applyFont="1" applyFill="1" applyBorder="1" applyAlignment="1">
      <alignment horizontal="center" vertical="top" wrapText="1"/>
    </xf>
    <xf numFmtId="0" fontId="18" fillId="0" borderId="0" xfId="0" applyFont="1" applyFill="1" applyBorder="1" applyAlignment="1" applyProtection="1">
      <alignment horizontal="center" vertical="center"/>
    </xf>
    <xf numFmtId="0" fontId="14" fillId="3" borderId="0" xfId="0" applyFont="1" applyFill="1" applyBorder="1" applyAlignment="1" applyProtection="1">
      <alignment horizontal="center" vertical="center" wrapText="1"/>
    </xf>
    <xf numFmtId="0" fontId="2" fillId="0" borderId="6" xfId="0" applyFont="1" applyFill="1" applyBorder="1" applyAlignment="1" applyProtection="1">
      <alignment horizontal="center" vertical="top"/>
      <protection locked="0"/>
    </xf>
    <xf numFmtId="0" fontId="27" fillId="0" borderId="0" xfId="0" applyFont="1" applyFill="1" applyBorder="1" applyAlignment="1" applyProtection="1">
      <alignment horizontal="left" vertical="center" wrapText="1" indent="2"/>
    </xf>
    <xf numFmtId="0" fontId="2" fillId="0" borderId="7" xfId="0" applyFont="1" applyFill="1" applyBorder="1" applyAlignment="1" applyProtection="1">
      <alignment horizontal="center" vertical="top"/>
    </xf>
    <xf numFmtId="0" fontId="2" fillId="0" borderId="19" xfId="0" applyFont="1" applyFill="1" applyBorder="1" applyAlignment="1" applyProtection="1">
      <alignment horizontal="center" vertical="top"/>
    </xf>
    <xf numFmtId="0" fontId="2" fillId="0" borderId="8" xfId="0" applyFont="1" applyFill="1" applyBorder="1" applyAlignment="1" applyProtection="1">
      <alignment horizontal="center" vertical="top"/>
    </xf>
    <xf numFmtId="0" fontId="2" fillId="0" borderId="6" xfId="0" applyFont="1" applyFill="1" applyBorder="1" applyAlignment="1" applyProtection="1">
      <alignment horizontal="center" vertical="top"/>
    </xf>
    <xf numFmtId="0" fontId="31" fillId="0" borderId="0" xfId="0" applyFont="1" applyFill="1" applyBorder="1" applyAlignment="1" applyProtection="1">
      <alignment horizontal="left" vertical="center" wrapText="1"/>
    </xf>
    <xf numFmtId="0" fontId="12" fillId="0" borderId="21" xfId="0" applyFont="1" applyFill="1" applyBorder="1" applyAlignment="1" applyProtection="1">
      <alignment horizontal="left" vertical="center" wrapText="1"/>
      <protection locked="0"/>
    </xf>
    <xf numFmtId="0" fontId="12" fillId="0" borderId="11" xfId="0" applyFont="1" applyFill="1" applyBorder="1" applyAlignment="1" applyProtection="1">
      <alignment horizontal="left" vertical="center" wrapText="1"/>
      <protection locked="0"/>
    </xf>
    <xf numFmtId="0" fontId="12" fillId="0" borderId="13" xfId="0" applyFont="1" applyFill="1" applyBorder="1" applyAlignment="1" applyProtection="1">
      <alignment horizontal="left" vertical="center" wrapText="1"/>
      <protection locked="0"/>
    </xf>
    <xf numFmtId="0" fontId="12" fillId="0" borderId="7" xfId="0" applyFont="1" applyFill="1" applyBorder="1" applyAlignment="1" applyProtection="1">
      <alignment horizontal="left" vertical="center" wrapText="1"/>
      <protection locked="0"/>
    </xf>
    <xf numFmtId="0" fontId="12" fillId="0" borderId="19" xfId="0" applyFont="1" applyFill="1" applyBorder="1" applyAlignment="1" applyProtection="1">
      <alignment horizontal="left" vertical="center" wrapText="1"/>
      <protection locked="0"/>
    </xf>
    <xf numFmtId="0" fontId="12" fillId="0" borderId="8" xfId="0" applyFont="1" applyFill="1" applyBorder="1" applyAlignment="1" applyProtection="1">
      <alignment horizontal="left" vertical="center" wrapText="1"/>
      <protection locked="0"/>
    </xf>
    <xf numFmtId="0" fontId="34" fillId="0" borderId="6" xfId="0" applyFont="1" applyFill="1" applyBorder="1" applyAlignment="1" applyProtection="1">
      <alignment horizontal="left" vertical="center" wrapText="1" indent="2"/>
    </xf>
    <xf numFmtId="0" fontId="4" fillId="0" borderId="0" xfId="0" applyFont="1" applyFill="1" applyBorder="1" applyAlignment="1">
      <alignment horizontal="center" vertical="top" wrapText="1"/>
    </xf>
    <xf numFmtId="0" fontId="27" fillId="0" borderId="0" xfId="0" applyFont="1" applyFill="1" applyBorder="1" applyAlignment="1">
      <alignment horizontal="left" vertical="center" wrapText="1" indent="2"/>
    </xf>
    <xf numFmtId="0" fontId="42" fillId="0" borderId="0" xfId="0" applyFont="1" applyFill="1" applyBorder="1" applyAlignment="1">
      <alignment horizontal="left" vertical="center" wrapText="1" indent="4"/>
    </xf>
    <xf numFmtId="0" fontId="23" fillId="0" borderId="0" xfId="0" applyFont="1" applyFill="1" applyBorder="1" applyAlignment="1">
      <alignment horizontal="left" vertical="center" wrapText="1" indent="2"/>
    </xf>
    <xf numFmtId="0" fontId="2" fillId="0" borderId="7" xfId="0" applyFont="1" applyFill="1" applyBorder="1" applyAlignment="1" applyProtection="1">
      <alignment horizontal="left" vertical="top" wrapText="1" indent="2"/>
      <protection locked="0"/>
    </xf>
    <xf numFmtId="0" fontId="2" fillId="0" borderId="19" xfId="0" applyFont="1" applyFill="1" applyBorder="1" applyAlignment="1" applyProtection="1">
      <alignment horizontal="left" vertical="top" wrapText="1" indent="2"/>
      <protection locked="0"/>
    </xf>
    <xf numFmtId="0" fontId="2" fillId="0" borderId="8" xfId="0" applyFont="1" applyFill="1" applyBorder="1" applyAlignment="1" applyProtection="1">
      <alignment horizontal="left" vertical="top" wrapText="1" indent="2"/>
      <protection locked="0"/>
    </xf>
    <xf numFmtId="49" fontId="23" fillId="0" borderId="7" xfId="1" applyNumberFormat="1" applyFont="1" applyFill="1" applyBorder="1" applyAlignment="1" applyProtection="1">
      <alignment horizontal="left" wrapText="1"/>
      <protection locked="0"/>
    </xf>
    <xf numFmtId="49" fontId="23" fillId="0" borderId="19" xfId="0" applyNumberFormat="1" applyFont="1" applyFill="1" applyBorder="1" applyAlignment="1" applyProtection="1">
      <alignment horizontal="left" wrapText="1"/>
      <protection locked="0"/>
    </xf>
    <xf numFmtId="49" fontId="23" fillId="0" borderId="8" xfId="0" applyNumberFormat="1" applyFont="1" applyFill="1" applyBorder="1" applyAlignment="1" applyProtection="1">
      <alignment horizontal="left" wrapText="1"/>
      <protection locked="0"/>
    </xf>
    <xf numFmtId="0" fontId="18" fillId="0" borderId="0" xfId="0" applyFont="1" applyFill="1" applyBorder="1" applyAlignment="1">
      <alignment horizontal="center"/>
    </xf>
    <xf numFmtId="0" fontId="2" fillId="0" borderId="12" xfId="0" applyFont="1" applyFill="1" applyBorder="1" applyAlignment="1">
      <alignment horizontal="center" vertical="center" wrapText="1"/>
    </xf>
    <xf numFmtId="0" fontId="2" fillId="0" borderId="11" xfId="0" applyFont="1" applyFill="1" applyBorder="1" applyAlignment="1">
      <alignment horizontal="center" vertical="center" wrapText="1"/>
    </xf>
    <xf numFmtId="0" fontId="2" fillId="0" borderId="13" xfId="0" applyFont="1" applyFill="1" applyBorder="1" applyAlignment="1">
      <alignment horizontal="center" vertical="center" wrapText="1"/>
    </xf>
    <xf numFmtId="0" fontId="2" fillId="0" borderId="7" xfId="0" applyFont="1" applyFill="1" applyBorder="1" applyAlignment="1">
      <alignment horizontal="center" vertical="center" wrapText="1"/>
    </xf>
    <xf numFmtId="0" fontId="2" fillId="0" borderId="19" xfId="0" applyFont="1" applyFill="1" applyBorder="1" applyAlignment="1">
      <alignment horizontal="center" vertical="center" wrapText="1"/>
    </xf>
    <xf numFmtId="0" fontId="2" fillId="0" borderId="8" xfId="0" applyFont="1" applyFill="1" applyBorder="1" applyAlignment="1">
      <alignment horizontal="center" vertical="center" wrapText="1"/>
    </xf>
    <xf numFmtId="164" fontId="12" fillId="0" borderId="7" xfId="0" applyNumberFormat="1" applyFont="1" applyFill="1" applyBorder="1" applyAlignment="1" applyProtection="1">
      <alignment horizontal="left" vertical="center" wrapText="1"/>
      <protection locked="0"/>
    </xf>
    <xf numFmtId="164" fontId="12" fillId="0" borderId="19" xfId="0" applyNumberFormat="1" applyFont="1" applyFill="1" applyBorder="1" applyAlignment="1" applyProtection="1">
      <alignment horizontal="left" vertical="center" wrapText="1"/>
      <protection locked="0"/>
    </xf>
    <xf numFmtId="164" fontId="12" fillId="0" borderId="8" xfId="0" applyNumberFormat="1" applyFont="1" applyFill="1" applyBorder="1" applyAlignment="1" applyProtection="1">
      <alignment horizontal="left" vertical="center" wrapText="1"/>
      <protection locked="0"/>
    </xf>
    <xf numFmtId="0" fontId="5" fillId="0" borderId="7" xfId="0" applyFont="1" applyFill="1" applyBorder="1" applyAlignment="1">
      <alignment horizontal="left" vertical="center" wrapText="1" indent="2"/>
    </xf>
    <xf numFmtId="0" fontId="5" fillId="0" borderId="19" xfId="0" applyFont="1" applyFill="1" applyBorder="1" applyAlignment="1">
      <alignment horizontal="left" vertical="center" wrapText="1" indent="2"/>
    </xf>
    <xf numFmtId="0" fontId="5" fillId="0" borderId="8" xfId="0" applyFont="1" applyFill="1" applyBorder="1" applyAlignment="1">
      <alignment horizontal="left" vertical="center" wrapText="1" indent="2"/>
    </xf>
    <xf numFmtId="0" fontId="12" fillId="0" borderId="7" xfId="0" applyFont="1" applyFill="1" applyBorder="1" applyAlignment="1" applyProtection="1">
      <alignment horizontal="left" vertical="top" wrapText="1"/>
      <protection locked="0"/>
    </xf>
    <xf numFmtId="0" fontId="12" fillId="0" borderId="19" xfId="0" applyFont="1" applyFill="1" applyBorder="1" applyAlignment="1" applyProtection="1">
      <alignment horizontal="left" vertical="top" wrapText="1"/>
      <protection locked="0"/>
    </xf>
    <xf numFmtId="0" fontId="12" fillId="0" borderId="8" xfId="0" applyFont="1" applyFill="1" applyBorder="1" applyAlignment="1" applyProtection="1">
      <alignment horizontal="left" vertical="top" wrapText="1"/>
      <protection locked="0"/>
    </xf>
    <xf numFmtId="0" fontId="2" fillId="0" borderId="7" xfId="0" applyFont="1" applyFill="1" applyBorder="1" applyAlignment="1" applyProtection="1">
      <alignment horizontal="left" wrapText="1"/>
      <protection locked="0"/>
    </xf>
    <xf numFmtId="0" fontId="2" fillId="0" borderId="19" xfId="0" applyFont="1" applyFill="1" applyBorder="1" applyAlignment="1" applyProtection="1">
      <alignment horizontal="left" wrapText="1"/>
      <protection locked="0"/>
    </xf>
    <xf numFmtId="0" fontId="2" fillId="0" borderId="8" xfId="0" applyFont="1" applyFill="1" applyBorder="1" applyAlignment="1" applyProtection="1">
      <alignment horizontal="left" wrapText="1"/>
      <protection locked="0"/>
    </xf>
    <xf numFmtId="0" fontId="2" fillId="0" borderId="16" xfId="0" applyFont="1" applyFill="1" applyBorder="1" applyAlignment="1">
      <alignment horizontal="center" wrapText="1"/>
    </xf>
    <xf numFmtId="0" fontId="2" fillId="0" borderId="0" xfId="0" applyFont="1" applyFill="1" applyBorder="1" applyAlignment="1">
      <alignment horizontal="center" wrapText="1"/>
    </xf>
    <xf numFmtId="0" fontId="2" fillId="0" borderId="17" xfId="0" applyFont="1" applyFill="1" applyBorder="1" applyAlignment="1">
      <alignment horizontal="center" wrapText="1"/>
    </xf>
    <xf numFmtId="49" fontId="12" fillId="0" borderId="7" xfId="0" applyNumberFormat="1" applyFont="1" applyFill="1" applyBorder="1" applyAlignment="1" applyProtection="1">
      <alignment horizontal="left" vertical="center" wrapText="1"/>
      <protection locked="0"/>
    </xf>
    <xf numFmtId="49" fontId="12" fillId="0" borderId="19" xfId="0" applyNumberFormat="1" applyFont="1" applyFill="1" applyBorder="1" applyAlignment="1" applyProtection="1">
      <alignment horizontal="left" vertical="center" wrapText="1"/>
      <protection locked="0"/>
    </xf>
    <xf numFmtId="49" fontId="12" fillId="0" borderId="8" xfId="0" applyNumberFormat="1" applyFont="1" applyFill="1" applyBorder="1" applyAlignment="1" applyProtection="1">
      <alignment horizontal="left" vertical="center" wrapText="1"/>
      <protection locked="0"/>
    </xf>
    <xf numFmtId="0" fontId="12" fillId="0" borderId="7" xfId="0" applyFont="1" applyFill="1" applyBorder="1" applyAlignment="1">
      <alignment vertical="center" wrapText="1"/>
    </xf>
    <xf numFmtId="0" fontId="12" fillId="0" borderId="19" xfId="0" applyFont="1" applyFill="1" applyBorder="1" applyAlignment="1">
      <alignment vertical="center" wrapText="1"/>
    </xf>
    <xf numFmtId="0" fontId="12" fillId="0" borderId="8" xfId="0" applyFont="1" applyFill="1" applyBorder="1" applyAlignment="1">
      <alignment vertical="center" wrapText="1"/>
    </xf>
    <xf numFmtId="0" fontId="12" fillId="0" borderId="7" xfId="0" applyFont="1" applyFill="1" applyBorder="1" applyAlignment="1">
      <alignment horizontal="left" vertical="center" wrapText="1"/>
    </xf>
    <xf numFmtId="0" fontId="12" fillId="0" borderId="19" xfId="0" applyFont="1" applyFill="1" applyBorder="1" applyAlignment="1">
      <alignment horizontal="left" vertical="center" wrapText="1"/>
    </xf>
    <xf numFmtId="0" fontId="12" fillId="0" borderId="8" xfId="0" applyFont="1" applyFill="1" applyBorder="1" applyAlignment="1">
      <alignment horizontal="left" vertical="center" wrapText="1"/>
    </xf>
    <xf numFmtId="0" fontId="12" fillId="0" borderId="6" xfId="0" applyFont="1" applyFill="1" applyBorder="1" applyAlignment="1">
      <alignment horizontal="left" vertical="center" wrapText="1"/>
    </xf>
    <xf numFmtId="0" fontId="10" fillId="0" borderId="7" xfId="0" applyFont="1" applyFill="1" applyBorder="1" applyAlignment="1" applyProtection="1">
      <alignment horizontal="left" vertical="center" wrapText="1" indent="2"/>
      <protection locked="0"/>
    </xf>
    <xf numFmtId="0" fontId="12" fillId="0" borderId="19" xfId="0" applyFont="1" applyFill="1" applyBorder="1" applyAlignment="1" applyProtection="1">
      <alignment horizontal="left" vertical="center" wrapText="1" indent="2"/>
      <protection locked="0"/>
    </xf>
    <xf numFmtId="0" fontId="12" fillId="0" borderId="8" xfId="0" applyFont="1" applyFill="1" applyBorder="1" applyAlignment="1" applyProtection="1">
      <alignment horizontal="left" vertical="center" wrapText="1" indent="2"/>
      <protection locked="0"/>
    </xf>
    <xf numFmtId="0" fontId="12" fillId="0" borderId="7" xfId="0" applyNumberFormat="1" applyFont="1" applyFill="1" applyBorder="1" applyAlignment="1" applyProtection="1">
      <alignment horizontal="left" vertical="top" wrapText="1" indent="2"/>
      <protection locked="0"/>
    </xf>
    <xf numFmtId="0" fontId="12" fillId="0" borderId="19" xfId="0" applyNumberFormat="1" applyFont="1" applyFill="1" applyBorder="1" applyAlignment="1" applyProtection="1">
      <alignment horizontal="left" vertical="top" wrapText="1" indent="2"/>
      <protection locked="0"/>
    </xf>
    <xf numFmtId="0" fontId="12" fillId="0" borderId="8" xfId="0" applyNumberFormat="1" applyFont="1" applyFill="1" applyBorder="1" applyAlignment="1" applyProtection="1">
      <alignment horizontal="left" vertical="top" wrapText="1" indent="2"/>
      <protection locked="0"/>
    </xf>
    <xf numFmtId="0" fontId="11" fillId="0" borderId="7" xfId="0" applyFont="1" applyFill="1" applyBorder="1" applyAlignment="1">
      <alignment horizontal="left" vertical="center" wrapText="1" indent="2"/>
    </xf>
    <xf numFmtId="0" fontId="11" fillId="0" borderId="19" xfId="0" applyFont="1" applyFill="1" applyBorder="1" applyAlignment="1">
      <alignment horizontal="left" vertical="center" wrapText="1" indent="2"/>
    </xf>
    <xf numFmtId="0" fontId="11" fillId="0" borderId="8" xfId="0" applyFont="1" applyFill="1" applyBorder="1" applyAlignment="1">
      <alignment horizontal="left" vertical="center" wrapText="1" indent="2"/>
    </xf>
    <xf numFmtId="0" fontId="7" fillId="2" borderId="7" xfId="0" applyFont="1" applyFill="1" applyBorder="1" applyAlignment="1">
      <alignment horizontal="left" vertical="center" wrapText="1" indent="2"/>
    </xf>
    <xf numFmtId="0" fontId="7" fillId="2" borderId="19" xfId="0" applyFont="1" applyFill="1" applyBorder="1" applyAlignment="1">
      <alignment horizontal="left" vertical="center" wrapText="1" indent="2"/>
    </xf>
    <xf numFmtId="0" fontId="7" fillId="2" borderId="8" xfId="0" applyFont="1" applyFill="1" applyBorder="1" applyAlignment="1">
      <alignment horizontal="left" vertical="center" wrapText="1" indent="2"/>
    </xf>
    <xf numFmtId="0" fontId="1" fillId="2" borderId="7" xfId="0" applyFont="1" applyFill="1" applyBorder="1" applyAlignment="1">
      <alignment horizontal="left" vertical="center" wrapText="1" indent="2"/>
    </xf>
    <xf numFmtId="0" fontId="7" fillId="2" borderId="6" xfId="0" applyFont="1" applyFill="1" applyBorder="1" applyAlignment="1">
      <alignment horizontal="left" vertical="center" wrapText="1" indent="2"/>
    </xf>
    <xf numFmtId="0" fontId="12" fillId="0" borderId="7" xfId="0" applyFont="1" applyFill="1" applyBorder="1" applyAlignment="1" applyProtection="1">
      <alignment horizontal="left" vertical="top" wrapText="1" indent="2"/>
      <protection locked="0"/>
    </xf>
    <xf numFmtId="0" fontId="12" fillId="0" borderId="19" xfId="0" applyFont="1" applyFill="1" applyBorder="1" applyAlignment="1" applyProtection="1">
      <alignment horizontal="left" vertical="top" wrapText="1" indent="2"/>
      <protection locked="0"/>
    </xf>
    <xf numFmtId="0" fontId="12" fillId="0" borderId="8" xfId="0" applyFont="1" applyFill="1" applyBorder="1" applyAlignment="1" applyProtection="1">
      <alignment horizontal="left" vertical="top" wrapText="1" indent="2"/>
      <protection locked="0"/>
    </xf>
    <xf numFmtId="0" fontId="12" fillId="0" borderId="21" xfId="0" applyNumberFormat="1" applyFont="1" applyFill="1" applyBorder="1" applyAlignment="1" applyProtection="1">
      <alignment horizontal="left" vertical="center" wrapText="1"/>
    </xf>
    <xf numFmtId="0" fontId="12" fillId="0" borderId="11" xfId="0" applyNumberFormat="1" applyFont="1" applyFill="1" applyBorder="1" applyAlignment="1" applyProtection="1">
      <alignment horizontal="left" vertical="center" wrapText="1"/>
    </xf>
    <xf numFmtId="0" fontId="12" fillId="0" borderId="13" xfId="0" applyNumberFormat="1" applyFont="1" applyFill="1" applyBorder="1" applyAlignment="1" applyProtection="1">
      <alignment horizontal="left" vertical="center" wrapText="1"/>
    </xf>
    <xf numFmtId="0" fontId="12" fillId="0" borderId="18" xfId="0" applyFont="1" applyFill="1" applyBorder="1" applyAlignment="1">
      <alignment horizontal="left" vertical="center" wrapText="1"/>
    </xf>
    <xf numFmtId="0" fontId="12" fillId="0" borderId="0" xfId="0" applyFont="1" applyFill="1" applyBorder="1" applyAlignment="1">
      <alignment horizontal="left" vertical="center" wrapText="1"/>
    </xf>
    <xf numFmtId="0" fontId="12" fillId="0" borderId="17" xfId="0" applyFont="1" applyFill="1" applyBorder="1" applyAlignment="1">
      <alignment horizontal="left" vertical="center" wrapText="1"/>
    </xf>
    <xf numFmtId="49" fontId="12" fillId="0" borderId="18" xfId="0" applyNumberFormat="1" applyFont="1" applyFill="1" applyBorder="1" applyAlignment="1" applyProtection="1">
      <alignment horizontal="left" vertical="center" wrapText="1"/>
      <protection locked="0"/>
    </xf>
    <xf numFmtId="49" fontId="12" fillId="0" borderId="0" xfId="0" applyNumberFormat="1" applyFont="1" applyFill="1" applyBorder="1" applyAlignment="1" applyProtection="1">
      <alignment horizontal="left" vertical="center" wrapText="1"/>
      <protection locked="0"/>
    </xf>
    <xf numFmtId="49" fontId="12" fillId="0" borderId="17" xfId="0" applyNumberFormat="1" applyFont="1" applyFill="1" applyBorder="1" applyAlignment="1" applyProtection="1">
      <alignment horizontal="left" vertical="center" wrapText="1"/>
      <protection locked="0"/>
    </xf>
    <xf numFmtId="0" fontId="25" fillId="0" borderId="7" xfId="0" applyFont="1" applyFill="1" applyBorder="1" applyAlignment="1" applyProtection="1">
      <alignment horizontal="left" vertical="top" wrapText="1" indent="2"/>
      <protection locked="0"/>
    </xf>
    <xf numFmtId="0" fontId="25" fillId="0" borderId="19" xfId="0" applyFont="1" applyFill="1" applyBorder="1" applyAlignment="1" applyProtection="1">
      <alignment horizontal="left" vertical="top" wrapText="1" indent="2"/>
      <protection locked="0"/>
    </xf>
    <xf numFmtId="0" fontId="25" fillId="0" borderId="8" xfId="0" applyFont="1" applyFill="1" applyBorder="1" applyAlignment="1" applyProtection="1">
      <alignment horizontal="left" vertical="top" wrapText="1" indent="2"/>
      <protection locked="0"/>
    </xf>
    <xf numFmtId="0" fontId="12" fillId="0" borderId="7" xfId="0" applyFont="1" applyFill="1" applyBorder="1" applyAlignment="1" applyProtection="1">
      <alignment horizontal="left" vertical="center" wrapText="1" indent="2"/>
      <protection locked="0"/>
    </xf>
    <xf numFmtId="0" fontId="12" fillId="0" borderId="21" xfId="0" applyFont="1" applyFill="1" applyBorder="1" applyAlignment="1">
      <alignment horizontal="left" vertical="center" wrapText="1"/>
    </xf>
    <xf numFmtId="0" fontId="12" fillId="0" borderId="11" xfId="0" applyFont="1" applyFill="1" applyBorder="1" applyAlignment="1">
      <alignment horizontal="left" vertical="center" wrapText="1"/>
    </xf>
    <xf numFmtId="0" fontId="12" fillId="0" borderId="13" xfId="0" applyFont="1" applyFill="1" applyBorder="1" applyAlignment="1">
      <alignment horizontal="left" vertical="center" wrapText="1"/>
    </xf>
    <xf numFmtId="0" fontId="12" fillId="0" borderId="12" xfId="0" applyFont="1" applyFill="1" applyBorder="1" applyAlignment="1">
      <alignment horizontal="left" vertical="center" wrapText="1"/>
    </xf>
    <xf numFmtId="0" fontId="12" fillId="0" borderId="7" xfId="0" applyFont="1" applyFill="1" applyBorder="1" applyAlignment="1" applyProtection="1">
      <alignment horizontal="left" vertical="center" wrapText="1"/>
    </xf>
    <xf numFmtId="0" fontId="12" fillId="0" borderId="19" xfId="0" applyFont="1" applyFill="1" applyBorder="1" applyAlignment="1" applyProtection="1">
      <alignment horizontal="left" vertical="center" wrapText="1"/>
    </xf>
    <xf numFmtId="0" fontId="12" fillId="0" borderId="8" xfId="0" applyFont="1" applyFill="1" applyBorder="1" applyAlignment="1" applyProtection="1">
      <alignment horizontal="left" vertical="center" wrapText="1"/>
    </xf>
    <xf numFmtId="0" fontId="12" fillId="0" borderId="7" xfId="0" applyFont="1" applyFill="1" applyBorder="1" applyAlignment="1">
      <alignment horizontal="center" vertical="center" wrapText="1"/>
    </xf>
    <xf numFmtId="0" fontId="12" fillId="0" borderId="19" xfId="0" applyFont="1" applyFill="1" applyBorder="1" applyAlignment="1">
      <alignment horizontal="center" vertical="center" wrapText="1"/>
    </xf>
    <xf numFmtId="0" fontId="12" fillId="0" borderId="8" xfId="0" applyFont="1" applyFill="1" applyBorder="1" applyAlignment="1">
      <alignment horizontal="center" vertical="center" wrapText="1"/>
    </xf>
    <xf numFmtId="0" fontId="1" fillId="2" borderId="19" xfId="0" applyFont="1" applyFill="1" applyBorder="1" applyAlignment="1">
      <alignment horizontal="left" vertical="center" wrapText="1" indent="2"/>
    </xf>
    <xf numFmtId="0" fontId="1" fillId="2" borderId="8" xfId="0" applyFont="1" applyFill="1" applyBorder="1" applyAlignment="1">
      <alignment horizontal="left" vertical="center" wrapText="1" indent="2"/>
    </xf>
    <xf numFmtId="0" fontId="10" fillId="0" borderId="26" xfId="0" applyFont="1" applyFill="1" applyBorder="1" applyAlignment="1">
      <alignment horizontal="left" vertical="center" wrapText="1" indent="2"/>
    </xf>
    <xf numFmtId="0" fontId="10" fillId="0" borderId="19" xfId="0" applyFont="1" applyFill="1" applyBorder="1" applyAlignment="1">
      <alignment horizontal="left" vertical="center" wrapText="1" indent="2"/>
    </xf>
    <xf numFmtId="0" fontId="10" fillId="0" borderId="8" xfId="0" applyFont="1" applyFill="1" applyBorder="1" applyAlignment="1">
      <alignment horizontal="left" vertical="center" wrapText="1" indent="2"/>
    </xf>
    <xf numFmtId="0" fontId="11" fillId="0" borderId="26" xfId="0" applyFont="1" applyFill="1" applyBorder="1" applyAlignment="1">
      <alignment horizontal="left" vertical="center" wrapText="1" indent="2"/>
    </xf>
    <xf numFmtId="0" fontId="11" fillId="0" borderId="29" xfId="0" applyFont="1" applyFill="1" applyBorder="1" applyAlignment="1">
      <alignment horizontal="left" vertical="center" wrapText="1" indent="2"/>
    </xf>
    <xf numFmtId="0" fontId="11" fillId="0" borderId="20" xfId="0" applyFont="1" applyFill="1" applyBorder="1" applyAlignment="1">
      <alignment horizontal="left" vertical="center" wrapText="1" indent="2"/>
    </xf>
    <xf numFmtId="0" fontId="11" fillId="0" borderId="15" xfId="0" applyFont="1" applyFill="1" applyBorder="1" applyAlignment="1">
      <alignment horizontal="left" vertical="center" wrapText="1" indent="2"/>
    </xf>
    <xf numFmtId="0" fontId="2" fillId="0" borderId="7" xfId="0" applyFont="1" applyFill="1" applyBorder="1" applyAlignment="1">
      <alignment horizontal="center" vertical="top"/>
    </xf>
    <xf numFmtId="0" fontId="2" fillId="0" borderId="19" xfId="0" applyFont="1" applyFill="1" applyBorder="1" applyAlignment="1">
      <alignment horizontal="center" vertical="top"/>
    </xf>
    <xf numFmtId="0" fontId="2" fillId="0" borderId="8" xfId="0" applyFont="1" applyFill="1" applyBorder="1" applyAlignment="1">
      <alignment horizontal="center" vertical="top"/>
    </xf>
    <xf numFmtId="0" fontId="21" fillId="0" borderId="29" xfId="0" applyFont="1" applyFill="1" applyBorder="1" applyAlignment="1">
      <alignment horizontal="left" vertical="center" wrapText="1" indent="2"/>
    </xf>
    <xf numFmtId="0" fontId="21" fillId="0" borderId="20" xfId="0" applyFont="1" applyFill="1" applyBorder="1" applyAlignment="1">
      <alignment horizontal="left" vertical="center" wrapText="1" indent="2"/>
    </xf>
    <xf numFmtId="0" fontId="21" fillId="0" borderId="15" xfId="0" applyFont="1" applyFill="1" applyBorder="1" applyAlignment="1">
      <alignment horizontal="left" vertical="center" wrapText="1" indent="2"/>
    </xf>
    <xf numFmtId="165" fontId="12" fillId="0" borderId="7" xfId="0" applyNumberFormat="1" applyFont="1" applyFill="1" applyBorder="1" applyAlignment="1" applyProtection="1">
      <alignment horizontal="left" vertical="center" wrapText="1"/>
      <protection locked="0"/>
    </xf>
    <xf numFmtId="165" fontId="12" fillId="0" borderId="19" xfId="0" applyNumberFormat="1" applyFont="1" applyFill="1" applyBorder="1" applyAlignment="1" applyProtection="1">
      <alignment horizontal="left" vertical="center" wrapText="1"/>
      <protection locked="0"/>
    </xf>
    <xf numFmtId="165" fontId="12" fillId="0" borderId="8" xfId="0" applyNumberFormat="1" applyFont="1" applyFill="1" applyBorder="1" applyAlignment="1" applyProtection="1">
      <alignment horizontal="left" vertical="center" wrapText="1"/>
      <protection locked="0"/>
    </xf>
    <xf numFmtId="0" fontId="19" fillId="0" borderId="7" xfId="1" applyFill="1" applyBorder="1" applyAlignment="1" applyProtection="1">
      <alignment horizontal="left" vertical="center" wrapText="1"/>
      <protection locked="0"/>
    </xf>
    <xf numFmtId="0" fontId="22" fillId="0" borderId="0" xfId="0" applyFont="1" applyFill="1" applyBorder="1" applyAlignment="1">
      <alignment horizontal="left" vertical="center" wrapText="1"/>
    </xf>
    <xf numFmtId="0" fontId="12" fillId="0" borderId="7" xfId="0" applyFont="1" applyFill="1" applyBorder="1" applyAlignment="1" applyProtection="1">
      <alignment horizontal="center" vertical="center" wrapText="1"/>
      <protection locked="0"/>
    </xf>
    <xf numFmtId="0" fontId="12" fillId="0" borderId="19" xfId="0" applyFont="1" applyFill="1" applyBorder="1" applyAlignment="1" applyProtection="1">
      <alignment horizontal="center" vertical="center" wrapText="1"/>
      <protection locked="0"/>
    </xf>
    <xf numFmtId="0" fontId="12" fillId="0" borderId="8" xfId="0" applyFont="1" applyFill="1" applyBorder="1" applyAlignment="1" applyProtection="1">
      <alignment horizontal="center" vertical="center" wrapText="1"/>
      <protection locked="0"/>
    </xf>
    <xf numFmtId="0" fontId="10" fillId="0" borderId="31" xfId="0" applyFont="1" applyFill="1" applyBorder="1" applyAlignment="1">
      <alignment horizontal="left" vertical="center" wrapText="1" indent="2"/>
    </xf>
    <xf numFmtId="0" fontId="10" fillId="0" borderId="30" xfId="0" applyFont="1" applyFill="1" applyBorder="1" applyAlignment="1">
      <alignment horizontal="left" vertical="center" wrapText="1" indent="2"/>
    </xf>
    <xf numFmtId="0" fontId="10" fillId="0" borderId="12" xfId="0" applyFont="1" applyFill="1" applyBorder="1" applyAlignment="1">
      <alignment horizontal="center" vertical="center" wrapText="1"/>
    </xf>
    <xf numFmtId="0" fontId="10" fillId="0" borderId="11" xfId="0" applyFont="1" applyFill="1" applyBorder="1" applyAlignment="1">
      <alignment horizontal="center" vertical="center" wrapText="1"/>
    </xf>
    <xf numFmtId="0" fontId="10" fillId="0" borderId="13" xfId="0" applyFont="1" applyFill="1" applyBorder="1" applyAlignment="1">
      <alignment horizontal="center" vertical="center" wrapText="1"/>
    </xf>
    <xf numFmtId="0" fontId="10" fillId="0" borderId="14" xfId="0" applyFont="1" applyFill="1" applyBorder="1" applyAlignment="1">
      <alignment horizontal="center" vertical="center" wrapText="1"/>
    </xf>
    <xf numFmtId="0" fontId="10" fillId="0" borderId="20" xfId="0" applyFont="1" applyFill="1" applyBorder="1" applyAlignment="1">
      <alignment horizontal="center" vertical="center" wrapText="1"/>
    </xf>
    <xf numFmtId="0" fontId="10" fillId="0" borderId="15" xfId="0" applyFont="1" applyFill="1" applyBorder="1" applyAlignment="1">
      <alignment horizontal="center" vertical="center" wrapText="1"/>
    </xf>
    <xf numFmtId="0" fontId="10" fillId="0" borderId="7" xfId="0" applyFont="1" applyFill="1" applyBorder="1" applyAlignment="1">
      <alignment horizontal="left" vertical="center" wrapText="1" indent="2"/>
    </xf>
    <xf numFmtId="0" fontId="12" fillId="0" borderId="26" xfId="0" applyFont="1" applyFill="1" applyBorder="1" applyAlignment="1">
      <alignment horizontal="center" vertical="center" wrapText="1"/>
    </xf>
    <xf numFmtId="0" fontId="12" fillId="0" borderId="14" xfId="0" applyFont="1" applyFill="1" applyBorder="1" applyAlignment="1">
      <alignment horizontal="left" vertical="center" wrapText="1"/>
    </xf>
    <xf numFmtId="0" fontId="12" fillId="0" borderId="20" xfId="0" applyFont="1" applyFill="1" applyBorder="1" applyAlignment="1">
      <alignment horizontal="left" vertical="center" wrapText="1"/>
    </xf>
    <xf numFmtId="0" fontId="12" fillId="0" borderId="15" xfId="0" applyFont="1" applyFill="1" applyBorder="1" applyAlignment="1">
      <alignment horizontal="left" vertical="center" wrapText="1"/>
    </xf>
    <xf numFmtId="0" fontId="12" fillId="0" borderId="14" xfId="0" applyFont="1" applyFill="1" applyBorder="1" applyAlignment="1">
      <alignment horizontal="center" vertical="center" wrapText="1"/>
    </xf>
    <xf numFmtId="0" fontId="12" fillId="0" borderId="20" xfId="0" applyFont="1" applyFill="1" applyBorder="1" applyAlignment="1">
      <alignment horizontal="center" vertical="center" wrapText="1"/>
    </xf>
    <xf numFmtId="0" fontId="12" fillId="0" borderId="15" xfId="0" applyFont="1" applyFill="1" applyBorder="1" applyAlignment="1">
      <alignment horizontal="center" vertical="center" wrapText="1"/>
    </xf>
    <xf numFmtId="0" fontId="11" fillId="0" borderId="18" xfId="0" applyFont="1" applyFill="1" applyBorder="1" applyAlignment="1">
      <alignment horizontal="left" vertical="center" wrapText="1" indent="2"/>
    </xf>
    <xf numFmtId="0" fontId="11" fillId="0" borderId="0" xfId="0" applyFont="1" applyFill="1" applyBorder="1" applyAlignment="1">
      <alignment horizontal="left" vertical="center" wrapText="1" indent="2"/>
    </xf>
    <xf numFmtId="0" fontId="11" fillId="0" borderId="17" xfId="0" applyFont="1" applyFill="1" applyBorder="1" applyAlignment="1">
      <alignment horizontal="left" vertical="center" wrapText="1" indent="2"/>
    </xf>
    <xf numFmtId="0" fontId="11" fillId="0" borderId="12" xfId="0" applyFont="1" applyFill="1" applyBorder="1" applyAlignment="1">
      <alignment horizontal="left" vertical="center" wrapText="1" indent="2"/>
    </xf>
    <xf numFmtId="0" fontId="11" fillId="0" borderId="11" xfId="0" applyFont="1" applyFill="1" applyBorder="1" applyAlignment="1">
      <alignment horizontal="left" vertical="center" wrapText="1" indent="2"/>
    </xf>
    <xf numFmtId="0" fontId="11" fillId="0" borderId="13" xfId="0" applyFont="1" applyFill="1" applyBorder="1" applyAlignment="1">
      <alignment horizontal="left" vertical="center" wrapText="1" indent="2"/>
    </xf>
    <xf numFmtId="0" fontId="24" fillId="0" borderId="21" xfId="0" applyFont="1" applyFill="1" applyBorder="1" applyAlignment="1">
      <alignment horizontal="left" vertical="center" wrapText="1" indent="2"/>
    </xf>
    <xf numFmtId="0" fontId="24" fillId="0" borderId="11" xfId="0" applyFont="1" applyFill="1" applyBorder="1" applyAlignment="1">
      <alignment horizontal="left" vertical="center" wrapText="1" indent="2"/>
    </xf>
    <xf numFmtId="0" fontId="24" fillId="0" borderId="13" xfId="0" applyFont="1" applyFill="1" applyBorder="1" applyAlignment="1">
      <alignment horizontal="left" vertical="center" wrapText="1" indent="2"/>
    </xf>
    <xf numFmtId="164" fontId="10" fillId="0" borderId="7" xfId="0" applyNumberFormat="1" applyFont="1" applyFill="1" applyBorder="1" applyAlignment="1">
      <alignment horizontal="left" vertical="center" wrapText="1" indent="1"/>
    </xf>
    <xf numFmtId="164" fontId="10" fillId="0" borderId="19" xfId="0" applyNumberFormat="1" applyFont="1" applyFill="1" applyBorder="1" applyAlignment="1">
      <alignment horizontal="left" vertical="center" wrapText="1" indent="1"/>
    </xf>
    <xf numFmtId="164" fontId="10" fillId="0" borderId="8" xfId="0" applyNumberFormat="1" applyFont="1" applyFill="1" applyBorder="1" applyAlignment="1">
      <alignment horizontal="left" vertical="center" wrapText="1" indent="1"/>
    </xf>
    <xf numFmtId="0" fontId="12" fillId="0" borderId="7" xfId="0" applyFont="1" applyFill="1" applyBorder="1" applyAlignment="1" applyProtection="1">
      <alignment vertical="center" wrapText="1"/>
      <protection locked="0"/>
    </xf>
    <xf numFmtId="0" fontId="12" fillId="0" borderId="19" xfId="0" applyFont="1" applyFill="1" applyBorder="1" applyAlignment="1" applyProtection="1">
      <alignment vertical="center" wrapText="1"/>
      <protection locked="0"/>
    </xf>
    <xf numFmtId="0" fontId="12" fillId="0" borderId="8" xfId="0" applyFont="1" applyFill="1" applyBorder="1" applyAlignment="1" applyProtection="1">
      <alignment vertical="center" wrapText="1"/>
      <protection locked="0"/>
    </xf>
    <xf numFmtId="0" fontId="12" fillId="0" borderId="6" xfId="0" applyFont="1" applyFill="1" applyBorder="1" applyAlignment="1" applyProtection="1">
      <alignment horizontal="left" vertical="center" wrapText="1"/>
      <protection locked="0"/>
    </xf>
    <xf numFmtId="0" fontId="23" fillId="0" borderId="6" xfId="0" applyFont="1" applyFill="1" applyBorder="1" applyAlignment="1" applyProtection="1">
      <alignment horizontal="left" vertical="top" wrapText="1" indent="2"/>
      <protection locked="0"/>
    </xf>
    <xf numFmtId="0" fontId="11" fillId="0" borderId="6" xfId="0" applyFont="1" applyFill="1" applyBorder="1" applyAlignment="1">
      <alignment horizontal="left" vertical="center" wrapText="1" indent="2"/>
    </xf>
    <xf numFmtId="0" fontId="1" fillId="2" borderId="6" xfId="0" applyFont="1" applyFill="1" applyBorder="1" applyAlignment="1">
      <alignment horizontal="left" vertical="center" wrapText="1" indent="2"/>
    </xf>
    <xf numFmtId="0" fontId="12" fillId="0" borderId="7" xfId="0" applyFont="1" applyFill="1" applyBorder="1" applyAlignment="1">
      <alignment horizontal="left" vertical="center" wrapText="1" indent="2"/>
    </xf>
    <xf numFmtId="0" fontId="12" fillId="0" borderId="19" xfId="0" applyFont="1" applyFill="1" applyBorder="1" applyAlignment="1">
      <alignment horizontal="left" vertical="center" wrapText="1" indent="2"/>
    </xf>
    <xf numFmtId="0" fontId="12" fillId="0" borderId="8" xfId="0" applyFont="1" applyFill="1" applyBorder="1" applyAlignment="1">
      <alignment horizontal="left" vertical="center" wrapText="1" indent="2"/>
    </xf>
    <xf numFmtId="0" fontId="43" fillId="0" borderId="7" xfId="0" applyFont="1" applyFill="1" applyBorder="1" applyAlignment="1" applyProtection="1">
      <alignment horizontal="left" vertical="center" wrapText="1"/>
    </xf>
    <xf numFmtId="0" fontId="43" fillId="0" borderId="19" xfId="0" applyFont="1" applyFill="1" applyBorder="1" applyAlignment="1" applyProtection="1">
      <alignment horizontal="left" vertical="center" wrapText="1"/>
    </xf>
    <xf numFmtId="0" fontId="43" fillId="0" borderId="8" xfId="0" applyFont="1" applyFill="1" applyBorder="1" applyAlignment="1" applyProtection="1">
      <alignment horizontal="left" vertical="center" wrapText="1"/>
    </xf>
    <xf numFmtId="164" fontId="43" fillId="0" borderId="7" xfId="0" applyNumberFormat="1" applyFont="1" applyFill="1" applyBorder="1" applyAlignment="1" applyProtection="1">
      <alignment horizontal="left" vertical="center" wrapText="1"/>
      <protection locked="0"/>
    </xf>
    <xf numFmtId="164" fontId="43" fillId="0" borderId="19" xfId="0" applyNumberFormat="1" applyFont="1" applyFill="1" applyBorder="1" applyAlignment="1" applyProtection="1">
      <alignment horizontal="left" vertical="center" wrapText="1"/>
      <protection locked="0"/>
    </xf>
    <xf numFmtId="164" fontId="43" fillId="0" borderId="8" xfId="0" applyNumberFormat="1" applyFont="1" applyFill="1" applyBorder="1" applyAlignment="1" applyProtection="1">
      <alignment horizontal="left" vertical="center" wrapText="1"/>
      <protection locked="0"/>
    </xf>
    <xf numFmtId="0" fontId="12" fillId="0" borderId="7" xfId="0" applyFont="1" applyFill="1" applyBorder="1" applyAlignment="1" applyProtection="1">
      <alignment horizontal="left" vertical="center" wrapText="1" indent="2"/>
    </xf>
    <xf numFmtId="0" fontId="12" fillId="0" borderId="19" xfId="0" applyFont="1" applyFill="1" applyBorder="1" applyAlignment="1" applyProtection="1">
      <alignment horizontal="left" vertical="center" wrapText="1" indent="2"/>
    </xf>
    <xf numFmtId="0" fontId="12" fillId="0" borderId="8" xfId="0" applyFont="1" applyFill="1" applyBorder="1" applyAlignment="1" applyProtection="1">
      <alignment horizontal="left" vertical="center" wrapText="1" indent="2"/>
    </xf>
    <xf numFmtId="0" fontId="12" fillId="0" borderId="28" xfId="0" applyFont="1" applyFill="1" applyBorder="1" applyAlignment="1">
      <alignment horizontal="left" vertical="center" wrapText="1" indent="2"/>
    </xf>
    <xf numFmtId="0" fontId="12" fillId="0" borderId="19" xfId="0" applyFont="1" applyFill="1" applyBorder="1" applyAlignment="1">
      <alignment horizontal="center" vertical="top" wrapText="1"/>
    </xf>
    <xf numFmtId="0" fontId="12" fillId="0" borderId="28" xfId="0" applyFont="1" applyFill="1" applyBorder="1" applyAlignment="1">
      <alignment horizontal="center" vertical="top" wrapText="1"/>
    </xf>
    <xf numFmtId="0" fontId="10" fillId="0" borderId="19" xfId="0" applyFont="1" applyFill="1" applyBorder="1" applyAlignment="1" applyProtection="1">
      <alignment horizontal="left" vertical="center" wrapText="1" indent="2"/>
      <protection locked="0"/>
    </xf>
    <xf numFmtId="0" fontId="10" fillId="0" borderId="8" xfId="0" applyFont="1" applyFill="1" applyBorder="1" applyAlignment="1" applyProtection="1">
      <alignment horizontal="left" vertical="center" wrapText="1" indent="2"/>
      <protection locked="0"/>
    </xf>
    <xf numFmtId="0" fontId="23" fillId="0" borderId="7" xfId="0" applyFont="1" applyFill="1" applyBorder="1" applyAlignment="1" applyProtection="1">
      <alignment horizontal="left" vertical="top" wrapText="1" indent="2"/>
      <protection locked="0"/>
    </xf>
    <xf numFmtId="0" fontId="23" fillId="0" borderId="19" xfId="0" applyFont="1" applyFill="1" applyBorder="1" applyAlignment="1" applyProtection="1">
      <alignment horizontal="left" vertical="top" wrapText="1" indent="2"/>
      <protection locked="0"/>
    </xf>
    <xf numFmtId="0" fontId="23" fillId="0" borderId="8" xfId="0" applyFont="1" applyFill="1" applyBorder="1" applyAlignment="1" applyProtection="1">
      <alignment horizontal="left" vertical="top" wrapText="1" indent="2"/>
      <protection locked="0"/>
    </xf>
    <xf numFmtId="0" fontId="6" fillId="0" borderId="7" xfId="0" applyFont="1" applyFill="1" applyBorder="1" applyAlignment="1">
      <alignment horizontal="left" vertical="center" wrapText="1" indent="2"/>
    </xf>
    <xf numFmtId="0" fontId="6" fillId="0" borderId="19" xfId="0" applyFont="1" applyFill="1" applyBorder="1" applyAlignment="1">
      <alignment horizontal="left" vertical="center" wrapText="1" indent="2"/>
    </xf>
    <xf numFmtId="0" fontId="6" fillId="0" borderId="8" xfId="0" applyFont="1" applyFill="1" applyBorder="1" applyAlignment="1">
      <alignment horizontal="left" vertical="center" wrapText="1" indent="2"/>
    </xf>
    <xf numFmtId="0" fontId="26" fillId="0" borderId="0" xfId="0" applyFont="1" applyFill="1" applyBorder="1" applyAlignment="1">
      <alignment horizontal="center" vertical="center" wrapText="1"/>
    </xf>
    <xf numFmtId="0" fontId="44" fillId="0" borderId="7" xfId="0" applyFont="1" applyFill="1" applyBorder="1" applyAlignment="1">
      <alignment horizontal="left" vertical="center" wrapText="1" indent="2"/>
    </xf>
    <xf numFmtId="0" fontId="44" fillId="0" borderId="8" xfId="0" applyFont="1" applyFill="1" applyBorder="1" applyAlignment="1">
      <alignment horizontal="left" vertical="center" wrapText="1" indent="2"/>
    </xf>
  </cellXfs>
  <cellStyles count="2">
    <cellStyle name="Hyperlink" xfId="1" builtinId="8"/>
    <cellStyle name="Normal" xfId="0" builtinId="0"/>
  </cellStyles>
  <dxfs count="4">
    <dxf>
      <font>
        <color rgb="FFFF0000"/>
      </font>
    </dxf>
    <dxf>
      <font>
        <color rgb="FF92D050"/>
      </font>
    </dxf>
    <dxf>
      <font>
        <color rgb="FFFF0000"/>
      </font>
    </dxf>
    <dxf>
      <font>
        <color rgb="FF92D050"/>
      </font>
    </dxf>
  </dxfs>
  <tableStyles count="0" defaultTableStyle="TableStyleMedium9" defaultPivotStyle="PivotStyleLight16"/>
  <colors>
    <mruColors>
      <color rgb="FF5F636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ustomXml" Target="../customXml/item1.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Drop" dropLines="3" dropStyle="combo" dx="14" fmlaLink="$B$13" fmlaRange="constants!$F$13:$F$15" noThreeD="1" sel="1" val="0"/>
</file>

<file path=xl/ctrlProps/ctrlProp2.xml><?xml version="1.0" encoding="utf-8"?>
<formControlPr xmlns="http://schemas.microsoft.com/office/spreadsheetml/2009/9/main" objectType="Drop" dropLines="3" dropStyle="combo" dx="14" fmlaLink="$B$19" fmlaRange="constants!$F$13:$F$15" noThreeD="1" sel="1" val="0"/>
</file>

<file path=xl/ctrlProps/ctrlProp3.xml><?xml version="1.0" encoding="utf-8"?>
<formControlPr xmlns="http://schemas.microsoft.com/office/spreadsheetml/2009/9/main" objectType="Drop" dropStyle="combo" dx="14" fmlaLink="$B$20" fmlaRange="constants!$F$40:$F$44" noThreeD="1" sel="1" val="0"/>
</file>

<file path=xl/ctrlProps/ctrlProp4.xml><?xml version="1.0" encoding="utf-8"?>
<formControlPr xmlns="http://schemas.microsoft.com/office/spreadsheetml/2009/9/main" objectType="Drop" dropLines="50" dropStyle="combo" dx="14" fmlaLink="$B$6" fmlaRange="constants!$B$4:$B$262" noThreeD="1" sel="1" val="0"/>
</file>

<file path=xl/ctrlProps/ctrlProp5.xml><?xml version="1.0" encoding="utf-8"?>
<formControlPr xmlns="http://schemas.microsoft.com/office/spreadsheetml/2009/9/main" objectType="Drop" dropStyle="combo" dx="14" fmlaLink="$B$7" fmlaRange="constants!$F$24:$F$31" noThreeD="1" sel="1" val="0"/>
</file>

<file path=xl/ctrlProps/ctrlProp6.xml><?xml version="1.0" encoding="utf-8"?>
<formControlPr xmlns="http://schemas.microsoft.com/office/spreadsheetml/2009/9/main" objectType="Drop" dropLines="3" dropStyle="combo" dx="14" fmlaLink="$B$9" fmlaRange="constants!$F$13:$F$15" noThreeD="1" sel="1" val="0"/>
</file>

<file path=xl/ctrlProps/ctrlProp7.xml><?xml version="1.0" encoding="utf-8"?>
<formControlPr xmlns="http://schemas.microsoft.com/office/spreadsheetml/2009/9/main" objectType="Drop" dropStyle="combo" dx="14" fmlaLink="$B$10" fmlaRange="constants!$J$3:$J$8" noThreeD="1" sel="1" val="0"/>
</file>

<file path=xl/ctrlProps/ctrlProp8.xml><?xml version="1.0" encoding="utf-8"?>
<formControlPr xmlns="http://schemas.microsoft.com/office/spreadsheetml/2009/9/main" objectType="Drop" dropLines="4" dropStyle="combo" dx="14" fmlaLink="$B$9" fmlaRange="constants!$F$18:$F$21" noThreeD="1" sel="3" val="0"/>
</file>

<file path=xl/ctrlProps/ctrlProp9.xml><?xml version="1.0" encoding="utf-8"?>
<formControlPr xmlns="http://schemas.microsoft.com/office/spreadsheetml/2009/9/main" objectType="Drop" dropStyle="combo" dx="14" fmlaLink="$B$12" fmlaRange="CountryOfPassport" noThreeD="1" sel="95" val="89"/>
</file>

<file path=xl/ctrlProps/ctrlProp10.xml><?xml version="1.0" encoding="utf-8"?>
<formControlPr xmlns="http://schemas.microsoft.com/office/spreadsheetml/2009/9/main" objectType="Drop" dropStyle="combo" dx="14" fmlaLink="$B$13" fmlaRange="constants!$D$3:$D$239" noThreeD="1" sel="95" val="92"/>
</file>

<file path=xl/ctrlProps/ctrlProp11.xml><?xml version="1.0" encoding="utf-8"?>
<formControlPr xmlns="http://schemas.microsoft.com/office/spreadsheetml/2009/9/main" objectType="Drop" dropLines="3" dropStyle="combo" dx="14" fmlaLink="$B$20" fmlaRange="constants!$F$13:$F$15" noThreeD="1" sel="2" val="0"/>
</file>

<file path=xl/ctrlProps/ctrlProp12.xml><?xml version="1.0" encoding="utf-8"?>
<formControlPr xmlns="http://schemas.microsoft.com/office/spreadsheetml/2009/9/main" objectType="Drop" dropLines="3" dropStyle="combo" dx="14" fmlaLink="$B$24" fmlaRange="constants!$F$13:$F$15" noThreeD="1" sel="2" val="0"/>
</file>

<file path=xl/ctrlProps/ctrlProp13.xml><?xml version="1.0" encoding="utf-8"?>
<formControlPr xmlns="http://schemas.microsoft.com/office/spreadsheetml/2009/9/main" objectType="Drop" dropStyle="combo" dx="14" fmlaLink="$B$37" fmlaRange="constants!$B$4:$B$262" noThreeD="1" sel="104" val="100"/>
</file>

<file path=xl/ctrlProps/ctrlProp14.xml><?xml version="1.0" encoding="utf-8"?>
<formControlPr xmlns="http://schemas.microsoft.com/office/spreadsheetml/2009/9/main" objectType="Drop" dropStyle="combo" dx="14" fmlaLink="$B$40" fmlaRange="RelationshipStatus" noThreeD="1" sel="6" val="0"/>
</file>

<file path=xl/ctrlProps/ctrlProp15.xml><?xml version="1.0" encoding="utf-8"?>
<formControlPr xmlns="http://schemas.microsoft.com/office/spreadsheetml/2009/9/main" objectType="Drop" dropLines="3" dropStyle="combo" dx="14" fmlaLink="$B$44" fmlaRange="constants!$F$13:$F$15" noThreeD="1" sel="3" val="0"/>
</file>

<file path=xl/ctrlProps/ctrlProp16.xml><?xml version="1.0" encoding="utf-8"?>
<formControlPr xmlns="http://schemas.microsoft.com/office/spreadsheetml/2009/9/main" objectType="Drop" dropStyle="combo" dx="14" fmlaLink="$B$47" fmlaRange="ReasonNameChange" noThreeD="1" sel="1" val="0"/>
</file>

<file path=xl/ctrlProps/ctrlProp17.xml><?xml version="1.0" encoding="utf-8"?>
<formControlPr xmlns="http://schemas.microsoft.com/office/spreadsheetml/2009/9/main" objectType="Drop" dropLines="3" dropStyle="combo" dx="14" fmlaLink="$B$53" fmlaRange="constants!$F$13:$F$15" noThreeD="1" sel="3" val="0"/>
</file>

<file path=xl/ctrlProps/ctrlProp18.xml><?xml version="1.0" encoding="utf-8"?>
<formControlPr xmlns="http://schemas.microsoft.com/office/spreadsheetml/2009/9/main" objectType="Drop" dropStyle="combo" dx="14" fmlaLink="$B$54" fmlaRange="constants!$B$4:$B$262" noThreeD="1" sel="1" val="0"/>
</file>

<file path=xl/ctrlProps/ctrlProp19.xml><?xml version="1.0" encoding="utf-8"?>
<formControlPr xmlns="http://schemas.microsoft.com/office/spreadsheetml/2009/9/main" objectType="Drop" dropStyle="combo" dx="14" fmlaLink="$B$55" fmlaRange="constants!$B$4:$B$262" noThreeD="1" sel="1" val="0"/>
</file>

<file path=xl/ctrlProps/ctrlProp20.xml><?xml version="1.0" encoding="utf-8"?>
<formControlPr xmlns="http://schemas.microsoft.com/office/spreadsheetml/2009/9/main" objectType="Drop" dropLines="3" dropStyle="combo" dx="14" fmlaLink="$B$57" fmlaRange="constants!$F$13:$F$15" noThreeD="1" sel="3" val="0"/>
</file>

<file path=xl/ctrlProps/ctrlProp21.xml><?xml version="1.0" encoding="utf-8"?>
<formControlPr xmlns="http://schemas.microsoft.com/office/spreadsheetml/2009/9/main" objectType="Drop" dropStyle="combo" dx="14" fmlaLink="$B$58" fmlaRange="TypeOfDocument" noThreeD="1" sel="1" val="0"/>
</file>

<file path=xl/ctrlProps/ctrlProp22.xml><?xml version="1.0" encoding="utf-8"?>
<formControlPr xmlns="http://schemas.microsoft.com/office/spreadsheetml/2009/9/main" objectType="Drop" dropLines="4" dropStyle="combo" dx="14" fmlaLink="$B$61" fmlaRange="sex" noThreeD="1" sel="1" val="0"/>
</file>

<file path=xl/ctrlProps/ctrlProp23.xml><?xml version="1.0" encoding="utf-8"?>
<formControlPr xmlns="http://schemas.microsoft.com/office/spreadsheetml/2009/9/main" objectType="Drop" dropStyle="combo" dx="14" fmlaLink="$B$64" fmlaRange="CountryOfPassport" noThreeD="1" sel="1" val="0"/>
</file>

<file path=xl/ctrlProps/ctrlProp24.xml><?xml version="1.0" encoding="utf-8"?>
<formControlPr xmlns="http://schemas.microsoft.com/office/spreadsheetml/2009/9/main" objectType="Drop" dropStyle="combo" dx="14" fmlaLink="$B$65" fmlaRange="CountryOfPassport" noThreeD="1" sel="1" val="0"/>
</file>

<file path=xl/ctrlProps/ctrlProp25.xml><?xml version="1.0" encoding="utf-8"?>
<formControlPr xmlns="http://schemas.microsoft.com/office/spreadsheetml/2009/9/main" objectType="Drop" dropStyle="combo" dx="14" fmlaLink="$B$74" fmlaRange="constants!$H$25:$H$29" noThreeD="1" sel="5" val="0"/>
</file>

<file path=xl/ctrlProps/ctrlProp26.xml><?xml version="1.0" encoding="utf-8"?>
<formControlPr xmlns="http://schemas.microsoft.com/office/spreadsheetml/2009/9/main" objectType="Drop" dropLines="3" dropStyle="combo" dx="14" fmlaLink="$B$71" fmlaRange="constants!$F$13:$F$15" noThreeD="1" sel="2" val="0"/>
</file>

<file path=xl/ctrlProps/ctrlProp27.xml><?xml version="1.0" encoding="utf-8"?>
<formControlPr xmlns="http://schemas.microsoft.com/office/spreadsheetml/2009/9/main" objectType="Drop" dropStyle="combo" dx="14" fmlaLink="$B$76" fmlaRange="constants!$B$4:$B$262" noThreeD="1" sel="104" val="101"/>
</file>

<file path=xl/ctrlProps/ctrlProp28.xml><?xml version="1.0" encoding="utf-8"?>
<formControlPr xmlns="http://schemas.microsoft.com/office/spreadsheetml/2009/9/main" objectType="Drop" dropStyle="combo" dx="14" fmlaLink="$B$28" fmlaRange="constants!$B$4:$B$262" noThreeD="1" sel="104" val="98"/>
</file>

<file path=xl/ctrlProps/ctrlProp29.xml><?xml version="1.0" encoding="utf-8"?>
<formControlPr xmlns="http://schemas.microsoft.com/office/spreadsheetml/2009/9/main" objectType="Drop" dropLines="3" dropStyle="combo" dx="14" fmlaLink="$B$52" fmlaRange="constants!$F$13:$F$15" noThreeD="1" sel="2" val="0"/>
</file>

<file path=xl/ctrlProps/ctrlProp30.xml><?xml version="1.0" encoding="utf-8"?>
<formControlPr xmlns="http://schemas.microsoft.com/office/spreadsheetml/2009/9/main" objectType="Drop" dropStyle="combo" dx="14" fmlaLink="$B$16" fmlaRange="constants!$H$40:$H$72" noThreeD="1" sel="1" val="0"/>
</file>

<file path=xl/ctrlProps/ctrlProp31.xml><?xml version="1.0" encoding="utf-8"?>
<formControlPr xmlns="http://schemas.microsoft.com/office/spreadsheetml/2009/9/main" objectType="Drop" dropLines="3" dropStyle="combo" dx="14" fmlaLink="$B$26" fmlaRange="constants!$F$13:$F$15" noThreeD="1" sel="1" val="0"/>
</file>

<file path=xl/ctrlProps/ctrlProp32.xml><?xml version="1.0" encoding="utf-8"?>
<formControlPr xmlns="http://schemas.microsoft.com/office/spreadsheetml/2009/9/main" objectType="Drop" dropStyle="combo" dx="14" fmlaLink="$B$7" fmlaRange="constants!$B$4:$B$262" noThreeD="1" sel="1" val="0"/>
</file>

<file path=xl/ctrlProps/ctrlProp33.xml><?xml version="1.0" encoding="utf-8"?>
<formControlPr xmlns="http://schemas.microsoft.com/office/spreadsheetml/2009/9/main" objectType="Drop" dropStyle="combo" dx="14" fmlaLink="$B$8" fmlaRange="constants!$F$24:$F$31" noThreeD="1" sel="1" val="0"/>
</file>

<file path=xl/ctrlProps/ctrlProp34.xml><?xml version="1.0" encoding="utf-8"?>
<formControlPr xmlns="http://schemas.microsoft.com/office/spreadsheetml/2009/9/main" objectType="Drop" dropLines="4" dropStyle="combo" dx="14" fmlaLink="$B$15" fmlaRange="constants!$F$18:$F$21" noThreeD="1" sel="1" val="0"/>
</file>

<file path=xl/ctrlProps/ctrlProp35.xml><?xml version="1.0" encoding="utf-8"?>
<formControlPr xmlns="http://schemas.microsoft.com/office/spreadsheetml/2009/9/main" objectType="Drop" dropStyle="combo" dx="14" fmlaLink="$B$18" fmlaRange="CountryOfPassport" noThreeD="1" sel="1" val="0"/>
</file>

<file path=xl/ctrlProps/ctrlProp36.xml><?xml version="1.0" encoding="utf-8"?>
<formControlPr xmlns="http://schemas.microsoft.com/office/spreadsheetml/2009/9/main" objectType="Drop" dropStyle="combo" dx="14" fmlaLink="$B$19" fmlaRange="CountryOfPassport" noThreeD="1" sel="1" val="0"/>
</file>

<file path=xl/ctrlProps/ctrlProp37.xml><?xml version="1.0" encoding="utf-8"?>
<formControlPr xmlns="http://schemas.microsoft.com/office/spreadsheetml/2009/9/main" objectType="Drop" dropLines="3" dropStyle="combo" dx="14" fmlaLink="$B$30" fmlaRange="constants!$F$13:$F$15" noThreeD="1" sel="1" val="0"/>
</file>

<file path=xl/ctrlProps/ctrlProp38.xml><?xml version="1.0" encoding="utf-8"?>
<formControlPr xmlns="http://schemas.microsoft.com/office/spreadsheetml/2009/9/main" objectType="Drop" dropStyle="combo" dx="14" fmlaLink="$B$34" fmlaRange="constants!$B$4:$B$262" noThreeD="1" sel="1" val="0"/>
</file>

<file path=xl/ctrlProps/ctrlProp39.xml><?xml version="1.0" encoding="utf-8"?>
<formControlPr xmlns="http://schemas.microsoft.com/office/spreadsheetml/2009/9/main" objectType="Drop" dropStyle="combo" dx="14" fmlaLink="$B$43" fmlaRange="constants!$B$4:$B$262" noThreeD="1" sel="1" val="0"/>
</file>

<file path=xl/ctrlProps/ctrlProp40.xml><?xml version="1.0" encoding="utf-8"?>
<formControlPr xmlns="http://schemas.microsoft.com/office/spreadsheetml/2009/9/main" objectType="Drop" dropStyle="combo" dx="14" fmlaLink="$B$49" fmlaRange="constants!$H$19:$H$22" noThreeD="1" sel="1" val="0"/>
</file>

<file path=xl/ctrlProps/ctrlProp41.xml><?xml version="1.0" encoding="utf-8"?>
<formControlPr xmlns="http://schemas.microsoft.com/office/spreadsheetml/2009/9/main" objectType="Drop" dropLines="3" dropStyle="combo" dx="14" fmlaLink="$B$46:$B$46" fmlaRange="constants!$F$13:$F$15" noThreeD="1" sel="1" val="0"/>
</file>

<file path=xl/ctrlProps/ctrlProp42.xml><?xml version="1.0" encoding="utf-8"?>
<formControlPr xmlns="http://schemas.microsoft.com/office/spreadsheetml/2009/9/main" objectType="Drop" dropLines="3" dropStyle="combo" dx="14" fmlaLink="$B$54" fmlaRange="constants!$F$13:$F$15" noThreeD="1" sel="1" val="0"/>
</file>

<file path=xl/ctrlProps/ctrlProp43.xml><?xml version="1.0" encoding="utf-8"?>
<formControlPr xmlns="http://schemas.microsoft.com/office/spreadsheetml/2009/9/main" objectType="Drop" dropLines="3" dropStyle="combo" dx="14" fmlaLink="$B$55" fmlaRange="constants!$F$13:$F$15" noThreeD="1" sel="1" val="0"/>
</file>

<file path=xl/ctrlProps/ctrlProp44.xml><?xml version="1.0" encoding="utf-8"?>
<formControlPr xmlns="http://schemas.microsoft.com/office/spreadsheetml/2009/9/main" objectType="Drop" dropStyle="combo" dx="14" fmlaLink="$B$56" fmlaRange="constants!$B$4:$B$262" noThreeD="1" sel="1" val="0"/>
</file>

<file path=xl/ctrlProps/ctrlProp45.xml><?xml version="1.0" encoding="utf-8"?>
<formControlPr xmlns="http://schemas.microsoft.com/office/spreadsheetml/2009/9/main" objectType="Drop" dropStyle="combo" dx="14" fmlaLink="$B$57" fmlaRange="constants!$B$4:$B$262" noThreeD="1" sel="1" val="0"/>
</file>

<file path=xl/ctrlProps/ctrlProp46.xml><?xml version="1.0" encoding="utf-8"?>
<formControlPr xmlns="http://schemas.microsoft.com/office/spreadsheetml/2009/9/main" objectType="Drop" dropLines="3" dropStyle="combo" dx="14" fmlaLink="$B$59" fmlaRange="constants!$F$13:$F$15" noThreeD="1" sel="1" val="0"/>
</file>

<file path=xl/ctrlProps/ctrlProp47.xml><?xml version="1.0" encoding="utf-8"?>
<formControlPr xmlns="http://schemas.microsoft.com/office/spreadsheetml/2009/9/main" objectType="Drop" dropStyle="combo" dx="14" fmlaLink="$B$60" fmlaRange="TypeOfDocument" noThreeD="1" sel="1" val="0"/>
</file>

<file path=xl/ctrlProps/ctrlProp48.xml><?xml version="1.0" encoding="utf-8"?>
<formControlPr xmlns="http://schemas.microsoft.com/office/spreadsheetml/2009/9/main" objectType="Drop" dropLines="4" dropStyle="combo" dx="14" fmlaLink="$B$63" fmlaRange="sex" noThreeD="1" sel="1" val="0"/>
</file>

<file path=xl/ctrlProps/ctrlProp49.xml><?xml version="1.0" encoding="utf-8"?>
<formControlPr xmlns="http://schemas.microsoft.com/office/spreadsheetml/2009/9/main" objectType="Drop" dropStyle="combo" dx="14" fmlaLink="$B$66" fmlaRange="CountryOfPassport" noThreeD="1" sel="1" val="0"/>
</file>

<file path=xl/ctrlProps/ctrlProp50.xml><?xml version="1.0" encoding="utf-8"?>
<formControlPr xmlns="http://schemas.microsoft.com/office/spreadsheetml/2009/9/main" objectType="Drop" dropStyle="combo" dx="14" fmlaLink="$B$67" fmlaRange="CountryOfPassport" noThreeD="1" sel="1" val="0"/>
</file>

<file path=xl/ctrlProps/ctrlProp51.xml><?xml version="1.0" encoding="utf-8"?>
<formControlPr xmlns="http://schemas.microsoft.com/office/spreadsheetml/2009/9/main" objectType="Drop" dropStyle="combo" dx="14" fmlaLink="$B$76" fmlaRange="constants!$H$25:$H$29" noThreeD="1" sel="1" val="0"/>
</file>

<file path=xl/ctrlProps/ctrlProp52.xml><?xml version="1.0" encoding="utf-8"?>
<formControlPr xmlns="http://schemas.microsoft.com/office/spreadsheetml/2009/9/main" objectType="Drop" dropLines="3" dropStyle="combo" dx="14" fmlaLink="$B$73" fmlaRange="constants!$F$13:$F$15" noThreeD="1" sel="1" val="0"/>
</file>

<file path=xl/ctrlProps/ctrlProp53.xml><?xml version="1.0" encoding="utf-8"?>
<formControlPr xmlns="http://schemas.microsoft.com/office/spreadsheetml/2009/9/main" objectType="Drop" dropStyle="combo" dx="14" fmlaLink="$B$78" fmlaRange="constants!$B$4:$B$262" noThreeD="1" sel="1" val="0"/>
</file>

<file path=xl/ctrlProps/ctrlProp54.xml><?xml version="1.0" encoding="utf-8"?>
<formControlPr xmlns="http://schemas.microsoft.com/office/spreadsheetml/2009/9/main" objectType="Drop" dropStyle="combo" dx="14" fmlaLink="$B$67" fmlaRange="CountryOfPassport" noThreeD="1" sel="1" val="0"/>
</file>

<file path=xl/ctrlProps/ctrlProp55.xml><?xml version="1.0" encoding="utf-8"?>
<formControlPr xmlns="http://schemas.microsoft.com/office/spreadsheetml/2009/9/main" objectType="Drop" dropLines="33" dropStyle="combo" dx="14" fmlaLink="$B$22" fmlaRange="constants!$H$40:$H$72" noThreeD="1" sel="1" val="0"/>
</file>

<file path=xl/ctrlProps/ctrlProp56.xml><?xml version="1.0" encoding="utf-8"?>
<formControlPr xmlns="http://schemas.microsoft.com/office/spreadsheetml/2009/9/main" objectType="Drop" dropStyle="combo" dx="14" fmlaLink="$B$28" fmlaRange="constants!$B$4:$B$262" noThreeD="1" sel="0" val="0"/>
</file>

<file path=xl/ctrlProps/ctrlProp57.xml><?xml version="1.0" encoding="utf-8"?>
<formControlPr xmlns="http://schemas.microsoft.com/office/spreadsheetml/2009/9/main" objectType="Drop" dropLines="3" dropStyle="combo" dx="14" fmlaLink="$B$88" fmlaRange="constants!$F$13:$F$15" noThreeD="1" sel="1" val="0"/>
</file>

<file path=xl/ctrlProps/ctrlProp58.xml><?xml version="1.0" encoding="utf-8"?>
<formControlPr xmlns="http://schemas.microsoft.com/office/spreadsheetml/2009/9/main" objectType="Drop" dropLines="3" dropStyle="combo" dx="14" fmlaLink="$B$89" fmlaRange="constants!$F$13:$F$15" noThreeD="1" sel="1" val="0"/>
</file>

<file path=xl/ctrlProps/ctrlProp59.xml><?xml version="1.0" encoding="utf-8"?>
<formControlPr xmlns="http://schemas.microsoft.com/office/spreadsheetml/2009/9/main" objectType="Drop" dropLines="3" dropStyle="combo" dx="14" fmlaLink="$B$92" fmlaRange="constants!$F$13:$F$15" noThreeD="1" sel="1" val="0"/>
</file>

<file path=xl/ctrlProps/ctrlProp60.xml><?xml version="1.0" encoding="utf-8"?>
<formControlPr xmlns="http://schemas.microsoft.com/office/spreadsheetml/2009/9/main" objectType="Drop" dropLines="3" dropStyle="combo" dx="14" fmlaLink="$B$95" fmlaRange="constants!$F$13:$F$15" noThreeD="1" sel="1" val="0"/>
</file>

<file path=xl/ctrlProps/ctrlProp61.xml><?xml version="1.0" encoding="utf-8"?>
<formControlPr xmlns="http://schemas.microsoft.com/office/spreadsheetml/2009/9/main" objectType="Drop" dropLines="3" dropStyle="combo" dx="14" fmlaLink="$B$98" fmlaRange="constants!$F$13:$F$15" noThreeD="1" sel="1" val="0"/>
</file>

<file path=xl/ctrlProps/ctrlProp62.xml><?xml version="1.0" encoding="utf-8"?>
<formControlPr xmlns="http://schemas.microsoft.com/office/spreadsheetml/2009/9/main" objectType="Drop" dropLines="3" dropStyle="combo" dx="14" fmlaLink="$B$66" fmlaRange="constants!$F$13:$F$15" noThreeD="1" sel="1" val="0"/>
</file>

<file path=xl/ctrlProps/ctrlProp63.xml><?xml version="1.0" encoding="utf-8"?>
<formControlPr xmlns="http://schemas.microsoft.com/office/spreadsheetml/2009/9/main" objectType="Drop" dropLines="3" dropStyle="combo" dx="14" fmlaLink="$B$61" fmlaRange="constants!$F$13:$F$15" noThreeD="1" sel="1" val="0"/>
</file>

<file path=xl/ctrlProps/ctrlProp64.xml><?xml version="1.0" encoding="utf-8"?>
<formControlPr xmlns="http://schemas.microsoft.com/office/spreadsheetml/2009/9/main" objectType="Drop" dropStyle="combo" dx="14" fmlaLink="$B$9" fmlaRange="constants!$B$4:$B$262" noThreeD="1" sel="1" val="0"/>
</file>

<file path=xl/ctrlProps/ctrlProp65.xml><?xml version="1.0" encoding="utf-8"?>
<formControlPr xmlns="http://schemas.microsoft.com/office/spreadsheetml/2009/9/main" objectType="Drop" dropStyle="combo" dx="14" fmlaLink="$B$10" fmlaRange="constants!$F$24:$F$31" noThreeD="1" sel="1" val="0"/>
</file>

<file path=xl/ctrlProps/ctrlProp66.xml><?xml version="1.0" encoding="utf-8"?>
<formControlPr xmlns="http://schemas.microsoft.com/office/spreadsheetml/2009/9/main" objectType="Drop" dropLines="4" dropStyle="combo" dx="14" fmlaLink="$B$19" fmlaRange="constants!$F$18:$F$21" noThreeD="1" sel="1" val="0"/>
</file>

<file path=xl/ctrlProps/ctrlProp67.xml><?xml version="1.0" encoding="utf-8"?>
<formControlPr xmlns="http://schemas.microsoft.com/office/spreadsheetml/2009/9/main" objectType="Drop" dropStyle="combo" dx="14" fmlaLink="$B$22" fmlaRange="CountryOfPassport" noThreeD="1" sel="1" val="0"/>
</file>

<file path=xl/ctrlProps/ctrlProp68.xml><?xml version="1.0" encoding="utf-8"?>
<formControlPr xmlns="http://schemas.microsoft.com/office/spreadsheetml/2009/9/main" objectType="Drop" dropStyle="combo" dx="14" fmlaLink="$B$23" fmlaRange="CountryOfPassport" noThreeD="1" sel="1" val="0"/>
</file>

<file path=xl/ctrlProps/ctrlProp69.xml><?xml version="1.0" encoding="utf-8"?>
<formControlPr xmlns="http://schemas.microsoft.com/office/spreadsheetml/2009/9/main" objectType="Drop" dropLines="3" dropStyle="combo" dx="14" fmlaLink="$B$30" fmlaRange="constants!$F$13:$F$15" noThreeD="1" sel="1" val="0"/>
</file>

<file path=xl/ctrlProps/ctrlProp70.xml><?xml version="1.0" encoding="utf-8"?>
<formControlPr xmlns="http://schemas.microsoft.com/office/spreadsheetml/2009/9/main" objectType="Drop" dropLines="3" dropStyle="combo" dx="14" fmlaLink="$B$34" fmlaRange="constants!$F$13:$F$15" noThreeD="1" sel="1" val="0"/>
</file>

<file path=xl/ctrlProps/ctrlProp71.xml><?xml version="1.0" encoding="utf-8"?>
<formControlPr xmlns="http://schemas.microsoft.com/office/spreadsheetml/2009/9/main" objectType="Drop" dropStyle="combo" dx="14" fmlaLink="$B$38" fmlaRange="constants!$B$4:$B$262" noThreeD="1" sel="1" val="0"/>
</file>

<file path=xl/ctrlProps/ctrlProp72.xml><?xml version="1.0" encoding="utf-8"?>
<formControlPr xmlns="http://schemas.microsoft.com/office/spreadsheetml/2009/9/main" objectType="Drop" dropStyle="combo" dx="14" fmlaLink="$B$47" fmlaRange="constants!$B$4:$B$262" noThreeD="1" sel="1" val="0"/>
</file>

<file path=xl/ctrlProps/ctrlProp73.xml><?xml version="1.0" encoding="utf-8"?>
<formControlPr xmlns="http://schemas.microsoft.com/office/spreadsheetml/2009/9/main" objectType="Drop" dropStyle="combo" dx="14" fmlaLink="$B$50" fmlaRange="constants!$F$3:$F$10" noThreeD="1" sel="1" val="0"/>
</file>

<file path=xl/ctrlProps/ctrlProp74.xml><?xml version="1.0" encoding="utf-8"?>
<formControlPr xmlns="http://schemas.microsoft.com/office/spreadsheetml/2009/9/main" objectType="Drop" dropLines="3" dropStyle="combo" dx="14" fmlaLink="$B$53" fmlaRange="constants!$F$13:$F$15" noThreeD="1" sel="1" val="0"/>
</file>

<file path=xl/ctrlProps/ctrlProp75.xml><?xml version="1.0" encoding="utf-8"?>
<formControlPr xmlns="http://schemas.microsoft.com/office/spreadsheetml/2009/9/main" objectType="Drop" dropStyle="combo" dx="14" fmlaLink="$B$56" fmlaRange="constants!$H$19:$H$22" noThreeD="1" sel="1" val="0"/>
</file>

<file path=xl/ctrlProps/ctrlProp76.xml><?xml version="1.0" encoding="utf-8"?>
<formControlPr xmlns="http://schemas.microsoft.com/office/spreadsheetml/2009/9/main" objectType="Drop" dropLines="3" dropStyle="combo" dx="14" fmlaLink="$B$62" fmlaRange="constants!$F$13:$F$15" noThreeD="1" sel="1" val="0"/>
</file>

<file path=xl/ctrlProps/ctrlProp77.xml><?xml version="1.0" encoding="utf-8"?>
<formControlPr xmlns="http://schemas.microsoft.com/office/spreadsheetml/2009/9/main" objectType="Drop" dropStyle="combo" dx="14" fmlaLink="$B$63" fmlaRange="constants!$B$4:$B$262" noThreeD="1" sel="1" val="0"/>
</file>

<file path=xl/ctrlProps/ctrlProp78.xml><?xml version="1.0" encoding="utf-8"?>
<formControlPr xmlns="http://schemas.microsoft.com/office/spreadsheetml/2009/9/main" objectType="Drop" dropStyle="combo" dx="14" fmlaLink="$B$64" fmlaRange="constants!$B$4:$B$262" noThreeD="1" sel="1" val="0"/>
</file>

<file path=xl/ctrlProps/ctrlProp79.xml><?xml version="1.0" encoding="utf-8"?>
<formControlPr xmlns="http://schemas.microsoft.com/office/spreadsheetml/2009/9/main" objectType="Drop" dropStyle="combo" dx="14" fmlaLink="$B$67" fmlaRange="TypeOfDocument" noThreeD="1" sel="1" val="0"/>
</file>

<file path=xl/ctrlProps/ctrlProp80.xml><?xml version="1.0" encoding="utf-8"?>
<formControlPr xmlns="http://schemas.microsoft.com/office/spreadsheetml/2009/9/main" objectType="Drop" dropLines="4" dropStyle="combo" dx="14" fmlaLink="$B$70" fmlaRange="sex" noThreeD="1" sel="1" val="0"/>
</file>

<file path=xl/ctrlProps/ctrlProp81.xml><?xml version="1.0" encoding="utf-8"?>
<formControlPr xmlns="http://schemas.microsoft.com/office/spreadsheetml/2009/9/main" objectType="Drop" dropStyle="combo" dx="14" fmlaLink="$B$73" fmlaRange="CountryOfPassport" noThreeD="1" sel="1" val="0"/>
</file>

<file path=xl/ctrlProps/ctrlProp82.xml><?xml version="1.0" encoding="utf-8"?>
<formControlPr xmlns="http://schemas.microsoft.com/office/spreadsheetml/2009/9/main" objectType="Drop" dropStyle="combo" dx="14" fmlaLink="$B$74" fmlaRange="CountryOfPassport" noThreeD="1" sel="1" val="0"/>
</file>

<file path=xl/ctrlProps/ctrlProp83.xml><?xml version="1.0" encoding="utf-8"?>
<formControlPr xmlns="http://schemas.microsoft.com/office/spreadsheetml/2009/9/main" objectType="Drop" dropLines="3" dropStyle="combo" dx="14" fmlaLink="$B$80" fmlaRange="constants!$F$13:$F$15" noThreeD="1" sel="1" val="0"/>
</file>

<file path=xl/ctrlProps/ctrlProp84.xml><?xml version="1.0" encoding="utf-8"?>
<formControlPr xmlns="http://schemas.microsoft.com/office/spreadsheetml/2009/9/main" objectType="Drop" dropStyle="combo" dx="14" fmlaLink="$B$83" fmlaRange="constants!$H$25:$H$29" noThreeD="1" sel="1" val="0"/>
</file>

<file path=xl/ctrlProps/ctrlProp85.xml><?xml version="1.0" encoding="utf-8"?>
<formControlPr xmlns="http://schemas.microsoft.com/office/spreadsheetml/2009/9/main" objectType="Drop" dropStyle="combo" dx="14" fmlaLink="$B$85" fmlaRange="constants!$B$4:$B$262" noThreeD="1" sel="1" val="0"/>
</file>

<file path=xl/ctrlProps/ctrlProp86.xml><?xml version="1.0" encoding="utf-8"?>
<formControlPr xmlns="http://schemas.microsoft.com/office/spreadsheetml/2009/9/main" objectType="Drop" dropStyle="combo" dx="14" fmlaLink="$B$6" fmlaRange="constants!$H$12:$H$16" noThreeD="1" sel="1" val="0"/>
</file>

<file path=xl/ctrlProps/ctrlProp87.xml><?xml version="1.0" encoding="utf-8"?>
<formControlPr xmlns="http://schemas.microsoft.com/office/spreadsheetml/2009/9/main" objectType="Drop" dropStyle="combo" dx="14" fmlaLink="$B$38" fmlaRange="constants!$B$4:$B$262" noThreeD="1" sel="1" val="0"/>
</file>

<file path=xl/ctrlProps/ctrlProp88.xml><?xml version="1.0" encoding="utf-8"?>
<formControlPr xmlns="http://schemas.microsoft.com/office/spreadsheetml/2009/9/main" objectType="Drop" dropLines="3" dropStyle="combo" dx="14" fmlaLink="$B$15" fmlaRange="constants!$F$13:$F$15" noThreeD="1" sel="1" val="0"/>
</file>

<file path=xl/ctrlProps/ctrlProp89.xml><?xml version="1.0" encoding="utf-8"?>
<formControlPr xmlns="http://schemas.microsoft.com/office/spreadsheetml/2009/9/main" objectType="Drop" dropLines="3" dropStyle="combo" dx="14" fmlaLink="$B$16" fmlaRange="constants!$F$13:$F$15" noThreeD="1" sel="1" val="0"/>
</file>

<file path=xl/ctrlProps/ctrlProp90.xml><?xml version="1.0" encoding="utf-8"?>
<formControlPr xmlns="http://schemas.microsoft.com/office/spreadsheetml/2009/9/main" objectType="Drop" dropLines="33" dropStyle="combo" dx="14" fmlaLink="$B$26" fmlaRange="constants!$H$40:$H$72" noThreeD="1" sel="1" val="0"/>
</file>

<file path=xl/ctrlProps/ctrlProp91.xml><?xml version="1.0" encoding="utf-8"?>
<formControlPr xmlns="http://schemas.microsoft.com/office/spreadsheetml/2009/9/main" objectType="Drop" dropLines="3" dropStyle="combo" dx="14" fmlaLink="$B$88" fmlaRange="constants!$F$13:$F$15" noThreeD="1" sel="1" val="0"/>
</file>

<file path=xl/ctrlProps/ctrlProp92.xml><?xml version="1.0" encoding="utf-8"?>
<formControlPr xmlns="http://schemas.microsoft.com/office/spreadsheetml/2009/9/main" objectType="Drop" dropLines="3" dropStyle="combo" dx="14" fmlaLink="$B$89" fmlaRange="constants!$F$13:$F$15" noThreeD="1" sel="1" val="0"/>
</file>

<file path=xl/ctrlProps/ctrlProp93.xml><?xml version="1.0" encoding="utf-8"?>
<formControlPr xmlns="http://schemas.microsoft.com/office/spreadsheetml/2009/9/main" objectType="Drop" dropLines="3" dropStyle="combo" dx="14" fmlaLink="$B$92" fmlaRange="constants!$F$13:$F$15" noThreeD="1" sel="1" val="0"/>
</file>

<file path=xl/ctrlProps/ctrlProp94.xml><?xml version="1.0" encoding="utf-8"?>
<formControlPr xmlns="http://schemas.microsoft.com/office/spreadsheetml/2009/9/main" objectType="Drop" dropLines="3" dropStyle="combo" dx="14" fmlaLink="$B$95" fmlaRange="constants!$F$13:$F$15" noThreeD="1" sel="1" val="0"/>
</file>

<file path=xl/ctrlProps/ctrlProp95.xml><?xml version="1.0" encoding="utf-8"?>
<formControlPr xmlns="http://schemas.microsoft.com/office/spreadsheetml/2009/9/main" objectType="Drop" dropLines="3" dropStyle="combo" dx="14" fmlaLink="$B$98" fmlaRange="constants!$F$13:$F$15" noThreeD="1" sel="1" val="0"/>
</file>

<file path=xl/ctrlProps/ctrlProp96.xml><?xml version="1.0" encoding="utf-8"?>
<formControlPr xmlns="http://schemas.microsoft.com/office/spreadsheetml/2009/9/main" objectType="Drop" dropLines="3" dropStyle="combo" dx="14" fmlaLink="$B$66" fmlaRange="constants!$F$13:$F$15" noThreeD="1" sel="1" val="0"/>
</file>

<file path=xl/ctrlProps/ctrlProp97.xml><?xml version="1.0" encoding="utf-8"?>
<formControlPr xmlns="http://schemas.microsoft.com/office/spreadsheetml/2009/9/main" objectType="Drop" dropLines="3" dropStyle="combo" dx="14" fmlaLink="$B$61" fmlaRange="constants!$F$13:$F$15" noThreeD="1" sel="1" val="0"/>
</file>

<file path=xl/ctrlProps/ctrlProp98.xml><?xml version="1.0" encoding="utf-8"?>
<formControlPr xmlns="http://schemas.microsoft.com/office/spreadsheetml/2009/9/main" objectType="Drop" dropStyle="combo" dx="14" fmlaLink="$B$9" fmlaRange="constants!$B$4:$B$262" noThreeD="1" sel="1" val="0"/>
</file>

<file path=xl/ctrlProps/ctrlProp99.xml><?xml version="1.0" encoding="utf-8"?>
<formControlPr xmlns="http://schemas.microsoft.com/office/spreadsheetml/2009/9/main" objectType="Drop" dropStyle="combo" dx="14" fmlaLink="$B$10" fmlaRange="constants!$F$24:$F$31" noThreeD="1" sel="1" val="0"/>
</file>

<file path=xl/ctrlProps/ctrlProp100.xml><?xml version="1.0" encoding="utf-8"?>
<formControlPr xmlns="http://schemas.microsoft.com/office/spreadsheetml/2009/9/main" objectType="Drop" dropLines="4" dropStyle="combo" dx="14" fmlaLink="$B$19" fmlaRange="constants!$F$18:$F$21" noThreeD="1" sel="1" val="0"/>
</file>

<file path=xl/ctrlProps/ctrlProp101.xml><?xml version="1.0" encoding="utf-8"?>
<formControlPr xmlns="http://schemas.microsoft.com/office/spreadsheetml/2009/9/main" objectType="Drop" dropStyle="combo" dx="14" fmlaLink="$B$22" fmlaRange="CountryOfPassport" noThreeD="1" sel="1" val="0"/>
</file>

<file path=xl/ctrlProps/ctrlProp102.xml><?xml version="1.0" encoding="utf-8"?>
<formControlPr xmlns="http://schemas.microsoft.com/office/spreadsheetml/2009/9/main" objectType="Drop" dropStyle="combo" dx="14" fmlaLink="$B$23" fmlaRange="CountryOfPassport" noThreeD="1" sel="1" val="0"/>
</file>

<file path=xl/ctrlProps/ctrlProp103.xml><?xml version="1.0" encoding="utf-8"?>
<formControlPr xmlns="http://schemas.microsoft.com/office/spreadsheetml/2009/9/main" objectType="Drop" dropLines="3" dropStyle="combo" dx="14" fmlaLink="$B$30" fmlaRange="constants!$F$13:$F$15" noThreeD="1" sel="1" val="0"/>
</file>

<file path=xl/ctrlProps/ctrlProp104.xml><?xml version="1.0" encoding="utf-8"?>
<formControlPr xmlns="http://schemas.microsoft.com/office/spreadsheetml/2009/9/main" objectType="Drop" dropLines="3" dropStyle="combo" dx="14" fmlaLink="$B$34" fmlaRange="constants!$F$13:$F$15" noThreeD="1" sel="1" val="0"/>
</file>

<file path=xl/ctrlProps/ctrlProp105.xml><?xml version="1.0" encoding="utf-8"?>
<formControlPr xmlns="http://schemas.microsoft.com/office/spreadsheetml/2009/9/main" objectType="Drop" dropStyle="combo" dx="14" fmlaLink="$B$38" fmlaRange="constants!$B$4:$B$262" noThreeD="1" sel="1" val="0"/>
</file>

<file path=xl/ctrlProps/ctrlProp106.xml><?xml version="1.0" encoding="utf-8"?>
<formControlPr xmlns="http://schemas.microsoft.com/office/spreadsheetml/2009/9/main" objectType="Drop" dropStyle="combo" dx="14" fmlaLink="$B$47" fmlaRange="constants!$B$4:$B$262" noThreeD="1" sel="1" val="0"/>
</file>

<file path=xl/ctrlProps/ctrlProp107.xml><?xml version="1.0" encoding="utf-8"?>
<formControlPr xmlns="http://schemas.microsoft.com/office/spreadsheetml/2009/9/main" objectType="Drop" dropStyle="combo" dx="14" fmlaLink="$B$50" fmlaRange="constants!$F$3:$F$10" noThreeD="1" sel="1" val="0"/>
</file>

<file path=xl/ctrlProps/ctrlProp108.xml><?xml version="1.0" encoding="utf-8"?>
<formControlPr xmlns="http://schemas.microsoft.com/office/spreadsheetml/2009/9/main" objectType="Drop" dropLines="3" dropStyle="combo" dx="14" fmlaLink="$B$53" fmlaRange="constants!$F$13:$F$15" noThreeD="1" sel="1" val="0"/>
</file>

<file path=xl/ctrlProps/ctrlProp109.xml><?xml version="1.0" encoding="utf-8"?>
<formControlPr xmlns="http://schemas.microsoft.com/office/spreadsheetml/2009/9/main" objectType="Drop" dropStyle="combo" dx="14" fmlaLink="$B$56" fmlaRange="constants!$H$19:$H$22" noThreeD="1" sel="1" val="0"/>
</file>

<file path=xl/ctrlProps/ctrlProp110.xml><?xml version="1.0" encoding="utf-8"?>
<formControlPr xmlns="http://schemas.microsoft.com/office/spreadsheetml/2009/9/main" objectType="Drop" dropLines="3" dropStyle="combo" dx="14" fmlaLink="$B$62" fmlaRange="constants!$F$13:$F$15" noThreeD="1" sel="1" val="0"/>
</file>

<file path=xl/ctrlProps/ctrlProp111.xml><?xml version="1.0" encoding="utf-8"?>
<formControlPr xmlns="http://schemas.microsoft.com/office/spreadsheetml/2009/9/main" objectType="Drop" dropStyle="combo" dx="14" fmlaLink="$B$63" fmlaRange="constants!$B$4:$B$262" noThreeD="1" sel="1" val="0"/>
</file>

<file path=xl/ctrlProps/ctrlProp112.xml><?xml version="1.0" encoding="utf-8"?>
<formControlPr xmlns="http://schemas.microsoft.com/office/spreadsheetml/2009/9/main" objectType="Drop" dropStyle="combo" dx="14" fmlaLink="$B$64" fmlaRange="constants!$B$4:$B$262" noThreeD="1" sel="1" val="0"/>
</file>

<file path=xl/ctrlProps/ctrlProp113.xml><?xml version="1.0" encoding="utf-8"?>
<formControlPr xmlns="http://schemas.microsoft.com/office/spreadsheetml/2009/9/main" objectType="Drop" dropStyle="combo" dx="14" fmlaLink="$B$67" fmlaRange="TypeOfDocument" noThreeD="1" sel="1" val="0"/>
</file>

<file path=xl/ctrlProps/ctrlProp114.xml><?xml version="1.0" encoding="utf-8"?>
<formControlPr xmlns="http://schemas.microsoft.com/office/spreadsheetml/2009/9/main" objectType="Drop" dropLines="4" dropStyle="combo" dx="14" fmlaLink="$B$70" fmlaRange="sex" noThreeD="1" sel="1" val="0"/>
</file>

<file path=xl/ctrlProps/ctrlProp115.xml><?xml version="1.0" encoding="utf-8"?>
<formControlPr xmlns="http://schemas.microsoft.com/office/spreadsheetml/2009/9/main" objectType="Drop" dropStyle="combo" dx="14" fmlaLink="$B$73" fmlaRange="CountryOfPassport" noThreeD="1" sel="1" val="0"/>
</file>

<file path=xl/ctrlProps/ctrlProp116.xml><?xml version="1.0" encoding="utf-8"?>
<formControlPr xmlns="http://schemas.microsoft.com/office/spreadsheetml/2009/9/main" objectType="Drop" dropStyle="combo" dx="14" fmlaLink="$B$74" fmlaRange="CountryOfPassport" noThreeD="1" sel="1" val="0"/>
</file>

<file path=xl/ctrlProps/ctrlProp117.xml><?xml version="1.0" encoding="utf-8"?>
<formControlPr xmlns="http://schemas.microsoft.com/office/spreadsheetml/2009/9/main" objectType="Drop" dropLines="3" dropStyle="combo" dx="14" fmlaLink="$B$80" fmlaRange="constants!$F$13:$F$15" noThreeD="1" sel="1" val="0"/>
</file>

<file path=xl/ctrlProps/ctrlProp118.xml><?xml version="1.0" encoding="utf-8"?>
<formControlPr xmlns="http://schemas.microsoft.com/office/spreadsheetml/2009/9/main" objectType="Drop" dropStyle="combo" dx="14" fmlaLink="$B$83" fmlaRange="constants!$H$25:$H$29" noThreeD="1" sel="1" val="0"/>
</file>

<file path=xl/ctrlProps/ctrlProp119.xml><?xml version="1.0" encoding="utf-8"?>
<formControlPr xmlns="http://schemas.microsoft.com/office/spreadsheetml/2009/9/main" objectType="Drop" dropStyle="combo" dx="14" fmlaLink="$B$85" fmlaRange="constants!$B$4:$B$262" noThreeD="1" sel="1" val="0"/>
</file>

<file path=xl/ctrlProps/ctrlProp120.xml><?xml version="1.0" encoding="utf-8"?>
<formControlPr xmlns="http://schemas.microsoft.com/office/spreadsheetml/2009/9/main" objectType="Drop" dropStyle="combo" dx="14" fmlaLink="$B$6" fmlaRange="constants!$H$12:$H$16" noThreeD="1" sel="1" val="0"/>
</file>

<file path=xl/ctrlProps/ctrlProp121.xml><?xml version="1.0" encoding="utf-8"?>
<formControlPr xmlns="http://schemas.microsoft.com/office/spreadsheetml/2009/9/main" objectType="Drop" dropLines="3" dropStyle="combo" dx="14" fmlaLink="$B$15" fmlaRange="constants!$F$13:$F$15" noThreeD="1" sel="1" val="0"/>
</file>

<file path=xl/ctrlProps/ctrlProp122.xml><?xml version="1.0" encoding="utf-8"?>
<formControlPr xmlns="http://schemas.microsoft.com/office/spreadsheetml/2009/9/main" objectType="Drop" dropLines="3" dropStyle="combo" dx="14" fmlaLink="$B$16" fmlaRange="constants!$F$13:$F$15" noThreeD="1" sel="1" val="0"/>
</file>

<file path=xl/ctrlProps/ctrlProp123.xml><?xml version="1.0" encoding="utf-8"?>
<formControlPr xmlns="http://schemas.microsoft.com/office/spreadsheetml/2009/9/main" objectType="Drop" dropLines="33" dropStyle="combo" dx="14" fmlaLink="$B$26" fmlaRange="constants!$H$40:$H$72" noThreeD="1" sel="1" val="0"/>
</file>

<file path=xl/ctrlProps/ctrlProp124.xml><?xml version="1.0" encoding="utf-8"?>
<formControlPr xmlns="http://schemas.microsoft.com/office/spreadsheetml/2009/9/main" objectType="Drop" dropLines="3" dropStyle="combo" dx="14" fmlaLink="$B$16" fmlaRange="constants!$F$13:$F$15" noThreeD="1" sel="1" val="0"/>
</file>

<file path=xl/ctrlProps/ctrlProp125.xml><?xml version="1.0" encoding="utf-8"?>
<formControlPr xmlns="http://schemas.microsoft.com/office/spreadsheetml/2009/9/main" objectType="Drop" dropLines="33" dropStyle="combo" dx="14" fmlaLink="$B$26" fmlaRange="constants!$H$40:$H$72" noThreeD="1" sel="1" val="0"/>
</file>

<file path=xl/ctrlProps/ctrlProp126.xml><?xml version="1.0" encoding="utf-8"?>
<formControlPr xmlns="http://schemas.microsoft.com/office/spreadsheetml/2009/9/main" objectType="Drop" dropLines="3" dropStyle="combo" dx="14" fmlaLink="$B$88" fmlaRange="constants!$F$13:$F$15" noThreeD="1" sel="1" val="0"/>
</file>

<file path=xl/ctrlProps/ctrlProp127.xml><?xml version="1.0" encoding="utf-8"?>
<formControlPr xmlns="http://schemas.microsoft.com/office/spreadsheetml/2009/9/main" objectType="Drop" dropLines="3" dropStyle="combo" dx="14" fmlaLink="$B$89" fmlaRange="constants!$F$13:$F$15" noThreeD="1" sel="1" val="0"/>
</file>

<file path=xl/ctrlProps/ctrlProp128.xml><?xml version="1.0" encoding="utf-8"?>
<formControlPr xmlns="http://schemas.microsoft.com/office/spreadsheetml/2009/9/main" objectType="Drop" dropLines="3" dropStyle="combo" dx="14" fmlaLink="$B$92" fmlaRange="constants!$F$13:$F$15" noThreeD="1" sel="1" val="0"/>
</file>

<file path=xl/ctrlProps/ctrlProp129.xml><?xml version="1.0" encoding="utf-8"?>
<formControlPr xmlns="http://schemas.microsoft.com/office/spreadsheetml/2009/9/main" objectType="Drop" dropLines="3" dropStyle="combo" dx="14" fmlaLink="$B$95" fmlaRange="constants!$F$13:$F$15" noThreeD="1" sel="1" val="0"/>
</file>

<file path=xl/ctrlProps/ctrlProp130.xml><?xml version="1.0" encoding="utf-8"?>
<formControlPr xmlns="http://schemas.microsoft.com/office/spreadsheetml/2009/9/main" objectType="Drop" dropLines="3" dropStyle="combo" dx="14" fmlaLink="$B$98" fmlaRange="constants!$F$13:$F$15" noThreeD="1" sel="1" val="0"/>
</file>

<file path=xl/ctrlProps/ctrlProp131.xml><?xml version="1.0" encoding="utf-8"?>
<formControlPr xmlns="http://schemas.microsoft.com/office/spreadsheetml/2009/9/main" objectType="Drop" dropLines="3" dropStyle="combo" dx="14" fmlaLink="$B$66" fmlaRange="constants!$F$13:$F$15" noThreeD="1" sel="1" val="0"/>
</file>

<file path=xl/ctrlProps/ctrlProp132.xml><?xml version="1.0" encoding="utf-8"?>
<formControlPr xmlns="http://schemas.microsoft.com/office/spreadsheetml/2009/9/main" objectType="Drop" dropLines="3" dropStyle="combo" dx="14" fmlaLink="$B$61" fmlaRange="constants!$F$13:$F$15" noThreeD="1" sel="1" val="0"/>
</file>

<file path=xl/ctrlProps/ctrlProp133.xml><?xml version="1.0" encoding="utf-8"?>
<formControlPr xmlns="http://schemas.microsoft.com/office/spreadsheetml/2009/9/main" objectType="Drop" dropStyle="combo" dx="14" fmlaLink="$B$9" fmlaRange="constants!$B$4:$B$262" noThreeD="1" sel="1" val="0"/>
</file>

<file path=xl/ctrlProps/ctrlProp134.xml><?xml version="1.0" encoding="utf-8"?>
<formControlPr xmlns="http://schemas.microsoft.com/office/spreadsheetml/2009/9/main" objectType="Drop" dropStyle="combo" dx="14" fmlaLink="$B$10" fmlaRange="constants!$F$24:$F$31" noThreeD="1" sel="1" val="0"/>
</file>

<file path=xl/ctrlProps/ctrlProp135.xml><?xml version="1.0" encoding="utf-8"?>
<formControlPr xmlns="http://schemas.microsoft.com/office/spreadsheetml/2009/9/main" objectType="Drop" dropLines="4" dropStyle="combo" dx="14" fmlaLink="$B$19" fmlaRange="constants!$F$18:$F$21" noThreeD="1" sel="1" val="0"/>
</file>

<file path=xl/ctrlProps/ctrlProp136.xml><?xml version="1.0" encoding="utf-8"?>
<formControlPr xmlns="http://schemas.microsoft.com/office/spreadsheetml/2009/9/main" objectType="Drop" dropStyle="combo" dx="14" fmlaLink="$B$22" fmlaRange="CountryOfPassport" noThreeD="1" sel="1" val="0"/>
</file>

<file path=xl/ctrlProps/ctrlProp137.xml><?xml version="1.0" encoding="utf-8"?>
<formControlPr xmlns="http://schemas.microsoft.com/office/spreadsheetml/2009/9/main" objectType="Drop" dropStyle="combo" dx="14" fmlaLink="$B$23" fmlaRange="CountryOfPassport" noThreeD="1" sel="1" val="0"/>
</file>

<file path=xl/ctrlProps/ctrlProp138.xml><?xml version="1.0" encoding="utf-8"?>
<formControlPr xmlns="http://schemas.microsoft.com/office/spreadsheetml/2009/9/main" objectType="Drop" dropLines="3" dropStyle="combo" dx="14" fmlaLink="$B$30" fmlaRange="constants!$F$13:$F$15" noThreeD="1" sel="1" val="0"/>
</file>

<file path=xl/ctrlProps/ctrlProp139.xml><?xml version="1.0" encoding="utf-8"?>
<formControlPr xmlns="http://schemas.microsoft.com/office/spreadsheetml/2009/9/main" objectType="Drop" dropLines="3" dropStyle="combo" dx="14" fmlaLink="$B$34" fmlaRange="constants!$F$13:$F$15" noThreeD="1" sel="1" val="0"/>
</file>

<file path=xl/ctrlProps/ctrlProp140.xml><?xml version="1.0" encoding="utf-8"?>
<formControlPr xmlns="http://schemas.microsoft.com/office/spreadsheetml/2009/9/main" objectType="Drop" dropStyle="combo" dx="14" fmlaLink="$B$38" fmlaRange="constants!$B$4:$B$262" noThreeD="1" sel="1" val="0"/>
</file>

<file path=xl/ctrlProps/ctrlProp141.xml><?xml version="1.0" encoding="utf-8"?>
<formControlPr xmlns="http://schemas.microsoft.com/office/spreadsheetml/2009/9/main" objectType="Drop" dropStyle="combo" dx="14" fmlaLink="$B$47" fmlaRange="constants!$B$4:$B$262" noThreeD="1" sel="1" val="0"/>
</file>

<file path=xl/ctrlProps/ctrlProp142.xml><?xml version="1.0" encoding="utf-8"?>
<formControlPr xmlns="http://schemas.microsoft.com/office/spreadsheetml/2009/9/main" objectType="Drop" dropStyle="combo" dx="14" fmlaLink="$B$50" fmlaRange="constants!$F$3:$F$10" noThreeD="1" sel="1" val="0"/>
</file>

<file path=xl/ctrlProps/ctrlProp143.xml><?xml version="1.0" encoding="utf-8"?>
<formControlPr xmlns="http://schemas.microsoft.com/office/spreadsheetml/2009/9/main" objectType="Drop" dropLines="3" dropStyle="combo" dx="14" fmlaLink="$B$53" fmlaRange="constants!$F$13:$F$15" noThreeD="1" sel="1" val="0"/>
</file>

<file path=xl/ctrlProps/ctrlProp144.xml><?xml version="1.0" encoding="utf-8"?>
<formControlPr xmlns="http://schemas.microsoft.com/office/spreadsheetml/2009/9/main" objectType="Drop" dropStyle="combo" dx="14" fmlaLink="$B$56" fmlaRange="constants!$H$19:$H$22" noThreeD="1" sel="1" val="0"/>
</file>

<file path=xl/ctrlProps/ctrlProp145.xml><?xml version="1.0" encoding="utf-8"?>
<formControlPr xmlns="http://schemas.microsoft.com/office/spreadsheetml/2009/9/main" objectType="Drop" dropLines="3" dropStyle="combo" dx="14" fmlaLink="$B$62" fmlaRange="constants!$F$13:$F$15" noThreeD="1" sel="1" val="0"/>
</file>

<file path=xl/ctrlProps/ctrlProp146.xml><?xml version="1.0" encoding="utf-8"?>
<formControlPr xmlns="http://schemas.microsoft.com/office/spreadsheetml/2009/9/main" objectType="Drop" dropStyle="combo" dx="14" fmlaLink="$B$63" fmlaRange="constants!$B$4:$B$262" noThreeD="1" sel="1" val="0"/>
</file>

<file path=xl/ctrlProps/ctrlProp147.xml><?xml version="1.0" encoding="utf-8"?>
<formControlPr xmlns="http://schemas.microsoft.com/office/spreadsheetml/2009/9/main" objectType="Drop" dropStyle="combo" dx="14" fmlaLink="$B$64" fmlaRange="constants!$B$4:$B$262" noThreeD="1" sel="1" val="0"/>
</file>

<file path=xl/ctrlProps/ctrlProp148.xml><?xml version="1.0" encoding="utf-8"?>
<formControlPr xmlns="http://schemas.microsoft.com/office/spreadsheetml/2009/9/main" objectType="Drop" dropStyle="combo" dx="14" fmlaLink="$B$67" fmlaRange="TypeOfDocument" noThreeD="1" sel="1" val="0"/>
</file>

<file path=xl/ctrlProps/ctrlProp149.xml><?xml version="1.0" encoding="utf-8"?>
<formControlPr xmlns="http://schemas.microsoft.com/office/spreadsheetml/2009/9/main" objectType="Drop" dropLines="4" dropStyle="combo" dx="14" fmlaLink="$B$70" fmlaRange="sex" noThreeD="1" sel="1" val="0"/>
</file>

<file path=xl/ctrlProps/ctrlProp150.xml><?xml version="1.0" encoding="utf-8"?>
<formControlPr xmlns="http://schemas.microsoft.com/office/spreadsheetml/2009/9/main" objectType="Drop" dropStyle="combo" dx="14" fmlaLink="$B$73" fmlaRange="CountryOfPassport" noThreeD="1" sel="1" val="0"/>
</file>

<file path=xl/ctrlProps/ctrlProp151.xml><?xml version="1.0" encoding="utf-8"?>
<formControlPr xmlns="http://schemas.microsoft.com/office/spreadsheetml/2009/9/main" objectType="Drop" dropStyle="combo" dx="14" fmlaLink="$B$74" fmlaRange="CountryOfPassport" noThreeD="1" sel="1" val="0"/>
</file>

<file path=xl/ctrlProps/ctrlProp152.xml><?xml version="1.0" encoding="utf-8"?>
<formControlPr xmlns="http://schemas.microsoft.com/office/spreadsheetml/2009/9/main" objectType="Drop" dropLines="3" dropStyle="combo" dx="14" fmlaLink="$B$80" fmlaRange="constants!$F$13:$F$15" noThreeD="1" sel="1" val="0"/>
</file>

<file path=xl/ctrlProps/ctrlProp153.xml><?xml version="1.0" encoding="utf-8"?>
<formControlPr xmlns="http://schemas.microsoft.com/office/spreadsheetml/2009/9/main" objectType="Drop" dropStyle="combo" dx="14" fmlaLink="$B$83" fmlaRange="constants!$H$25:$H$29" noThreeD="1" sel="1" val="0"/>
</file>

<file path=xl/ctrlProps/ctrlProp154.xml><?xml version="1.0" encoding="utf-8"?>
<formControlPr xmlns="http://schemas.microsoft.com/office/spreadsheetml/2009/9/main" objectType="Drop" dropStyle="combo" dx="14" fmlaLink="$B$85" fmlaRange="constants!$B$4:$B$262" noThreeD="1" sel="1" val="0"/>
</file>

<file path=xl/ctrlProps/ctrlProp155.xml><?xml version="1.0" encoding="utf-8"?>
<formControlPr xmlns="http://schemas.microsoft.com/office/spreadsheetml/2009/9/main" objectType="Drop" dropStyle="combo" dx="14" fmlaLink="$B$6" fmlaRange="constants!$H$12:$H$16" noThreeD="1" sel="1" val="0"/>
</file>

<file path=xl/ctrlProps/ctrlProp156.xml><?xml version="1.0" encoding="utf-8"?>
<formControlPr xmlns="http://schemas.microsoft.com/office/spreadsheetml/2009/9/main" objectType="Drop" dropStyle="combo" dx="14" fmlaLink="$B$63" fmlaRange="constants!$B$4:$B$262" noThreeD="1" sel="1" val="0"/>
</file>

<file path=xl/ctrlProps/ctrlProp157.xml><?xml version="1.0" encoding="utf-8"?>
<formControlPr xmlns="http://schemas.microsoft.com/office/spreadsheetml/2009/9/main" objectType="Drop" dropStyle="combo" dx="14" fmlaLink="$B$64" fmlaRange="constants!$B$4:$B$262" noThreeD="1" sel="1" val="0"/>
</file>

<file path=xl/ctrlProps/ctrlProp158.xml><?xml version="1.0" encoding="utf-8"?>
<formControlPr xmlns="http://schemas.microsoft.com/office/spreadsheetml/2009/9/main" objectType="Drop" dropLines="3" dropStyle="combo" dx="14" fmlaLink="$B$15" fmlaRange="constants!$F$13:$F$15" noThreeD="1" sel="1" val="0"/>
</file>

<file path=xl/ctrlProps/ctrlProp159.xml><?xml version="1.0" encoding="utf-8"?>
<formControlPr xmlns="http://schemas.microsoft.com/office/spreadsheetml/2009/9/main" objectType="Drop" dropLines="3" dropStyle="combo" dx="14" fmlaLink="$B$16" fmlaRange="constants!$F$13:$F$15" noThreeD="1" sel="1" val="0"/>
</file>

<file path=xl/ctrlProps/ctrlProp160.xml><?xml version="1.0" encoding="utf-8"?>
<formControlPr xmlns="http://schemas.microsoft.com/office/spreadsheetml/2009/9/main" objectType="Drop" dropLines="33" dropStyle="combo" dx="14" fmlaLink="$B$26" fmlaRange="constants!$H$40:$H$72" noThreeD="1" sel="1" val="0"/>
</file>

<file path=xl/ctrlProps/ctrlProp161.xml><?xml version="1.0" encoding="utf-8"?>
<formControlPr xmlns="http://schemas.microsoft.com/office/spreadsheetml/2009/9/main" objectType="Drop" dropLines="3" dropStyle="combo" dx="14" fmlaLink="$B$16" fmlaRange="constants!$F$13:$F$15" noThreeD="1" sel="1" val="0"/>
</file>

<file path=xl/ctrlProps/ctrlProp162.xml><?xml version="1.0" encoding="utf-8"?>
<formControlPr xmlns="http://schemas.microsoft.com/office/spreadsheetml/2009/9/main" objectType="Drop" dropLines="33" dropStyle="combo" dx="14" fmlaLink="$B$26" fmlaRange="constants!$H$40:$H$72" noThreeD="1" sel="1" val="0"/>
</file>

<file path=xl/ctrlProps/ctrlProp163.xml><?xml version="1.0" encoding="utf-8"?>
<formControlPr xmlns="http://schemas.microsoft.com/office/spreadsheetml/2009/9/main" objectType="Drop" dropLines="3" dropStyle="combo" dx="14" fmlaLink="$B$88" fmlaRange="constants!$F$13:$F$15" noThreeD="1" sel="1" val="0"/>
</file>

<file path=xl/ctrlProps/ctrlProp164.xml><?xml version="1.0" encoding="utf-8"?>
<formControlPr xmlns="http://schemas.microsoft.com/office/spreadsheetml/2009/9/main" objectType="Drop" dropLines="3" dropStyle="combo" dx="14" fmlaLink="$B$89" fmlaRange="constants!$F$13:$F$15" noThreeD="1" sel="1" val="0"/>
</file>

<file path=xl/ctrlProps/ctrlProp165.xml><?xml version="1.0" encoding="utf-8"?>
<formControlPr xmlns="http://schemas.microsoft.com/office/spreadsheetml/2009/9/main" objectType="Drop" dropLines="3" dropStyle="combo" dx="14" fmlaLink="$B$92" fmlaRange="constants!$F$13:$F$15" noThreeD="1" sel="1" val="0"/>
</file>

<file path=xl/ctrlProps/ctrlProp166.xml><?xml version="1.0" encoding="utf-8"?>
<formControlPr xmlns="http://schemas.microsoft.com/office/spreadsheetml/2009/9/main" objectType="Drop" dropLines="3" dropStyle="combo" dx="14" fmlaLink="$B$95" fmlaRange="constants!$F$13:$F$15" noThreeD="1" sel="1" val="0"/>
</file>

<file path=xl/ctrlProps/ctrlProp167.xml><?xml version="1.0" encoding="utf-8"?>
<formControlPr xmlns="http://schemas.microsoft.com/office/spreadsheetml/2009/9/main" objectType="Drop" dropLines="3" dropStyle="combo" dx="14" fmlaLink="$B$98" fmlaRange="constants!$F$13:$F$15" noThreeD="1" sel="1" val="0"/>
</file>

<file path=xl/ctrlProps/ctrlProp168.xml><?xml version="1.0" encoding="utf-8"?>
<formControlPr xmlns="http://schemas.microsoft.com/office/spreadsheetml/2009/9/main" objectType="Drop" dropLines="3" dropStyle="combo" dx="14" fmlaLink="$B$66" fmlaRange="constants!$F$13:$F$15" noThreeD="1" sel="1" val="0"/>
</file>

<file path=xl/ctrlProps/ctrlProp169.xml><?xml version="1.0" encoding="utf-8"?>
<formControlPr xmlns="http://schemas.microsoft.com/office/spreadsheetml/2009/9/main" objectType="Drop" dropLines="3" dropStyle="combo" dx="14" fmlaLink="$B$61" fmlaRange="constants!$F$13:$F$15" noThreeD="1" sel="1" val="0"/>
</file>

<file path=xl/ctrlProps/ctrlProp170.xml><?xml version="1.0" encoding="utf-8"?>
<formControlPr xmlns="http://schemas.microsoft.com/office/spreadsheetml/2009/9/main" objectType="Drop" dropStyle="combo" dx="14" fmlaLink="$B$9" fmlaRange="constants!$B$4:$B$262" noThreeD="1" sel="1" val="0"/>
</file>

<file path=xl/ctrlProps/ctrlProp171.xml><?xml version="1.0" encoding="utf-8"?>
<formControlPr xmlns="http://schemas.microsoft.com/office/spreadsheetml/2009/9/main" objectType="Drop" dropStyle="combo" dx="14" fmlaLink="$B$10" fmlaRange="constants!$F$24:$F$31" noThreeD="1" sel="1" val="0"/>
</file>

<file path=xl/ctrlProps/ctrlProp172.xml><?xml version="1.0" encoding="utf-8"?>
<formControlPr xmlns="http://schemas.microsoft.com/office/spreadsheetml/2009/9/main" objectType="Drop" dropLines="4" dropStyle="combo" dx="14" fmlaLink="$B$19" fmlaRange="constants!$F$18:$F$21" noThreeD="1" sel="1" val="0"/>
</file>

<file path=xl/ctrlProps/ctrlProp173.xml><?xml version="1.0" encoding="utf-8"?>
<formControlPr xmlns="http://schemas.microsoft.com/office/spreadsheetml/2009/9/main" objectType="Drop" dropStyle="combo" dx="14" fmlaLink="$B$22" fmlaRange="CountryOfPassport" noThreeD="1" sel="1" val="0"/>
</file>

<file path=xl/ctrlProps/ctrlProp174.xml><?xml version="1.0" encoding="utf-8"?>
<formControlPr xmlns="http://schemas.microsoft.com/office/spreadsheetml/2009/9/main" objectType="Drop" dropStyle="combo" dx="14" fmlaLink="$B$23" fmlaRange="CountryOfPassport" noThreeD="1" sel="1" val="0"/>
</file>

<file path=xl/ctrlProps/ctrlProp175.xml><?xml version="1.0" encoding="utf-8"?>
<formControlPr xmlns="http://schemas.microsoft.com/office/spreadsheetml/2009/9/main" objectType="Drop" dropLines="3" dropStyle="combo" dx="14" fmlaLink="$B$30" fmlaRange="constants!$F$13:$F$15" noThreeD="1" sel="1" val="0"/>
</file>

<file path=xl/ctrlProps/ctrlProp176.xml><?xml version="1.0" encoding="utf-8"?>
<formControlPr xmlns="http://schemas.microsoft.com/office/spreadsheetml/2009/9/main" objectType="Drop" dropLines="3" dropStyle="combo" dx="14" fmlaLink="$B$34" fmlaRange="constants!$F$13:$F$15" noThreeD="1" sel="1" val="0"/>
</file>

<file path=xl/ctrlProps/ctrlProp177.xml><?xml version="1.0" encoding="utf-8"?>
<formControlPr xmlns="http://schemas.microsoft.com/office/spreadsheetml/2009/9/main" objectType="Drop" dropStyle="combo" dx="14" fmlaLink="$B$38" fmlaRange="constants!$B$4:$B$262" noThreeD="1" sel="1" val="0"/>
</file>

<file path=xl/ctrlProps/ctrlProp178.xml><?xml version="1.0" encoding="utf-8"?>
<formControlPr xmlns="http://schemas.microsoft.com/office/spreadsheetml/2009/9/main" objectType="Drop" dropStyle="combo" dx="14" fmlaLink="$B$47" fmlaRange="constants!$B$4:$B$262" noThreeD="1" sel="1" val="0"/>
</file>

<file path=xl/ctrlProps/ctrlProp179.xml><?xml version="1.0" encoding="utf-8"?>
<formControlPr xmlns="http://schemas.microsoft.com/office/spreadsheetml/2009/9/main" objectType="Drop" dropStyle="combo" dx="14" fmlaLink="$B$50" fmlaRange="constants!$F$3:$F$10" noThreeD="1" sel="1" val="0"/>
</file>

<file path=xl/ctrlProps/ctrlProp180.xml><?xml version="1.0" encoding="utf-8"?>
<formControlPr xmlns="http://schemas.microsoft.com/office/spreadsheetml/2009/9/main" objectType="Drop" dropLines="3" dropStyle="combo" dx="14" fmlaLink="$B$53" fmlaRange="constants!$F$13:$F$15" noThreeD="1" sel="1" val="0"/>
</file>

<file path=xl/ctrlProps/ctrlProp181.xml><?xml version="1.0" encoding="utf-8"?>
<formControlPr xmlns="http://schemas.microsoft.com/office/spreadsheetml/2009/9/main" objectType="Drop" dropStyle="combo" dx="14" fmlaLink="$B$56" fmlaRange="constants!$H$19:$H$22" noThreeD="1" sel="1" val="0"/>
</file>

<file path=xl/ctrlProps/ctrlProp182.xml><?xml version="1.0" encoding="utf-8"?>
<formControlPr xmlns="http://schemas.microsoft.com/office/spreadsheetml/2009/9/main" objectType="Drop" dropLines="3" dropStyle="combo" dx="14" fmlaLink="$B$62" fmlaRange="constants!$F$13:$F$15" noThreeD="1" sel="1" val="0"/>
</file>

<file path=xl/ctrlProps/ctrlProp183.xml><?xml version="1.0" encoding="utf-8"?>
<formControlPr xmlns="http://schemas.microsoft.com/office/spreadsheetml/2009/9/main" objectType="Drop" dropStyle="combo" dx="14" fmlaLink="$B$63" fmlaRange="constants!$B$4:$B$262" noThreeD="1" sel="1" val="0"/>
</file>

<file path=xl/ctrlProps/ctrlProp184.xml><?xml version="1.0" encoding="utf-8"?>
<formControlPr xmlns="http://schemas.microsoft.com/office/spreadsheetml/2009/9/main" objectType="Drop" dropStyle="combo" dx="14" fmlaLink="$B$64" fmlaRange="constants!$B$4:$B$262" noThreeD="1" sel="1" val="0"/>
</file>

<file path=xl/ctrlProps/ctrlProp185.xml><?xml version="1.0" encoding="utf-8"?>
<formControlPr xmlns="http://schemas.microsoft.com/office/spreadsheetml/2009/9/main" objectType="Drop" dropStyle="combo" dx="14" fmlaLink="$B$67" fmlaRange="TypeOfDocument" noThreeD="1" sel="1" val="0"/>
</file>

<file path=xl/ctrlProps/ctrlProp186.xml><?xml version="1.0" encoding="utf-8"?>
<formControlPr xmlns="http://schemas.microsoft.com/office/spreadsheetml/2009/9/main" objectType="Drop" dropLines="4" dropStyle="combo" dx="14" fmlaLink="$B$70" fmlaRange="sex" noThreeD="1" sel="1" val="0"/>
</file>

<file path=xl/ctrlProps/ctrlProp187.xml><?xml version="1.0" encoding="utf-8"?>
<formControlPr xmlns="http://schemas.microsoft.com/office/spreadsheetml/2009/9/main" objectType="Drop" dropStyle="combo" dx="14" fmlaLink="$B$73" fmlaRange="CountryOfPassport" noThreeD="1" sel="1" val="0"/>
</file>

<file path=xl/ctrlProps/ctrlProp188.xml><?xml version="1.0" encoding="utf-8"?>
<formControlPr xmlns="http://schemas.microsoft.com/office/spreadsheetml/2009/9/main" objectType="Drop" dropStyle="combo" dx="14" fmlaLink="$B$74" fmlaRange="CountryOfPassport" noThreeD="1" sel="1" val="0"/>
</file>

<file path=xl/ctrlProps/ctrlProp189.xml><?xml version="1.0" encoding="utf-8"?>
<formControlPr xmlns="http://schemas.microsoft.com/office/spreadsheetml/2009/9/main" objectType="Drop" dropLines="3" dropStyle="combo" dx="14" fmlaLink="$B$80" fmlaRange="constants!$F$13:$F$15" noThreeD="1" sel="1" val="0"/>
</file>

<file path=xl/ctrlProps/ctrlProp190.xml><?xml version="1.0" encoding="utf-8"?>
<formControlPr xmlns="http://schemas.microsoft.com/office/spreadsheetml/2009/9/main" objectType="Drop" dropStyle="combo" dx="14" fmlaLink="$B$83" fmlaRange="constants!$H$25:$H$29" noThreeD="1" sel="1" val="0"/>
</file>

<file path=xl/ctrlProps/ctrlProp191.xml><?xml version="1.0" encoding="utf-8"?>
<formControlPr xmlns="http://schemas.microsoft.com/office/spreadsheetml/2009/9/main" objectType="Drop" dropStyle="combo" dx="14" fmlaLink="$B$85" fmlaRange="constants!$B$4:$B$262" noThreeD="1" sel="1" val="0"/>
</file>

<file path=xl/ctrlProps/ctrlProp192.xml><?xml version="1.0" encoding="utf-8"?>
<formControlPr xmlns="http://schemas.microsoft.com/office/spreadsheetml/2009/9/main" objectType="Drop" dropStyle="combo" dx="14" fmlaLink="$B$6" fmlaRange="constants!$H$12:$H$16" noThreeD="1" sel="1" val="0"/>
</file>

<file path=xl/ctrlProps/ctrlProp193.xml><?xml version="1.0" encoding="utf-8"?>
<formControlPr xmlns="http://schemas.microsoft.com/office/spreadsheetml/2009/9/main" objectType="Drop" dropLines="3" dropStyle="combo" dx="14" fmlaLink="$B$15" fmlaRange="constants!$F$13:$F$15" noThreeD="1" sel="1" val="0"/>
</file>

<file path=xl/ctrlProps/ctrlProp194.xml><?xml version="1.0" encoding="utf-8"?>
<formControlPr xmlns="http://schemas.microsoft.com/office/spreadsheetml/2009/9/main" objectType="Drop" dropLines="3" dropStyle="combo" dx="14" fmlaLink="$B$16" fmlaRange="constants!$F$13:$F$15" noThreeD="1" sel="1" val="0"/>
</file>

<file path=xl/ctrlProps/ctrlProp195.xml><?xml version="1.0" encoding="utf-8"?>
<formControlPr xmlns="http://schemas.microsoft.com/office/spreadsheetml/2009/9/main" objectType="Drop" dropLines="33" dropStyle="combo" dx="14" fmlaLink="$B$26" fmlaRange="constants!$H$40:$H$72" noThreeD="1" sel="1" val="0"/>
</file>

<file path=xl/ctrlProps/ctrlProp196.xml><?xml version="1.0" encoding="utf-8"?>
<formControlPr xmlns="http://schemas.microsoft.com/office/spreadsheetml/2009/9/main" objectType="Drop" dropLines="3" dropStyle="combo" dx="14" fmlaLink="$B$16" fmlaRange="constants!$F$13:$F$15" noThreeD="1" sel="1" val="0"/>
</file>

<file path=xl/ctrlProps/ctrlProp197.xml><?xml version="1.0" encoding="utf-8"?>
<formControlPr xmlns="http://schemas.microsoft.com/office/spreadsheetml/2009/9/main" objectType="Drop" dropLines="33" dropStyle="combo" dx="14" fmlaLink="$B$26" fmlaRange="constants!$H$40:$H$72" noThreeD="1" sel="1" val="0"/>
</file>

<file path=xl/ctrlProps/ctrlProp198.xml><?xml version="1.0" encoding="utf-8"?>
<formControlPr xmlns="http://schemas.microsoft.com/office/spreadsheetml/2009/9/main" objectType="Drop" dropStyle="combo" dx="14" fmlaLink="$B$7" fmlaRange="constants!$B$4:$B$262" noThreeD="1" sel="1" val="0"/>
</file>

<file path=xl/ctrlProps/ctrlProp199.xml><?xml version="1.0" encoding="utf-8"?>
<formControlPr xmlns="http://schemas.microsoft.com/office/spreadsheetml/2009/9/main" objectType="Drop" dropStyle="combo" dx="14" fmlaLink="$B$10" fmlaRange="constants!$B$4:$B$262" noThreeD="1" sel="1" val="0"/>
</file>

<file path=xl/ctrlProps/ctrlProp200.xml><?xml version="1.0" encoding="utf-8"?>
<formControlPr xmlns="http://schemas.microsoft.com/office/spreadsheetml/2009/9/main" objectType="Drop" dropLines="3" dropStyle="combo" dx="14" fmlaLink="$B$18" fmlaRange="constants!$F$13:$F$15" noThreeD="1" sel="1" val="0"/>
</file>

<file path=xl/ctrlProps/ctrlProp201.xml><?xml version="1.0" encoding="utf-8"?>
<formControlPr xmlns="http://schemas.microsoft.com/office/spreadsheetml/2009/9/main" objectType="Drop" dropStyle="combo" dx="14" fmlaLink="$B$19" fmlaRange="constants!$B$4:$B$262" noThreeD="1" sel="1" val="0"/>
</file>

<file path=xl/ctrlProps/ctrlProp202.xml><?xml version="1.0" encoding="utf-8"?>
<formControlPr xmlns="http://schemas.microsoft.com/office/spreadsheetml/2009/9/main" objectType="Drop" dropStyle="combo" dx="14" fmlaLink="$B$14" fmlaRange="constants!$B$4:$B$262" noThreeD="1" sel="1" val="0"/>
</file>

<file path=xl/ctrlProps/ctrlProp203.xml><?xml version="1.0" encoding="utf-8"?>
<formControlPr xmlns="http://schemas.microsoft.com/office/spreadsheetml/2009/9/main" objectType="Drop" dropStyle="combo" dx="14" fmlaLink="$B$27" fmlaRange="constants!$B$4:$B$262" noThreeD="1" sel="1" val="0"/>
</file>

<file path=xl/ctrlProps/ctrlProp204.xml><?xml version="1.0" encoding="utf-8"?>
<formControlPr xmlns="http://schemas.microsoft.com/office/spreadsheetml/2009/9/main" objectType="Drop" dropStyle="combo" dx="14" fmlaLink="$B$40" fmlaRange="constants!$B$4:$B$262" noThreeD="1" sel="1" val="0"/>
</file>

<file path=xl/ctrlProps/ctrlProp205.xml><?xml version="1.0" encoding="utf-8"?>
<formControlPr xmlns="http://schemas.microsoft.com/office/spreadsheetml/2009/9/main" objectType="Drop" dropStyle="combo" dx="14" fmlaLink="$B$53" fmlaRange="constants!$B$4:$B$262" noThreeD="1" sel="1" val="0"/>
</file>

<file path=xl/ctrlProps/ctrlProp206.xml><?xml version="1.0" encoding="utf-8"?>
<formControlPr xmlns="http://schemas.microsoft.com/office/spreadsheetml/2009/9/main" objectType="Drop" dropStyle="combo" dx="14" fmlaLink="$B$66" fmlaRange="constants!$B$4:$B$262" noThreeD="1" sel="1" val="0"/>
</file>

<file path=xl/ctrlProps/ctrlProp207.xml><?xml version="1.0" encoding="utf-8"?>
<formControlPr xmlns="http://schemas.microsoft.com/office/spreadsheetml/2009/9/main" objectType="Drop" dropStyle="combo" dx="14" fmlaLink="$B$79" fmlaRange="constants!$B$4:$B$262" noThreeD="1" sel="1" val="0"/>
</file>

<file path=xl/ctrlProps/ctrlProp208.xml><?xml version="1.0" encoding="utf-8"?>
<formControlPr xmlns="http://schemas.microsoft.com/office/spreadsheetml/2009/9/main" objectType="Drop" dropStyle="combo" dx="18" fmlaLink="B9" fmlaRange="constants!$N$3:$N$9" noThreeD="1" sel="1" val="0"/>
</file>

<file path=xl/ctrlProps/ctrlProp209.xml><?xml version="1.0" encoding="utf-8"?>
<formControlPr xmlns="http://schemas.microsoft.com/office/spreadsheetml/2009/9/main" objectType="Drop" dropStyle="combo" dx="18" fmlaLink="B22" fmlaRange="constants!$N$3:$N$9" noThreeD="1" sel="1" val="0"/>
</file>

<file path=xl/ctrlProps/ctrlProp210.xml><?xml version="1.0" encoding="utf-8"?>
<formControlPr xmlns="http://schemas.microsoft.com/office/spreadsheetml/2009/9/main" objectType="Drop" dropStyle="combo" dx="18" fmlaLink="B35" fmlaRange="constants!$N$3:$N$9" noThreeD="1" sel="1" val="0"/>
</file>

<file path=xl/ctrlProps/ctrlProp211.xml><?xml version="1.0" encoding="utf-8"?>
<formControlPr xmlns="http://schemas.microsoft.com/office/spreadsheetml/2009/9/main" objectType="Drop" dropStyle="combo" dx="18" fmlaLink="B48" fmlaRange="constants!$N$3:$N$9" noThreeD="1" sel="1" val="0"/>
</file>

<file path=xl/ctrlProps/ctrlProp212.xml><?xml version="1.0" encoding="utf-8"?>
<formControlPr xmlns="http://schemas.microsoft.com/office/spreadsheetml/2009/9/main" objectType="Drop" dropStyle="combo" dx="18" fmlaLink="B61" fmlaRange="constants!$N$3:$N$9" noThreeD="1" sel="1" val="0"/>
</file>

<file path=xl/ctrlProps/ctrlProp213.xml><?xml version="1.0" encoding="utf-8"?>
<formControlPr xmlns="http://schemas.microsoft.com/office/spreadsheetml/2009/9/main" objectType="Drop" dropStyle="combo" dx="18" fmlaLink="B74" fmlaRange="constants!$N$3:$N$9" noThreeD="1" sel="1" val="0"/>
</file>

<file path=xl/ctrlProps/ctrlProp214.xml><?xml version="1.0" encoding="utf-8"?>
<formControlPr xmlns="http://schemas.microsoft.com/office/spreadsheetml/2009/9/main" objectType="Drop" dropLines="3" dropStyle="combo" dx="14" fmlaLink="$B$6" fmlaRange="constants!$F$13:$F$15" noThreeD="1" sel="1" val="0"/>
</file>

<file path=xl/ctrlProps/ctrlProp215.xml><?xml version="1.0" encoding="utf-8"?>
<formControlPr xmlns="http://schemas.microsoft.com/office/spreadsheetml/2009/9/main" objectType="Drop" dropStyle="combo" dx="14" fmlaLink="$B$10" fmlaRange="constants!$B$4:$B$262" noThreeD="1" sel="1" val="0"/>
</file>

<file path=xl/ctrlProps/ctrlProp216.xml><?xml version="1.0" encoding="utf-8"?>
<formControlPr xmlns="http://schemas.microsoft.com/office/spreadsheetml/2009/9/main" objectType="Drop" dropStyle="combo" dx="14" fmlaLink="$B$16" fmlaRange="constants!$B$4:$B$262" noThreeD="1" sel="1" val="0"/>
</file>

<file path=xl/ctrlProps/ctrlProp217.xml><?xml version="1.0" encoding="utf-8"?>
<formControlPr xmlns="http://schemas.microsoft.com/office/spreadsheetml/2009/9/main" objectType="Drop" dropStyle="combo" dx="14" fmlaLink="$B$22" fmlaRange="constants!$B$4:$B$262" noThreeD="1" sel="1" val="0"/>
</file>

<file path=xl/ctrlProps/ctrlProp218.xml><?xml version="1.0" encoding="utf-8"?>
<formControlPr xmlns="http://schemas.microsoft.com/office/spreadsheetml/2009/9/main" objectType="Drop" dropStyle="combo" dx="14" fmlaLink="$B$28" fmlaRange="constants!$B$4:$B$262" noThreeD="1" sel="1" val="0"/>
</file>

<file path=xl/ctrlProps/ctrlProp219.xml><?xml version="1.0" encoding="utf-8"?>
<formControlPr xmlns="http://schemas.microsoft.com/office/spreadsheetml/2009/9/main" objectType="Drop" dropStyle="combo" dx="14" fmlaLink="$B$34" fmlaRange="constants!$B$4:$B$262" noThreeD="1" sel="1" val="0"/>
</file>

<file path=xl/ctrlProps/ctrlProp220.xml><?xml version="1.0" encoding="utf-8"?>
<formControlPr xmlns="http://schemas.microsoft.com/office/spreadsheetml/2009/9/main" objectType="Drop" dropStyle="combo" dx="14" fmlaLink="$B$40" fmlaRange="constants!$B$4:$B$262" noThreeD="1" sel="1" val="0"/>
</file>

<file path=xl/ctrlProps/ctrlProp221.xml><?xml version="1.0" encoding="utf-8"?>
<formControlPr xmlns="http://schemas.microsoft.com/office/spreadsheetml/2009/9/main" objectType="Drop" dropLines="3" dropStyle="combo" dx="14" fmlaLink="$B$45" fmlaRange="constants!$F$13:$F$15" noThreeD="1" sel="1" val="0"/>
</file>

<file path=xl/ctrlProps/ctrlProp222.xml><?xml version="1.0" encoding="utf-8"?>
<formControlPr xmlns="http://schemas.microsoft.com/office/spreadsheetml/2009/9/main" objectType="Drop" dropStyle="combo" dx="14" fmlaLink="$B$47" fmlaRange="HospitalReasons" noThreeD="1" sel="1" val="0"/>
</file>

<file path=xl/ctrlProps/ctrlProp223.xml><?xml version="1.0" encoding="utf-8"?>
<formControlPr xmlns="http://schemas.microsoft.com/office/spreadsheetml/2009/9/main" objectType="Drop" dropStyle="combo" dx="14" fmlaLink="$B$53" fmlaRange="HospitalReasons" noThreeD="1" sel="1" val="0"/>
</file>

<file path=xl/ctrlProps/ctrlProp224.xml><?xml version="1.0" encoding="utf-8"?>
<formControlPr xmlns="http://schemas.microsoft.com/office/spreadsheetml/2009/9/main" objectType="Drop" dropLines="3" dropStyle="combo" dx="14" fmlaLink="$B$58" fmlaRange="constants!$F$13:$F$15" noThreeD="1" sel="1" val="0"/>
</file>

<file path=xl/ctrlProps/ctrlProp225.xml><?xml version="1.0" encoding="utf-8"?>
<formControlPr xmlns="http://schemas.microsoft.com/office/spreadsheetml/2009/9/main" objectType="Drop" dropLines="3" dropStyle="combo" dx="14" fmlaLink="$B$69" fmlaRange="constants!$F$13:$F$15" noThreeD="1" sel="1" val="0"/>
</file>

<file path=xl/ctrlProps/ctrlProp226.xml><?xml version="1.0" encoding="utf-8"?>
<formControlPr xmlns="http://schemas.microsoft.com/office/spreadsheetml/2009/9/main" objectType="Drop" dropLines="3" dropStyle="combo" dx="14" fmlaLink="$B$80" fmlaRange="constants!$F$13:$F$15" noThreeD="1" sel="1" val="0"/>
</file>

<file path=xl/ctrlProps/ctrlProp227.xml><?xml version="1.0" encoding="utf-8"?>
<formControlPr xmlns="http://schemas.microsoft.com/office/spreadsheetml/2009/9/main" objectType="Drop" dropLines="3" dropStyle="combo" dx="14" fmlaLink="$B$92" fmlaRange="constants!$F$13:$F$15" noThreeD="1" sel="1" val="0"/>
</file>

<file path=xl/ctrlProps/ctrlProp228.xml><?xml version="1.0" encoding="utf-8"?>
<formControlPr xmlns="http://schemas.microsoft.com/office/spreadsheetml/2009/9/main" objectType="Drop" dropStyle="combo" dx="14" fmlaLink="$B$94" fmlaRange="constants!$J$41:$J$51" noThreeD="1" sel="1" val="0"/>
</file>

<file path=xl/ctrlProps/ctrlProp229.xml><?xml version="1.0" encoding="utf-8"?>
<formControlPr xmlns="http://schemas.microsoft.com/office/spreadsheetml/2009/9/main" objectType="Drop" dropStyle="combo" dx="14" fmlaLink="$B$100" fmlaRange="constants!$J$41:$J$51" noThreeD="1" sel="1" val="0"/>
</file>

<file path=xl/ctrlProps/ctrlProp230.xml><?xml version="1.0" encoding="utf-8"?>
<formControlPr xmlns="http://schemas.microsoft.com/office/spreadsheetml/2009/9/main" objectType="Drop" dropLines="3" dropStyle="combo" dx="14" fmlaLink="$B$105" fmlaRange="constants!$F$13:$F$15" noThreeD="1" sel="1" val="0"/>
</file>

<file path=xl/ctrlProps/ctrlProp231.xml><?xml version="1.0" encoding="utf-8"?>
<formControlPr xmlns="http://schemas.microsoft.com/office/spreadsheetml/2009/9/main" objectType="Drop" dropLines="3" dropStyle="combo" dx="14" fmlaLink="$B$116" fmlaRange="constants!$F$13:$F$15" noThreeD="1" sel="1" val="0"/>
</file>

<file path=xl/ctrlProps/ctrlProp232.xml><?xml version="1.0" encoding="utf-8"?>
<formControlPr xmlns="http://schemas.microsoft.com/office/spreadsheetml/2009/9/main" objectType="Drop" dropStyle="combo" dx="18" fmlaLink="B9" fmlaRange="constants!$N$3:$N$9" noThreeD="1" sel="1" val="0"/>
</file>

<file path=xl/ctrlProps/ctrlProp233.xml><?xml version="1.0" encoding="utf-8"?>
<formControlPr xmlns="http://schemas.microsoft.com/office/spreadsheetml/2009/9/main" objectType="Drop" dropStyle="combo" dx="18" fmlaLink="B15" fmlaRange="constants!$N$3:$N$9" noThreeD="1" sel="1" val="0"/>
</file>

<file path=xl/ctrlProps/ctrlProp234.xml><?xml version="1.0" encoding="utf-8"?>
<formControlPr xmlns="http://schemas.microsoft.com/office/spreadsheetml/2009/9/main" objectType="Drop" dropStyle="combo" dx="18" fmlaLink="B21" fmlaRange="constants!$N$3:$N$9" noThreeD="1" sel="1" val="0"/>
</file>

<file path=xl/ctrlProps/ctrlProp235.xml><?xml version="1.0" encoding="utf-8"?>
<formControlPr xmlns="http://schemas.microsoft.com/office/spreadsheetml/2009/9/main" objectType="Drop" dropStyle="combo" dx="18" fmlaLink="B27" fmlaRange="constants!$N$3:$N$9" noThreeD="1" sel="1" val="0"/>
</file>

<file path=xl/ctrlProps/ctrlProp236.xml><?xml version="1.0" encoding="utf-8"?>
<formControlPr xmlns="http://schemas.microsoft.com/office/spreadsheetml/2009/9/main" objectType="Drop" dropStyle="combo" dx="18" fmlaLink="B33" fmlaRange="constants!$N$3:$N$9" noThreeD="1" sel="1" val="0"/>
</file>

<file path=xl/ctrlProps/ctrlProp237.xml><?xml version="1.0" encoding="utf-8"?>
<formControlPr xmlns="http://schemas.microsoft.com/office/spreadsheetml/2009/9/main" objectType="Drop" dropStyle="combo" dx="18" fmlaLink="B39" fmlaRange="constants!$N$3:$N$9" noThreeD="1" sel="1" val="0"/>
</file>

<file path=xl/ctrlProps/ctrlProp238.xml><?xml version="1.0" encoding="utf-8"?>
<formControlPr xmlns="http://schemas.microsoft.com/office/spreadsheetml/2009/9/main" objectType="Drop" dropLines="10" dropStyle="combo" dx="14" fmlaLink="B94" fmlaRange="HealthCondition" noThreeD="1" sel="1" val="0"/>
</file>

<file path=xl/ctrlProps/ctrlProp239.xml><?xml version="1.0" encoding="utf-8"?>
<formControlPr xmlns="http://schemas.microsoft.com/office/spreadsheetml/2009/9/main" objectType="Drop" dropLines="10" dropStyle="combo" dx="14" fmlaLink="B100" fmlaRange="HealthCondition" noThreeD="1" sel="1" val="0"/>
</file>

<file path=xl/ctrlProps/ctrlProp240.xml><?xml version="1.0" encoding="utf-8"?>
<formControlPr xmlns="http://schemas.microsoft.com/office/spreadsheetml/2009/9/main" objectType="Drop" dropStyle="combo" dx="18" fmlaLink="$B$52" fmlaRange="constants!$N$3:$N$9" noThreeD="1" sel="1" val="0"/>
</file>

<file path=xl/ctrlProps/ctrlProp241.xml><?xml version="1.0" encoding="utf-8"?>
<formControlPr xmlns="http://schemas.microsoft.com/office/spreadsheetml/2009/9/main" objectType="Drop" dropStyle="combo" dx="18" fmlaLink="$B$64" fmlaRange="constants!$N$3:$N$9" noThreeD="1" sel="1" val="0"/>
</file>

<file path=xl/ctrlProps/ctrlProp242.xml><?xml version="1.0" encoding="utf-8"?>
<formControlPr xmlns="http://schemas.microsoft.com/office/spreadsheetml/2009/9/main" objectType="Drop" dropStyle="combo" dx="18" fmlaLink="$B$75" fmlaRange="constants!$N$3:$N$9" noThreeD="1" sel="1" val="0"/>
</file>

<file path=xl/ctrlProps/ctrlProp243.xml><?xml version="1.0" encoding="utf-8"?>
<formControlPr xmlns="http://schemas.microsoft.com/office/spreadsheetml/2009/9/main" objectType="Drop" dropStyle="combo" dx="18" fmlaLink="$B$86" fmlaRange="constants!$N$3:$N$9" noThreeD="1" sel="1" val="0"/>
</file>

<file path=xl/ctrlProps/ctrlProp244.xml><?xml version="1.0" encoding="utf-8"?>
<formControlPr xmlns="http://schemas.microsoft.com/office/spreadsheetml/2009/9/main" objectType="Drop" dropStyle="combo" dx="18" fmlaLink="$B$93" fmlaRange="constants!$N$3:$N$9" noThreeD="1" sel="1" val="0"/>
</file>

<file path=xl/ctrlProps/ctrlProp245.xml><?xml version="1.0" encoding="utf-8"?>
<formControlPr xmlns="http://schemas.microsoft.com/office/spreadsheetml/2009/9/main" objectType="Drop" dropStyle="combo" dx="18" fmlaLink="$B$99" fmlaRange="constants!$N$3:$N$9" noThreeD="1" sel="1" val="0"/>
</file>

<file path=xl/ctrlProps/ctrlProp246.xml><?xml version="1.0" encoding="utf-8"?>
<formControlPr xmlns="http://schemas.microsoft.com/office/spreadsheetml/2009/9/main" objectType="Drop" dropStyle="combo" dx="18" fmlaLink="$B$106" fmlaRange="constants!$N$3:$N$9" noThreeD="1" sel="1" val="0"/>
</file>

<file path=xl/ctrlProps/ctrlProp247.xml><?xml version="1.0" encoding="utf-8"?>
<formControlPr xmlns="http://schemas.microsoft.com/office/spreadsheetml/2009/9/main" objectType="Drop" dropStyle="combo" dx="18" fmlaLink="$B$111" fmlaRange="constants!$N$3:$N$9" noThreeD="1" sel="1" val="0"/>
</file>

<file path=xl/ctrlProps/ctrlProp248.xml><?xml version="1.0" encoding="utf-8"?>
<formControlPr xmlns="http://schemas.microsoft.com/office/spreadsheetml/2009/9/main" objectType="Drop" dropStyle="combo" dx="18" fmlaLink="$B$122" fmlaRange="constants!$N$3:$N$9" noThreeD="1" sel="1" val="0"/>
</file>

<file path=xl/ctrlProps/ctrlProp249.xml><?xml version="1.0" encoding="utf-8"?>
<formControlPr xmlns="http://schemas.microsoft.com/office/spreadsheetml/2009/9/main" objectType="Drop" dropStyle="combo" dx="18" fmlaLink="$B$117" fmlaRange="constants!$N$3:$N$9" noThreeD="1" sel="1" val="0"/>
</file>

<file path=xl/ctrlProps/ctrlProp250.xml><?xml version="1.0" encoding="utf-8"?>
<formControlPr xmlns="http://schemas.microsoft.com/office/spreadsheetml/2009/9/main" objectType="Drop" dropStyle="combo" dx="18" fmlaLink="$B$46" fmlaRange="constants!$N$3:$N$9" noThreeD="1" sel="1" val="0"/>
</file>

<file path=xl/ctrlProps/ctrlProp251.xml><?xml version="1.0" encoding="utf-8"?>
<formControlPr xmlns="http://schemas.microsoft.com/office/spreadsheetml/2009/9/main" objectType="Drop" dropStyle="combo" dx="18" fmlaLink="B59" fmlaRange="constants!$N$3:$N$9" noThreeD="1" sel="1" val="0"/>
</file>

<file path=xl/ctrlProps/ctrlProp252.xml><?xml version="1.0" encoding="utf-8"?>
<formControlPr xmlns="http://schemas.microsoft.com/office/spreadsheetml/2009/9/main" objectType="Drop" dropStyle="combo" dx="18" fmlaLink="B39" fmlaRange="constants!$N$3:$N$9" noThreeD="1" sel="1" val="0"/>
</file>

<file path=xl/ctrlProps/ctrlProp253.xml><?xml version="1.0" encoding="utf-8"?>
<formControlPr xmlns="http://schemas.microsoft.com/office/spreadsheetml/2009/9/main" objectType="Drop" dropStyle="combo" dx="18" fmlaLink="$B$81" fmlaRange="constants!$N$3:$N$9" noThreeD="1" sel="1" val="0"/>
</file>

<file path=xl/ctrlProps/ctrlProp254.xml><?xml version="1.0" encoding="utf-8"?>
<formControlPr xmlns="http://schemas.microsoft.com/office/spreadsheetml/2009/9/main" objectType="Drop" dropStyle="combo" dx="18" fmlaLink="$B$59" fmlaRange="constants!$N$3:$N$9" noThreeD="1" sel="1" val="0"/>
</file>

<file path=xl/ctrlProps/ctrlProp255.xml><?xml version="1.0" encoding="utf-8"?>
<formControlPr xmlns="http://schemas.microsoft.com/office/spreadsheetml/2009/9/main" objectType="Drop" dropStyle="combo" dx="18" fmlaLink="$B$70" fmlaRange="constants!$N$3:$N$9" noThreeD="1" sel="1" val="0"/>
</file>

<file path=xl/ctrlProps/ctrlProp256.xml><?xml version="1.0" encoding="utf-8"?>
<formControlPr xmlns="http://schemas.microsoft.com/office/spreadsheetml/2009/9/main" objectType="Drop" dropStyle="combo" dx="14" fmlaLink="$B$6" fmlaRange="constants!$J$11:$J$30" noThreeD="1" sel="8" val="0"/>
</file>

<file path=xl/ctrlProps/ctrlProp257.xml><?xml version="1.0" encoding="utf-8"?>
<formControlPr xmlns="http://schemas.microsoft.com/office/spreadsheetml/2009/9/main" objectType="Drop" dropLines="3" dropStyle="combo" dx="14" fmlaLink="$B$7" fmlaRange="constants!$F$13:$F$15" noThreeD="1" sel="1" val="0"/>
</file>

<file path=xl/ctrlProps/ctrlProp258.xml><?xml version="1.0" encoding="utf-8"?>
<formControlPr xmlns="http://schemas.microsoft.com/office/spreadsheetml/2009/9/main" objectType="Drop" dropStyle="combo" dx="14" fmlaLink="$B$10" fmlaRange="constants!$J$11:$J$30" noThreeD="1" sel="1" val="0"/>
</file>

<file path=xl/ctrlProps/ctrlProp259.xml><?xml version="1.0" encoding="utf-8"?>
<formControlPr xmlns="http://schemas.microsoft.com/office/spreadsheetml/2009/9/main" objectType="Drop" dropStyle="combo" dx="14" fmlaLink="$B$18" fmlaRange="constants!$J$11:$J$30" noThreeD="1" sel="1" val="0"/>
</file>

<file path=xl/ctrlProps/ctrlProp260.xml><?xml version="1.0" encoding="utf-8"?>
<formControlPr xmlns="http://schemas.microsoft.com/office/spreadsheetml/2009/9/main" objectType="Drop" dropStyle="combo" dx="14" fmlaLink="$B$26" fmlaRange="constants!$J$11:$J$30" noThreeD="1" sel="1" val="0"/>
</file>

<file path=xl/ctrlProps/ctrlProp261.xml><?xml version="1.0" encoding="utf-8"?>
<formControlPr xmlns="http://schemas.microsoft.com/office/spreadsheetml/2009/9/main" objectType="Drop" dropStyle="combo" dx="14" fmlaLink="$B$34" fmlaRange="constants!$J$11:$J$30" noThreeD="1" sel="1" val="0"/>
</file>

<file path=xl/ctrlProps/ctrlProp262.xml><?xml version="1.0" encoding="utf-8"?>
<formControlPr xmlns="http://schemas.microsoft.com/office/spreadsheetml/2009/9/main" objectType="Drop" dropStyle="combo" dx="14" fmlaLink="$B$13" fmlaRange="constants!$B$4:$B$262" noThreeD="1" sel="1" val="0"/>
</file>

<file path=xl/ctrlProps/ctrlProp263.xml><?xml version="1.0" encoding="utf-8"?>
<formControlPr xmlns="http://schemas.microsoft.com/office/spreadsheetml/2009/9/main" objectType="Drop" dropStyle="combo" dx="14" fmlaLink="$B$21" fmlaRange="constants!$B$4:$B$262" noThreeD="1" sel="1" val="0"/>
</file>

<file path=xl/ctrlProps/ctrlProp264.xml><?xml version="1.0" encoding="utf-8"?>
<formControlPr xmlns="http://schemas.microsoft.com/office/spreadsheetml/2009/9/main" objectType="Drop" dropStyle="combo" dx="14" fmlaLink="$B$29" fmlaRange="constants!$B$4:$B$262" noThreeD="1" sel="1" val="0"/>
</file>

<file path=xl/ctrlProps/ctrlProp265.xml><?xml version="1.0" encoding="utf-8"?>
<formControlPr xmlns="http://schemas.microsoft.com/office/spreadsheetml/2009/9/main" objectType="Drop" dropStyle="combo" dx="14" fmlaLink="$B$37" fmlaRange="constants!$B$4:$B$262" noThreeD="1" sel="1" val="0"/>
</file>

<file path=xl/ctrlProps/ctrlProp266.xml><?xml version="1.0" encoding="utf-8"?>
<formControlPr xmlns="http://schemas.microsoft.com/office/spreadsheetml/2009/9/main" objectType="Drop" dropStyle="combo" dx="14" fmlaLink="$B$10" fmlaRange="constants!$J$11:$J$30" noThreeD="1" sel="1" val="0"/>
</file>

<file path=xl/ctrlProps/ctrlProp267.xml><?xml version="1.0" encoding="utf-8"?>
<formControlPr xmlns="http://schemas.microsoft.com/office/spreadsheetml/2009/9/main" objectType="Drop" dropStyle="combo" dx="14" fmlaLink="$B$13" fmlaRange="constants!$B$4:$B$262" noThreeD="1" sel="1" val="0"/>
</file>

<file path=xl/ctrlProps/ctrlProp268.xml><?xml version="1.0" encoding="utf-8"?>
<formControlPr xmlns="http://schemas.microsoft.com/office/spreadsheetml/2009/9/main" objectType="Drop" dropStyle="combo" dx="14" fmlaLink="$B$18" fmlaRange="constants!$J$11:$J$30" noThreeD="1" sel="1" val="0"/>
</file>

<file path=xl/ctrlProps/ctrlProp269.xml><?xml version="1.0" encoding="utf-8"?>
<formControlPr xmlns="http://schemas.microsoft.com/office/spreadsheetml/2009/9/main" objectType="Drop" dropStyle="combo" dx="14" fmlaLink="$B$21" fmlaRange="constants!$B$4:$B$262" noThreeD="1" sel="1" val="0"/>
</file>

<file path=xl/ctrlProps/ctrlProp270.xml><?xml version="1.0" encoding="utf-8"?>
<formControlPr xmlns="http://schemas.microsoft.com/office/spreadsheetml/2009/9/main" objectType="Drop" dropStyle="combo" dx="14" fmlaLink="$B$26" fmlaRange="constants!$J$11:$J$30" noThreeD="1" sel="1" val="0"/>
</file>

<file path=xl/ctrlProps/ctrlProp271.xml><?xml version="1.0" encoding="utf-8"?>
<formControlPr xmlns="http://schemas.microsoft.com/office/spreadsheetml/2009/9/main" objectType="Drop" dropStyle="combo" dx="14" fmlaLink="$B$29" fmlaRange="constants!$B$4:$B$262" noThreeD="1" sel="1" val="0"/>
</file>

<file path=xl/ctrlProps/ctrlProp272.xml><?xml version="1.0" encoding="utf-8"?>
<formControlPr xmlns="http://schemas.microsoft.com/office/spreadsheetml/2009/9/main" objectType="Drop" dropStyle="combo" dx="14" fmlaLink="$B$34" fmlaRange="constants!$J$11:$J$30" noThreeD="1" sel="1" val="0"/>
</file>

<file path=xl/ctrlProps/ctrlProp273.xml><?xml version="1.0" encoding="utf-8"?>
<formControlPr xmlns="http://schemas.microsoft.com/office/spreadsheetml/2009/9/main" objectType="Drop" dropStyle="combo" dx="14" fmlaLink="$B$37" fmlaRange="constants!$B$4:$B$262" noThreeD="1" sel="1" val="0"/>
</file>

<file path=xl/ctrlProps/ctrlProp274.xml><?xml version="1.0" encoding="utf-8"?>
<formControlPr xmlns="http://schemas.microsoft.com/office/spreadsheetml/2009/9/main" objectType="Drop" dropLines="3" dropStyle="combo" dx="14" fmlaLink="$B$7" fmlaRange="constants!$F$13:$F$15" noThreeD="1" sel="1" val="0"/>
</file>

<file path=xl/ctrlProps/ctrlProp275.xml><?xml version="1.0" encoding="utf-8"?>
<formControlPr xmlns="http://schemas.microsoft.com/office/spreadsheetml/2009/9/main" objectType="Drop" dropStyle="combo" dx="14" fmlaLink="$B$8" fmlaRange="constants!$L$3:$L$421" noThreeD="1" sel="1" val="0"/>
</file>

<file path=xl/ctrlProps/ctrlProp276.xml><?xml version="1.0" encoding="utf-8"?>
<formControlPr xmlns="http://schemas.microsoft.com/office/spreadsheetml/2009/9/main" objectType="Drop" dropLines="3" dropStyle="combo" dx="14" fmlaLink="$B$14" fmlaRange="constants!$F$13:$F$15" noThreeD="1" sel="1" val="0"/>
</file>

<file path=xl/ctrlProps/ctrlProp277.xml><?xml version="1.0" encoding="utf-8"?>
<formControlPr xmlns="http://schemas.microsoft.com/office/spreadsheetml/2009/9/main" objectType="Drop" dropStyle="combo" dx="14" fmlaLink="$B$20" fmlaRange="constants!$B$4:$B$262" noThreeD="1" sel="1" val="0"/>
</file>

<file path=xl/ctrlProps/ctrlProp278.xml><?xml version="1.0" encoding="utf-8"?>
<formControlPr xmlns="http://schemas.microsoft.com/office/spreadsheetml/2009/9/main" objectType="Drop" dropStyle="combo" dx="14" fmlaLink="$B$17" fmlaRange="constants!$J$33:$J$38" noThreeD="1" sel="1" val="0"/>
</file>

<file path=xl/ctrlProps/ctrlProp279.xml><?xml version="1.0" encoding="utf-8"?>
<formControlPr xmlns="http://schemas.microsoft.com/office/spreadsheetml/2009/9/main" objectType="Drop" dropLines="3" dropStyle="combo" dx="14" fmlaLink="$B$11" fmlaRange="constants!$F$13:$F$15" noThreeD="1" sel="1" val="0"/>
</file>

<file path=xl/ctrlProps/ctrlProp280.xml><?xml version="1.0" encoding="utf-8"?>
<formControlPr xmlns="http://schemas.microsoft.com/office/spreadsheetml/2009/9/main" objectType="Drop" dropLines="20" dropStyle="combo" dx="14" fmlaLink="B8" fmlaRange="MainLanguage" noThreeD="1" sel="1" val="0"/>
</file>

<file path=xl/ctrlProps/ctrlProp281.xml><?xml version="1.0" encoding="utf-8"?>
<formControlPr xmlns="http://schemas.microsoft.com/office/spreadsheetml/2009/9/main" objectType="Drop" dropLines="20" dropStyle="combo" dx="14" fmlaLink="B17" fmlaRange="EnglishTest" noThreeD="1" sel="1" val="0"/>
</file>

<file path=xl/ctrlProps/ctrlProp282.xml><?xml version="1.0" encoding="utf-8"?>
<formControlPr xmlns="http://schemas.microsoft.com/office/spreadsheetml/2009/9/main" objectType="Drop" dropLines="20" dropStyle="combo" dx="14" fmlaLink="B20" fmlaRange="CountryOfIssue" noThreeD="1" sel="1" val="0"/>
</file>

<file path=xl/ctrlProps/ctrlProp283.xml><?xml version="1.0" encoding="utf-8"?>
<formControlPr xmlns="http://schemas.microsoft.com/office/spreadsheetml/2009/9/main" objectType="Drop" dropLines="3" dropStyle="combo" dx="14" fmlaLink="$B$11" fmlaRange="constants!$F$13:$F$15" noThreeD="1" sel="1" val="0"/>
</file>

<file path=xl/ctrlProps/ctrlProp284.xml><?xml version="1.0" encoding="utf-8"?>
<formControlPr xmlns="http://schemas.microsoft.com/office/spreadsheetml/2009/9/main" objectType="Drop" dropLines="3" dropStyle="combo" dx="14" fmlaLink="$B$14" fmlaRange="constants!$F$13:$F$15" noThreeD="1" sel="1" val="0"/>
</file>

<file path=xl/ctrlProps/ctrlProp285.xml><?xml version="1.0" encoding="utf-8"?>
<formControlPr xmlns="http://schemas.microsoft.com/office/spreadsheetml/2009/9/main" objectType="Drop" dropLines="20" dropStyle="combo" dx="14" fmlaLink="$B$8" fmlaRange="MainLanguage" noThreeD="1" sel="1" val="0"/>
</file>

<file path=xl/ctrlProps/ctrlProp286.xml><?xml version="1.0" encoding="utf-8"?>
<formControlPr xmlns="http://schemas.microsoft.com/office/spreadsheetml/2009/9/main" objectType="Drop" dropLines="3" dropStyle="combo" dx="14" fmlaLink="$B$6" fmlaRange="constants!$F$13:$F$15" noThreeD="1" sel="1" val="0"/>
</file>

<file path=xl/ctrlProps/ctrlProp287.xml><?xml version="1.0" encoding="utf-8"?>
<formControlPr xmlns="http://schemas.microsoft.com/office/spreadsheetml/2009/9/main" objectType="Drop" dropLines="3" dropStyle="combo" dx="14" fmlaLink="$B$9" fmlaRange="constants!$F$13:$F$15" noThreeD="1" sel="1" val="0"/>
</file>

<file path=xl/ctrlProps/ctrlProp288.xml><?xml version="1.0" encoding="utf-8"?>
<formControlPr xmlns="http://schemas.microsoft.com/office/spreadsheetml/2009/9/main" objectType="Drop" dropLines="3" dropStyle="combo" dx="14" fmlaLink="$B$8" fmlaRange="constants!$F$13:$F$15" noThreeD="1" sel="1" val="0"/>
</file>

<file path=xl/ctrlProps/ctrlProp289.xml><?xml version="1.0" encoding="utf-8"?>
<formControlPr xmlns="http://schemas.microsoft.com/office/spreadsheetml/2009/9/main" objectType="Drop" dropLines="3" dropStyle="combo" dx="14" fmlaLink="$B$11" fmlaRange="constants!$F$13:$F$15" noThreeD="1" sel="3" val="0"/>
</file>

<file path=xl/ctrlProps/ctrlProp290.xml><?xml version="1.0" encoding="utf-8"?>
<formControlPr xmlns="http://schemas.microsoft.com/office/spreadsheetml/2009/9/main" objectType="Drop" dropLines="4" dropStyle="combo" dx="14" fmlaLink="$B$13" fmlaRange="constants!$F$34:$F$37" noThreeD="1" sel="1" val="0"/>
</file>

<file path=xl/ctrlProps/ctrlProp291.xml><?xml version="1.0" encoding="utf-8"?>
<formControlPr xmlns="http://schemas.microsoft.com/office/spreadsheetml/2009/9/main" objectType="Drop" dropStyle="combo" dx="14" fmlaLink="$B$15" fmlaRange="constants!$B$4:$B$262" noThreeD="1" sel="1" val="0"/>
</file>

<file path=xl/ctrlProps/ctrlProp292.xml><?xml version="1.0" encoding="utf-8"?>
<formControlPr xmlns="http://schemas.microsoft.com/office/spreadsheetml/2009/9/main" objectType="Drop" dropLines="3" dropStyle="combo" dx="14" fmlaLink="$B$19" fmlaRange="constants!$F$13:$F$15" noThreeD="1" sel="1" val="0"/>
</file>

<file path=xl/ctrlProps/ctrlProp293.xml><?xml version="1.0" encoding="utf-8"?>
<formControlPr xmlns="http://schemas.microsoft.com/office/spreadsheetml/2009/9/main" objectType="Drop" dropLines="3" dropStyle="combo" dx="14" fmlaLink="$B$23" fmlaRange="constants!$F$13:$F$15" noThreeD="1" sel="1" val="0"/>
</file>

<file path=xl/ctrlProps/ctrlProp294.xml><?xml version="1.0" encoding="utf-8"?>
<formControlPr xmlns="http://schemas.microsoft.com/office/spreadsheetml/2009/9/main" objectType="Drop" dropLines="4" dropStyle="combo" dx="14" fmlaLink="$B$25" fmlaRange="constants!$F$34:$F$37" noThreeD="1" sel="1" val="0"/>
</file>

<file path=xl/ctrlProps/ctrlProp295.xml><?xml version="1.0" encoding="utf-8"?>
<formControlPr xmlns="http://schemas.microsoft.com/office/spreadsheetml/2009/9/main" objectType="Drop" dropStyle="combo" dx="14" fmlaLink="$B$27" fmlaRange="constants!$B$4:$B$262" noThreeD="1" sel="1" val="0"/>
</file>

<file path=xl/ctrlProps/ctrlProp296.xml><?xml version="1.0" encoding="utf-8"?>
<formControlPr xmlns="http://schemas.microsoft.com/office/spreadsheetml/2009/9/main" objectType="Drop" dropLines="3" dropStyle="combo" dx="14" fmlaLink="$B$31" fmlaRange="constants!$F$13:$F$15" noThreeD="1" sel="1" val="0"/>
</file>

<file path=xl/ctrlProps/ctrlProp297.xml><?xml version="1.0" encoding="utf-8"?>
<formControlPr xmlns="http://schemas.microsoft.com/office/spreadsheetml/2009/9/main" objectType="Drop" dropLines="3" dropStyle="combo" dx="14" fmlaLink="$B$34" fmlaRange="constants!$F$13:$F$15" noThreeD="1" sel="1" val="0"/>
</file>

<file path=xl/ctrlProps/ctrlProp298.xml><?xml version="1.0" encoding="utf-8"?>
<formControlPr xmlns="http://schemas.microsoft.com/office/spreadsheetml/2009/9/main" objectType="Drop" dropLines="4" dropStyle="combo" dx="14" fmlaLink="$B$36" fmlaRange="constants!$F$34:$F$37" noThreeD="1" sel="1" val="0"/>
</file>

<file path=xl/ctrlProps/ctrlProp299.xml><?xml version="1.0" encoding="utf-8"?>
<formControlPr xmlns="http://schemas.microsoft.com/office/spreadsheetml/2009/9/main" objectType="Drop" dropStyle="combo" dx="14" fmlaLink="$B$38" fmlaRange="constants!$B$4:$B$262" noThreeD="1" sel="1" val="0"/>
</file>

<file path=xl/ctrlProps/ctrlProp300.xml><?xml version="1.0" encoding="utf-8"?>
<formControlPr xmlns="http://schemas.microsoft.com/office/spreadsheetml/2009/9/main" objectType="Drop" dropLines="3" dropStyle="combo" dx="14" fmlaLink="$B$42" fmlaRange="constants!$F$13:$F$15" noThreeD="1" sel="2" val="0"/>
</file>

<file path=xl/ctrlProps/ctrlProp301.xml><?xml version="1.0" encoding="utf-8"?>
<formControlPr xmlns="http://schemas.microsoft.com/office/spreadsheetml/2009/9/main" objectType="Drop" dropLines="3" dropStyle="combo" dx="14" fmlaLink="$B$45" fmlaRange="constants!$F$13:$F$15" noThreeD="1" sel="1" val="0"/>
</file>

<file path=xl/ctrlProps/ctrlProp302.xml><?xml version="1.0" encoding="utf-8"?>
<formControlPr xmlns="http://schemas.microsoft.com/office/spreadsheetml/2009/9/main" objectType="Drop" dropLines="4" dropStyle="combo" dx="14" fmlaLink="$B$47" fmlaRange="constants!$F$34:$F$37" noThreeD="1" sel="1" val="0"/>
</file>

<file path=xl/ctrlProps/ctrlProp303.xml><?xml version="1.0" encoding="utf-8"?>
<formControlPr xmlns="http://schemas.microsoft.com/office/spreadsheetml/2009/9/main" objectType="Drop" dropStyle="combo" dx="14" fmlaLink="$B$49" fmlaRange="constants!$B$4:$B$262" noThreeD="1" sel="104" val="103"/>
</file>

<file path=xl/ctrlProps/ctrlProp304.xml><?xml version="1.0" encoding="utf-8"?>
<formControlPr xmlns="http://schemas.microsoft.com/office/spreadsheetml/2009/9/main" objectType="Drop" dropLines="3" dropStyle="combo" dx="14" fmlaLink="$B$53" fmlaRange="constants!$F$13:$F$15" noThreeD="1" sel="2" val="0"/>
</file>

<file path=xl/ctrlProps/ctrlProp305.xml><?xml version="1.0" encoding="utf-8"?>
<formControlPr xmlns="http://schemas.microsoft.com/office/spreadsheetml/2009/9/main" objectType="Drop" dropLines="3" dropStyle="combo" dx="14" fmlaLink="$B$56" fmlaRange="constants!$F$13:$F$15" noThreeD="1" sel="3" val="0"/>
</file>

<file path=xl/ctrlProps/ctrlProp306.xml><?xml version="1.0" encoding="utf-8"?>
<formControlPr xmlns="http://schemas.microsoft.com/office/spreadsheetml/2009/9/main" objectType="Drop" dropLines="3" dropStyle="combo" dx="14" fmlaLink="$B$20" fmlaRange="constants!$F$13:$F$15" noThreeD="1" sel="1" val="0"/>
</file>

<file path=xl/ctrlProps/ctrlProp307.xml><?xml version="1.0" encoding="utf-8"?>
<formControlPr xmlns="http://schemas.microsoft.com/office/spreadsheetml/2009/9/main" objectType="Drop" dropLines="3" dropStyle="combo" dx="14" fmlaLink="$B$6" fmlaRange="constants!$F$13:$F$15" noThreeD="1" sel="1" val="0"/>
</file>

<file path=xl/ctrlProps/ctrlProp308.xml><?xml version="1.0" encoding="utf-8"?>
<formControlPr xmlns="http://schemas.microsoft.com/office/spreadsheetml/2009/9/main" objectType="Drop" dropLines="3" dropStyle="combo" dx="14" fmlaLink="$B$13" fmlaRange="constants!$F$13:$F$15" noThreeD="1" sel="1" val="0"/>
</file>

<file path=xl/ctrlProps/ctrlProp309.xml><?xml version="1.0" encoding="utf-8"?>
<formControlPr xmlns="http://schemas.microsoft.com/office/spreadsheetml/2009/9/main" objectType="Drop" dropLines="3" dropStyle="combo" dx="14" fmlaLink="$B$26" fmlaRange="constants!$F$13:$F$15" noThreeD="1" sel="1" val="0"/>
</file>

<file path=xl/ctrlProps/ctrlProp310.xml><?xml version="1.0" encoding="utf-8"?>
<formControlPr xmlns="http://schemas.microsoft.com/office/spreadsheetml/2009/9/main" objectType="Drop" dropLines="3" dropStyle="combo" dx="14" fmlaLink="$B$29" fmlaRange="constants!$F$13:$F$15" noThreeD="1" sel="1" val="0"/>
</file>

<file path=xl/ctrlProps/ctrlProp311.xml><?xml version="1.0" encoding="utf-8"?>
<formControlPr xmlns="http://schemas.microsoft.com/office/spreadsheetml/2009/9/main" objectType="Drop" dropLines="3" dropStyle="combo" dx="14" fmlaLink="$B$32" fmlaRange="constants!$F$13:$F$15" noThreeD="1" sel="1" val="0"/>
</file>

<file path=xl/ctrlProps/ctrlProp312.xml><?xml version="1.0" encoding="utf-8"?>
<formControlPr xmlns="http://schemas.microsoft.com/office/spreadsheetml/2009/9/main" objectType="Drop" dropLines="3" dropStyle="combo" dx="14" fmlaLink="$B$35" fmlaRange="constants!$F$13:$F$15" noThreeD="1" sel="1" val="0"/>
</file>

<file path=xl/ctrlProps/ctrlProp313.xml><?xml version="1.0" encoding="utf-8"?>
<formControlPr xmlns="http://schemas.microsoft.com/office/spreadsheetml/2009/9/main" objectType="Drop" dropLines="3" dropStyle="combo" dx="14" fmlaLink="$B$38" fmlaRange="constants!$F$13:$F$15" noThreeD="1" sel="1" val="0"/>
</file>

<file path=xl/ctrlProps/ctrlProp314.xml><?xml version="1.0" encoding="utf-8"?>
<formControlPr xmlns="http://schemas.microsoft.com/office/spreadsheetml/2009/9/main" objectType="Drop" dropLines="3" dropStyle="combo" dx="14" fmlaLink="$B$41" fmlaRange="constants!$F$13:$F$15" noThreeD="1" sel="1" val="0"/>
</file>

<file path=xl/ctrlProps/ctrlProp315.xml><?xml version="1.0" encoding="utf-8"?>
<formControlPr xmlns="http://schemas.microsoft.com/office/spreadsheetml/2009/9/main" objectType="Drop" dropLines="3" dropStyle="combo" dx="14" fmlaLink="$B$44" fmlaRange="constants!$F$13:$F$15" noThreeD="1" sel="1" val="0"/>
</file>

<file path=xl/ctrlProps/ctrlProp316.xml><?xml version="1.0" encoding="utf-8"?>
<formControlPr xmlns="http://schemas.microsoft.com/office/spreadsheetml/2009/9/main" objectType="Drop" dropLines="3" dropStyle="combo" dx="14" fmlaLink="$B$47" fmlaRange="constants!$F$13:$F$15" noThreeD="1" sel="1" val="0"/>
</file>

<file path=xl/ctrlProps/ctrlProp317.xml><?xml version="1.0" encoding="utf-8"?>
<formControlPr xmlns="http://schemas.microsoft.com/office/spreadsheetml/2009/9/main" objectType="Drop" dropLines="3" dropStyle="combo" dx="14" fmlaLink="$B$50" fmlaRange="constants!$F$13:$F$15" noThreeD="1" sel="1" val="0"/>
</file>

<file path=xl/ctrlProps/ctrlProp318.xml><?xml version="1.0" encoding="utf-8"?>
<formControlPr xmlns="http://schemas.microsoft.com/office/spreadsheetml/2009/9/main" objectType="Drop" dropLines="3" dropStyle="combo" dx="14" fmlaLink="$B$53" fmlaRange="constants!$F$13:$F$15" noThreeD="1" sel="1" val="0"/>
</file>

<file path=xl/ctrlProps/ctrlProp319.xml><?xml version="1.0" encoding="utf-8"?>
<formControlPr xmlns="http://schemas.microsoft.com/office/spreadsheetml/2009/9/main" objectType="Drop" dropLines="3" dropStyle="combo" dx="14" fmlaLink="$B$60" fmlaRange="constants!$F$13:$F$15" noThreeD="1" sel="1" val="0"/>
</file>

<file path=xl/ctrlProps/ctrlProp320.xml><?xml version="1.0" encoding="utf-8"?>
<formControlPr xmlns="http://schemas.microsoft.com/office/spreadsheetml/2009/9/main" objectType="Drop" dropLines="3" dropStyle="combo" dx="14" fmlaLink="$B$67" fmlaRange="constants!$F$13:$F$15" noThreeD="1" sel="1" val="0"/>
</file>

<file path=xl/ctrlProps/ctrlProp321.xml><?xml version="1.0" encoding="utf-8"?>
<formControlPr xmlns="http://schemas.microsoft.com/office/spreadsheetml/2009/9/main" objectType="Drop" dropLines="3" dropStyle="combo" dx="14" fmlaLink="$B$70" fmlaRange="constants!$F$13:$F$15" noThreeD="1" sel="1" val="0"/>
</file>

<file path=xl/ctrlProps/ctrlProp322.xml><?xml version="1.0" encoding="utf-8"?>
<formControlPr xmlns="http://schemas.microsoft.com/office/spreadsheetml/2009/9/main" objectType="Drop" dropLines="3" dropStyle="combo" dx="14" fmlaLink="$B$73" fmlaRange="constants!$F$13:$F$15" noThreeD="1" sel="1" val="0"/>
</file>

<file path=xl/ctrlProps/ctrlProp323.xml><?xml version="1.0" encoding="utf-8"?>
<formControlPr xmlns="http://schemas.microsoft.com/office/spreadsheetml/2009/9/main" objectType="Drop" dropLines="3" dropStyle="combo" dx="14" fmlaLink="$B$76" fmlaRange="constants!$F$13:$F$15" noThreeD="1" sel="1" val="0"/>
</file>

<file path=xl/ctrlProps/ctrlProp324.xml><?xml version="1.0" encoding="utf-8"?>
<formControlPr xmlns="http://schemas.microsoft.com/office/spreadsheetml/2009/9/main" objectType="Drop" dropStyle="combo" dx="14" fmlaLink="B62" fmlaRange="constants!$B$4:$B$262" noThreeD="1" sel="1" val="0"/>
</file>

<file path=xl/ctrlProps/ctrlProp325.xml><?xml version="1.0" encoding="utf-8"?>
<formControlPr xmlns="http://schemas.microsoft.com/office/spreadsheetml/2009/9/main" objectType="Drop" dropStyle="combo" dx="14" fmlaLink="B55" fmlaRange="constants!$B$4:$B$262" noThreeD="1" sel="1" val="0"/>
</file>

<file path=xl/ctrlProps/ctrlProp326.xml><?xml version="1.0" encoding="utf-8"?>
<formControlPr xmlns="http://schemas.microsoft.com/office/spreadsheetml/2009/9/main" objectType="Drop" dropStyle="combo" dx="18" fmlaLink="$B$54" fmlaRange="constants!$N$3:$N$9" noThreeD="1" sel="1" val="0"/>
</file>

<file path=xl/ctrlProps/ctrlProp327.xml><?xml version="1.0" encoding="utf-8"?>
<formControlPr xmlns="http://schemas.microsoft.com/office/spreadsheetml/2009/9/main" objectType="Drop" dropStyle="combo" dx="18" fmlaLink="$B$61" fmlaRange="constants!$N$3:$N$9" noThreeD="1" sel="3" val="0"/>
</file>

<file path=xl/ctrlProps/ctrlProp328.xml><?xml version="1.0" encoding="utf-8"?>
<formControlPr xmlns="http://schemas.microsoft.com/office/spreadsheetml/2009/9/main" objectType="Drop" dropLines="7" dropStyle="combo" dx="14" fmlaLink="$B$8" fmlaRange="constants!$N$3:$N$9" noThreeD="1" sel="2" val="0"/>
</file>

<file path=xl/ctrlProps/ctrlProp329.xml><?xml version="1.0" encoding="utf-8"?>
<formControlPr xmlns="http://schemas.microsoft.com/office/spreadsheetml/2009/9/main" objectType="Drop" dropLines="18" dropStyle="combo" dx="14" fmlaLink="$B$9" fmlaRange="constants!$N$14:$N$31" noThreeD="1" sel="1" val="0"/>
</file>

<file path=xl/ctrlProps/ctrlProp330.xml><?xml version="1.0" encoding="utf-8"?>
<formControlPr xmlns="http://schemas.microsoft.com/office/spreadsheetml/2009/9/main" objectType="Drop" dropLines="7" dropStyle="combo" dx="14" fmlaLink="$B$15" fmlaRange="constants!$N$3:$N$9" noThreeD="1" sel="1" val="0"/>
</file>

<file path=xl/ctrlProps/ctrlProp331.xml><?xml version="1.0" encoding="utf-8"?>
<formControlPr xmlns="http://schemas.microsoft.com/office/spreadsheetml/2009/9/main" objectType="Drop" dropLines="18" dropStyle="combo" dx="14" fmlaLink="$B$16" fmlaRange="constants!$N$14:$N$31" noThreeD="1" sel="1" val="0"/>
</file>

<file path=xl/ctrlProps/ctrlProp332.xml><?xml version="1.0" encoding="utf-8"?>
<formControlPr xmlns="http://schemas.microsoft.com/office/spreadsheetml/2009/9/main" objectType="Drop" dropLines="7" dropStyle="combo" dx="14" fmlaLink="$B$22" fmlaRange="constants!$N$3:$N$9" noThreeD="1" sel="1" val="0"/>
</file>

<file path=xl/ctrlProps/ctrlProp333.xml><?xml version="1.0" encoding="utf-8"?>
<formControlPr xmlns="http://schemas.microsoft.com/office/spreadsheetml/2009/9/main" objectType="Drop" dropLines="3" dropStyle="combo" dx="14" fmlaLink="$B$20" fmlaRange="constants!$F$13:$F$15" noThreeD="1" sel="1" val="0"/>
</file>

<file path=xl/ctrlProps/ctrlProp334.xml><?xml version="1.0" encoding="utf-8"?>
<formControlPr xmlns="http://schemas.microsoft.com/office/spreadsheetml/2009/9/main" objectType="Drop" dropLines="3" dropStyle="combo" dx="14" fmlaLink="$B$8" fmlaRange="constants!$F$13:$F$15" noThreeD="1" sel="1" val="0"/>
</file>

<file path=xl/ctrlProps/ctrlProp335.xml><?xml version="1.0" encoding="utf-8"?>
<formControlPr xmlns="http://schemas.microsoft.com/office/spreadsheetml/2009/9/main" objectType="Drop" dropLines="3" dropStyle="combo" dx="14" fmlaLink="$B$9" fmlaRange="constants!$F$13:$F$15" noThreeD="1" sel="1" val="0"/>
</file>

<file path=xl/ctrlProps/ctrlProp336.xml><?xml version="1.0" encoding="utf-8"?>
<formControlPr xmlns="http://schemas.microsoft.com/office/spreadsheetml/2009/9/main" objectType="Drop" dropLines="3" dropStyle="combo" dx="14" fmlaLink="$B$10" fmlaRange="constants!$F$13:$F$15" noThreeD="1" sel="1" val="0"/>
</file>

<file path=xl/ctrlProps/ctrlProp337.xml><?xml version="1.0" encoding="utf-8"?>
<formControlPr xmlns="http://schemas.microsoft.com/office/spreadsheetml/2009/9/main" objectType="Drop" dropLines="3" dropStyle="combo" dx="14" fmlaLink="$B$11" fmlaRange="constants!$F$13:$F$15" noThreeD="1" sel="1" val="0"/>
</file>

<file path=xl/ctrlProps/ctrlProp338.xml><?xml version="1.0" encoding="utf-8"?>
<formControlPr xmlns="http://schemas.microsoft.com/office/spreadsheetml/2009/9/main" objectType="Drop" dropLines="3" dropStyle="combo" dx="14" fmlaLink="$B$12" fmlaRange="constants!$F$13:$F$15" noThreeD="1" sel="1" val="0"/>
</file>

<file path=xl/ctrlProps/ctrlProp339.xml><?xml version="1.0" encoding="utf-8"?>
<formControlPr xmlns="http://schemas.microsoft.com/office/spreadsheetml/2009/9/main" objectType="Drop" dropLines="3" dropStyle="combo" dx="14" fmlaLink="$B$13" fmlaRange="constants!$F$13:$F$15" noThreeD="1" sel="1" val="0"/>
</file>

<file path=xl/ctrlProps/ctrlProp340.xml><?xml version="1.0" encoding="utf-8"?>
<formControlPr xmlns="http://schemas.microsoft.com/office/spreadsheetml/2009/9/main" objectType="Drop" dropLines="3" dropStyle="combo" dx="14" fmlaLink="$B$14" fmlaRange="constants!$F$13:$F$15" noThreeD="1" sel="1" val="0"/>
</file>

<file path=xl/ctrlProps/ctrlProp341.xml><?xml version="1.0" encoding="utf-8"?>
<formControlPr xmlns="http://schemas.microsoft.com/office/spreadsheetml/2009/9/main" objectType="Drop" dropLines="3" dropStyle="combo" dx="14" fmlaLink="$B$15" fmlaRange="constants!$F$13:$F$15" noThreeD="1" sel="1" val="0"/>
</file>

<file path=xl/ctrlProps/ctrlProp342.xml><?xml version="1.0" encoding="utf-8"?>
<formControlPr xmlns="http://schemas.microsoft.com/office/spreadsheetml/2009/9/main" objectType="Drop" dropLines="3" dropStyle="combo" dx="14" fmlaLink="$B$16" fmlaRange="constants!$F$13:$F$15" noThreeD="1" sel="1" val="0"/>
</file>

<file path=xl/ctrlProps/ctrlProp343.xml><?xml version="1.0" encoding="utf-8"?>
<formControlPr xmlns="http://schemas.microsoft.com/office/spreadsheetml/2009/9/main" objectType="Drop" dropLines="3" dropStyle="combo" dx="14" fmlaLink="$B$17" fmlaRange="constants!$F$13:$F$15" noThreeD="1" sel="1" val="0"/>
</file>

<file path=xl/ctrlProps/ctrlProp344.xml><?xml version="1.0" encoding="utf-8"?>
<formControlPr xmlns="http://schemas.microsoft.com/office/spreadsheetml/2009/9/main" objectType="Drop" dropLines="3" dropStyle="combo" dx="14" fmlaLink="$B$18" fmlaRange="constants!$F$13:$F$15" noThreeD="1" sel="1" val="0"/>
</file>

<file path=xl/ctrlProps/ctrlProp345.xml><?xml version="1.0" encoding="utf-8"?>
<formControlPr xmlns="http://schemas.microsoft.com/office/spreadsheetml/2009/9/main" objectType="Drop" dropLines="3" dropStyle="combo" dx="14" fmlaLink="$B$19" fmlaRange="constants!$F$13:$F$15" noThreeD="1" sel="1" val="0"/>
</file>

<file path=xl/ctrlProps/ctrlProp346.xml><?xml version="1.0" encoding="utf-8"?>
<formControlPr xmlns="http://schemas.microsoft.com/office/spreadsheetml/2009/9/main" objectType="Drop" dropLines="3" dropStyle="combo" dx="14" fmlaLink="$B$20" fmlaRange="constants!$F$13:$F$15" noThreeD="1" sel="1" val="0"/>
</file>

<file path=xl/ctrlProps/ctrlProp347.xml><?xml version="1.0" encoding="utf-8"?>
<formControlPr xmlns="http://schemas.microsoft.com/office/spreadsheetml/2009/9/main" objectType="Drop" dropLines="3" dropStyle="combo" dx="14" fmlaLink="$B$21" fmlaRange="constants!$F$13:$F$15" noThreeD="1" sel="1" val="0"/>
</file>

<file path=xl/ctrlProps/ctrlProp348.xml><?xml version="1.0" encoding="utf-8"?>
<formControlPr xmlns="http://schemas.microsoft.com/office/spreadsheetml/2009/9/main" objectType="Drop" dropLines="3" dropStyle="combo" dx="14" fmlaLink="$B$22" fmlaRange="constants!$F$13:$F$15" noThreeD="1" sel="1" val="0"/>
</file>

<file path=xl/ctrlProps/ctrlProp349.xml><?xml version="1.0" encoding="utf-8"?>
<formControlPr xmlns="http://schemas.microsoft.com/office/spreadsheetml/2009/9/main" objectType="Drop" dropLines="3" dropStyle="combo" dx="14" fmlaLink="$B$24" fmlaRange="constants!$F$13:$F$15" noThreeD="1" sel="1" val="0"/>
</file>

<file path=xl/ctrlProps/ctrlProp350.xml><?xml version="1.0" encoding="utf-8"?>
<formControlPr xmlns="http://schemas.microsoft.com/office/spreadsheetml/2009/9/main" objectType="Drop" dropLines="3" dropStyle="combo" dx="14" fmlaLink="$B$25" fmlaRange="constants!$F$13:$F$15" noThreeD="1" sel="1" val="0"/>
</file>

<file path=xl/ctrlProps/ctrlProp351.xml><?xml version="1.0" encoding="utf-8"?>
<formControlPr xmlns="http://schemas.microsoft.com/office/spreadsheetml/2009/9/main" objectType="Drop" dropLines="3" dropStyle="combo" dx="14" fmlaLink="$B$23" fmlaRange="constants!$F$13:$F$15" noThreeD="1" sel="1" val="0"/>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png"/><Relationship Id="rId4" Type="http://schemas.openxmlformats.org/officeDocument/2006/relationships/hyperlink" Target="#instructions!C1"/></Relationships>
</file>

<file path=xl/drawings/_rels/drawing2.xml.rels><?xml version="1.0" encoding="UTF-8" standalone="yes"?>
<Relationships xmlns="http://schemas.openxmlformats.org/package/2006/relationships"><Relationship Id="rId1" Type="http://schemas.openxmlformats.org/officeDocument/2006/relationships/hyperlink" Target="#index!C1"/></Relationships>
</file>

<file path=xl/drawings/_rels/drawing3.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12</xdr:col>
      <xdr:colOff>212104</xdr:colOff>
      <xdr:row>56</xdr:row>
      <xdr:rowOff>57149</xdr:rowOff>
    </xdr:to>
    <xdr:pic>
      <xdr:nvPicPr>
        <xdr:cNvPr id="2" name="image1.png">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3225808" cy="9124949"/>
        </a:xfrm>
        <a:prstGeom prst="rect">
          <a:avLst/>
        </a:prstGeom>
      </xdr:spPr>
    </xdr:pic>
    <xdr:clientData/>
  </xdr:twoCellAnchor>
  <xdr:twoCellAnchor>
    <xdr:from>
      <xdr:col>4</xdr:col>
      <xdr:colOff>342899</xdr:colOff>
      <xdr:row>23</xdr:row>
      <xdr:rowOff>34642</xdr:rowOff>
    </xdr:from>
    <xdr:to>
      <xdr:col>10</xdr:col>
      <xdr:colOff>238125</xdr:colOff>
      <xdr:row>42</xdr:row>
      <xdr:rowOff>10379</xdr:rowOff>
    </xdr:to>
    <xdr:pic>
      <xdr:nvPicPr>
        <xdr:cNvPr id="7" name="image2.jpeg">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476499" y="3758917"/>
          <a:ext cx="3095626" cy="3052312"/>
        </a:xfrm>
        <a:prstGeom prst="rect">
          <a:avLst/>
        </a:prstGeom>
      </xdr:spPr>
    </xdr:pic>
    <xdr:clientData/>
  </xdr:twoCellAnchor>
  <xdr:twoCellAnchor editAs="oneCell">
    <xdr:from>
      <xdr:col>0</xdr:col>
      <xdr:colOff>352425</xdr:colOff>
      <xdr:row>2</xdr:row>
      <xdr:rowOff>76200</xdr:rowOff>
    </xdr:from>
    <xdr:to>
      <xdr:col>3</xdr:col>
      <xdr:colOff>85725</xdr:colOff>
      <xdr:row>4</xdr:row>
      <xdr:rowOff>47625</xdr:rowOff>
    </xdr:to>
    <xdr:pic>
      <xdr:nvPicPr>
        <xdr:cNvPr id="8" name="Picture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52425" y="400050"/>
          <a:ext cx="1333500" cy="295275"/>
        </a:xfrm>
        <a:prstGeom prst="rect">
          <a:avLst/>
        </a:prstGeom>
      </xdr:spPr>
    </xdr:pic>
    <xdr:clientData/>
  </xdr:twoCellAnchor>
  <xdr:twoCellAnchor>
    <xdr:from>
      <xdr:col>0</xdr:col>
      <xdr:colOff>247650</xdr:colOff>
      <xdr:row>6</xdr:row>
      <xdr:rowOff>95251</xdr:rowOff>
    </xdr:from>
    <xdr:to>
      <xdr:col>8</xdr:col>
      <xdr:colOff>104775</xdr:colOff>
      <xdr:row>21</xdr:row>
      <xdr:rowOff>104776</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247650" y="1066801"/>
          <a:ext cx="4124325" cy="2438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3000" b="0" i="0" u="none" strike="noStrike" baseline="0">
              <a:solidFill>
                <a:schemeClr val="bg1"/>
              </a:solidFill>
              <a:latin typeface="+mn-lt"/>
              <a:ea typeface="+mn-ea"/>
              <a:cs typeface="+mn-cs"/>
            </a:rPr>
            <a:t>Global Employer Services (GES)</a:t>
          </a:r>
        </a:p>
        <a:p>
          <a:endParaRPr lang="en-AU" sz="3000" b="0" i="0" u="none" strike="noStrike" baseline="0">
            <a:solidFill>
              <a:schemeClr val="bg1"/>
            </a:solidFill>
            <a:latin typeface="+mn-lt"/>
            <a:ea typeface="+mn-ea"/>
            <a:cs typeface="+mn-cs"/>
          </a:endParaRPr>
        </a:p>
        <a:p>
          <a:r>
            <a:rPr lang="en-AU" sz="2000" b="0" i="0" u="none" strike="noStrike" baseline="0">
              <a:solidFill>
                <a:schemeClr val="bg1"/>
              </a:solidFill>
              <a:latin typeface="+mn-lt"/>
              <a:ea typeface="+mn-ea"/>
              <a:cs typeface="+mn-cs"/>
            </a:rPr>
            <a:t>Immigration services:</a:t>
          </a:r>
        </a:p>
        <a:p>
          <a:r>
            <a:rPr lang="en-AU" sz="2000" b="0" i="0" u="none" strike="noStrike" baseline="0">
              <a:solidFill>
                <a:schemeClr val="bg1"/>
              </a:solidFill>
              <a:latin typeface="+mn-lt"/>
              <a:ea typeface="+mn-ea"/>
              <a:cs typeface="+mn-cs"/>
            </a:rPr>
            <a:t>Application for employer sponsored</a:t>
          </a:r>
        </a:p>
        <a:p>
          <a:r>
            <a:rPr lang="en-AU" sz="2000" b="0" i="0" u="none" strike="noStrike" baseline="0">
              <a:solidFill>
                <a:schemeClr val="bg1"/>
              </a:solidFill>
              <a:latin typeface="+mn-lt"/>
              <a:ea typeface="+mn-ea"/>
              <a:cs typeface="+mn-cs"/>
            </a:rPr>
            <a:t>migration to Australia</a:t>
          </a:r>
          <a:endParaRPr lang="en-AU" sz="2000">
            <a:solidFill>
              <a:schemeClr val="bg1"/>
            </a:solidFill>
          </a:endParaRPr>
        </a:p>
      </xdr:txBody>
    </xdr:sp>
    <xdr:clientData/>
  </xdr:twoCellAnchor>
  <xdr:twoCellAnchor>
    <xdr:from>
      <xdr:col>0</xdr:col>
      <xdr:colOff>323850</xdr:colOff>
      <xdr:row>29</xdr:row>
      <xdr:rowOff>19050</xdr:rowOff>
    </xdr:from>
    <xdr:to>
      <xdr:col>4</xdr:col>
      <xdr:colOff>28575</xdr:colOff>
      <xdr:row>30</xdr:row>
      <xdr:rowOff>142875</xdr:rowOff>
    </xdr:to>
    <xdr:sp macro="" textlink="">
      <xdr:nvSpPr>
        <xdr:cNvPr id="4" name="TextBox 3">
          <a:hlinkClick xmlns:r="http://schemas.openxmlformats.org/officeDocument/2006/relationships" r:id="rId4"/>
          <a:extLst>
            <a:ext uri="{FF2B5EF4-FFF2-40B4-BE49-F238E27FC236}">
              <a16:creationId xmlns:a16="http://schemas.microsoft.com/office/drawing/2014/main" id="{00000000-0008-0000-0200-000004000000}"/>
            </a:ext>
          </a:extLst>
        </xdr:cNvPr>
        <xdr:cNvSpPr txBox="1"/>
      </xdr:nvSpPr>
      <xdr:spPr>
        <a:xfrm>
          <a:off x="323850" y="4714875"/>
          <a:ext cx="1838325" cy="28575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AU" sz="1400" b="1">
              <a:solidFill>
                <a:schemeClr val="bg1"/>
              </a:solidFill>
            </a:rPr>
            <a:t>START</a:t>
          </a:r>
        </a:p>
      </xdr:txBody>
    </xdr:sp>
    <xdr:clientData/>
  </xdr:twoCellAnchor>
  <xdr:twoCellAnchor>
    <xdr:from>
      <xdr:col>0</xdr:col>
      <xdr:colOff>228600</xdr:colOff>
      <xdr:row>22</xdr:row>
      <xdr:rowOff>142875</xdr:rowOff>
    </xdr:from>
    <xdr:to>
      <xdr:col>3</xdr:col>
      <xdr:colOff>457200</xdr:colOff>
      <xdr:row>24</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228600" y="3705225"/>
          <a:ext cx="182880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0" i="0" u="none" strike="noStrike" baseline="0">
              <a:solidFill>
                <a:schemeClr val="bg1"/>
              </a:solidFill>
              <a:latin typeface="+mn-lt"/>
              <a:ea typeface="+mn-ea"/>
              <a:cs typeface="+mn-cs"/>
            </a:rPr>
            <a:t>Deloitte Tax Services Pty Ltd</a:t>
          </a:r>
          <a:endParaRPr lang="en-AU" sz="1100">
            <a:solidFill>
              <a:schemeClr val="bg1"/>
            </a:solidFill>
          </a:endParaRPr>
        </a:p>
      </xdr:txBody>
    </xdr:sp>
    <xdr:clientData/>
  </xdr:twoCellAnchor>
  <xdr:twoCellAnchor>
    <xdr:from>
      <xdr:col>0</xdr:col>
      <xdr:colOff>228600</xdr:colOff>
      <xdr:row>24</xdr:row>
      <xdr:rowOff>76200</xdr:rowOff>
    </xdr:from>
    <xdr:to>
      <xdr:col>3</xdr:col>
      <xdr:colOff>457200</xdr:colOff>
      <xdr:row>26</xdr:row>
      <xdr:rowOff>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28600" y="3962400"/>
          <a:ext cx="182880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0" i="0" u="none" strike="noStrike" baseline="0">
              <a:solidFill>
                <a:schemeClr val="bg1"/>
              </a:solidFill>
              <a:latin typeface="+mn-lt"/>
              <a:ea typeface="+mn-ea"/>
              <a:cs typeface="+mn-cs"/>
            </a:rPr>
            <a:t>Version 2.7</a:t>
          </a:r>
        </a:p>
      </xdr:txBody>
    </xdr:sp>
    <xdr:clientData/>
  </xdr:twoCellAnchor>
  <xdr:twoCellAnchor>
    <xdr:from>
      <xdr:col>0</xdr:col>
      <xdr:colOff>323850</xdr:colOff>
      <xdr:row>26</xdr:row>
      <xdr:rowOff>85725</xdr:rowOff>
    </xdr:from>
    <xdr:to>
      <xdr:col>4</xdr:col>
      <xdr:colOff>28575</xdr:colOff>
      <xdr:row>28</xdr:row>
      <xdr:rowOff>47625</xdr:rowOff>
    </xdr:to>
    <xdr:sp macro="[0]!XLSaveAs" textlink="">
      <xdr:nvSpPr>
        <xdr:cNvPr id="10" name="TextBox 9">
          <a:extLst>
            <a:ext uri="{FF2B5EF4-FFF2-40B4-BE49-F238E27FC236}">
              <a16:creationId xmlns:a16="http://schemas.microsoft.com/office/drawing/2014/main" id="{00000000-0008-0000-0200-00000A000000}"/>
            </a:ext>
          </a:extLst>
        </xdr:cNvPr>
        <xdr:cNvSpPr txBox="1"/>
      </xdr:nvSpPr>
      <xdr:spPr>
        <a:xfrm>
          <a:off x="323850" y="4295775"/>
          <a:ext cx="1838325" cy="28575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AU" sz="1400" b="1">
              <a:solidFill>
                <a:schemeClr val="bg1"/>
              </a:solidFill>
            </a:rPr>
            <a:t>SAVE</a:t>
          </a:r>
          <a:r>
            <a:rPr lang="en-AU" sz="1400" b="1" baseline="0">
              <a:solidFill>
                <a:schemeClr val="bg1"/>
              </a:solidFill>
            </a:rPr>
            <a:t> AS</a:t>
          </a:r>
          <a:endParaRPr lang="en-AU" sz="1400" b="1">
            <a:solidFill>
              <a:schemeClr val="bg1"/>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12</xdr:row>
          <xdr:rowOff>0</xdr:rowOff>
        </xdr:from>
        <xdr:to>
          <xdr:col>7</xdr:col>
          <xdr:colOff>0</xdr:colOff>
          <xdr:row>13</xdr:row>
          <xdr:rowOff>0</xdr:rowOff>
        </xdr:to>
        <xdr:sp macro="" textlink="">
          <xdr:nvSpPr>
            <xdr:cNvPr id="37893" name="Drop Down 5" hidden="1">
              <a:extLst>
                <a:ext uri="{63B3BB69-23CF-44E3-9099-C40C66FF867C}">
                  <a14:compatExt spid="_x0000_s37893"/>
                </a:ext>
                <a:ext uri="{FF2B5EF4-FFF2-40B4-BE49-F238E27FC236}">
                  <a16:creationId xmlns:a16="http://schemas.microsoft.com/office/drawing/2014/main" id="{00000000-0008-0000-0400-000005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xdr:row>
          <xdr:rowOff>161925</xdr:rowOff>
        </xdr:from>
        <xdr:to>
          <xdr:col>7</xdr:col>
          <xdr:colOff>0</xdr:colOff>
          <xdr:row>18</xdr:row>
          <xdr:rowOff>409575</xdr:rowOff>
        </xdr:to>
        <xdr:sp macro="" textlink="">
          <xdr:nvSpPr>
            <xdr:cNvPr id="37894" name="Drop Down 6" hidden="1">
              <a:extLst>
                <a:ext uri="{63B3BB69-23CF-44E3-9099-C40C66FF867C}">
                  <a14:compatExt spid="_x0000_s37894"/>
                </a:ext>
                <a:ext uri="{FF2B5EF4-FFF2-40B4-BE49-F238E27FC236}">
                  <a16:creationId xmlns:a16="http://schemas.microsoft.com/office/drawing/2014/main" id="{00000000-0008-0000-0400-000006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xdr:row>
          <xdr:rowOff>0</xdr:rowOff>
        </xdr:from>
        <xdr:to>
          <xdr:col>7</xdr:col>
          <xdr:colOff>0</xdr:colOff>
          <xdr:row>21</xdr:row>
          <xdr:rowOff>0</xdr:rowOff>
        </xdr:to>
        <xdr:sp macro="" textlink="">
          <xdr:nvSpPr>
            <xdr:cNvPr id="37896" name="Drop Down 8" hidden="1">
              <a:extLst>
                <a:ext uri="{63B3BB69-23CF-44E3-9099-C40C66FF867C}">
                  <a14:compatExt spid="_x0000_s37896"/>
                </a:ext>
                <a:ext uri="{FF2B5EF4-FFF2-40B4-BE49-F238E27FC236}">
                  <a16:creationId xmlns:a16="http://schemas.microsoft.com/office/drawing/2014/main" id="{00000000-0008-0000-0400-000008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4</xdr:col>
      <xdr:colOff>1724025</xdr:colOff>
      <xdr:row>37</xdr:row>
      <xdr:rowOff>66675</xdr:rowOff>
    </xdr:from>
    <xdr:to>
      <xdr:col>6</xdr:col>
      <xdr:colOff>609600</xdr:colOff>
      <xdr:row>37</xdr:row>
      <xdr:rowOff>371475</xdr:rowOff>
    </xdr:to>
    <xdr:sp macro="" textlink="">
      <xdr:nvSpPr>
        <xdr:cNvPr id="18" name="TextBox 17">
          <a:hlinkClick xmlns:r="http://schemas.openxmlformats.org/officeDocument/2006/relationships" r:id="rId1"/>
          <a:extLst>
            <a:ext uri="{FF2B5EF4-FFF2-40B4-BE49-F238E27FC236}">
              <a16:creationId xmlns:a16="http://schemas.microsoft.com/office/drawing/2014/main" id="{00000000-0008-0000-0400-000012000000}"/>
            </a:ext>
          </a:extLst>
        </xdr:cNvPr>
        <xdr:cNvSpPr txBox="1"/>
      </xdr:nvSpPr>
      <xdr:spPr>
        <a:xfrm>
          <a:off x="5962650" y="6010275"/>
          <a:ext cx="1838325" cy="3048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AU" sz="1400" b="1">
              <a:solidFill>
                <a:schemeClr val="bg1"/>
              </a:solidFill>
            </a:rPr>
            <a:t>START</a:t>
          </a:r>
        </a:p>
      </xdr:txBody>
    </xdr:sp>
    <xdr:clientData/>
  </xdr:twoCellAnchor>
  <xdr:twoCellAnchor>
    <xdr:from>
      <xdr:col>4</xdr:col>
      <xdr:colOff>1724025</xdr:colOff>
      <xdr:row>38</xdr:row>
      <xdr:rowOff>66675</xdr:rowOff>
    </xdr:from>
    <xdr:to>
      <xdr:col>6</xdr:col>
      <xdr:colOff>609600</xdr:colOff>
      <xdr:row>38</xdr:row>
      <xdr:rowOff>352425</xdr:rowOff>
    </xdr:to>
    <xdr:sp macro="" textlink="">
      <xdr:nvSpPr>
        <xdr:cNvPr id="19" name="TextBox 18">
          <a:extLst>
            <a:ext uri="{FF2B5EF4-FFF2-40B4-BE49-F238E27FC236}">
              <a16:creationId xmlns:a16="http://schemas.microsoft.com/office/drawing/2014/main" id="{00000000-0008-0000-0400-000013000000}"/>
            </a:ext>
          </a:extLst>
        </xdr:cNvPr>
        <xdr:cNvSpPr txBox="1"/>
      </xdr:nvSpPr>
      <xdr:spPr>
        <a:xfrm>
          <a:off x="5962650" y="6410325"/>
          <a:ext cx="1838325" cy="285750"/>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AU" sz="1400" b="1">
              <a:solidFill>
                <a:schemeClr val="bg1"/>
              </a:solidFill>
            </a:rPr>
            <a:t>START</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142875</xdr:colOff>
      <xdr:row>31</xdr:row>
      <xdr:rowOff>117475</xdr:rowOff>
    </xdr:from>
    <xdr:to>
      <xdr:col>3</xdr:col>
      <xdr:colOff>323851</xdr:colOff>
      <xdr:row>32</xdr:row>
      <xdr:rowOff>50801</xdr:rowOff>
    </xdr:to>
    <xdr:pic>
      <xdr:nvPicPr>
        <xdr:cNvPr id="2" name="Graphic 2" descr="Checkmark">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84175" y="5997575"/>
          <a:ext cx="180976" cy="187326"/>
        </a:xfrm>
        <a:prstGeom prst="rect">
          <a:avLst/>
        </a:prstGeom>
      </xdr:spPr>
    </xdr:pic>
    <xdr:clientData/>
  </xdr:twoCellAnchor>
  <xdr:twoCellAnchor editAs="oneCell">
    <xdr:from>
      <xdr:col>3</xdr:col>
      <xdr:colOff>123825</xdr:colOff>
      <xdr:row>34</xdr:row>
      <xdr:rowOff>47625</xdr:rowOff>
    </xdr:from>
    <xdr:to>
      <xdr:col>3</xdr:col>
      <xdr:colOff>304801</xdr:colOff>
      <xdr:row>34</xdr:row>
      <xdr:rowOff>228601</xdr:rowOff>
    </xdr:to>
    <xdr:pic>
      <xdr:nvPicPr>
        <xdr:cNvPr id="3" name="Graphic 2" descr="Checkmark">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42900" y="6591300"/>
          <a:ext cx="180976" cy="18097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5</xdr:row>
          <xdr:rowOff>0</xdr:rowOff>
        </xdr:from>
        <xdr:to>
          <xdr:col>7</xdr:col>
          <xdr:colOff>0</xdr:colOff>
          <xdr:row>6</xdr:row>
          <xdr:rowOff>0</xdr:rowOff>
        </xdr:to>
        <xdr:sp macro="" textlink="">
          <xdr:nvSpPr>
            <xdr:cNvPr id="4097" name="Drop Down 1" hidden="1">
              <a:extLst>
                <a:ext uri="{63B3BB69-23CF-44E3-9099-C40C66FF867C}">
                  <a14:compatExt spid="_x0000_s4097"/>
                </a:ext>
                <a:ext uri="{FF2B5EF4-FFF2-40B4-BE49-F238E27FC236}">
                  <a16:creationId xmlns:a16="http://schemas.microsoft.com/office/drawing/2014/main" id="{00000000-0008-0000-06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xdr:row>
          <xdr:rowOff>0</xdr:rowOff>
        </xdr:from>
        <xdr:to>
          <xdr:col>7</xdr:col>
          <xdr:colOff>0</xdr:colOff>
          <xdr:row>7</xdr:row>
          <xdr:rowOff>0</xdr:rowOff>
        </xdr:to>
        <xdr:sp macro="" textlink="">
          <xdr:nvSpPr>
            <xdr:cNvPr id="4098" name="Drop Down 2" hidden="1">
              <a:extLst>
                <a:ext uri="{63B3BB69-23CF-44E3-9099-C40C66FF867C}">
                  <a14:compatExt spid="_x0000_s4098"/>
                </a:ext>
                <a:ext uri="{FF2B5EF4-FFF2-40B4-BE49-F238E27FC236}">
                  <a16:creationId xmlns:a16="http://schemas.microsoft.com/office/drawing/2014/main" id="{00000000-0008-0000-06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66675</xdr:rowOff>
        </xdr:from>
        <xdr:to>
          <xdr:col>7</xdr:col>
          <xdr:colOff>0</xdr:colOff>
          <xdr:row>8</xdr:row>
          <xdr:rowOff>314325</xdr:rowOff>
        </xdr:to>
        <xdr:sp macro="" textlink="">
          <xdr:nvSpPr>
            <xdr:cNvPr id="4099" name="Drop Down 3" hidden="1">
              <a:extLst>
                <a:ext uri="{63B3BB69-23CF-44E3-9099-C40C66FF867C}">
                  <a14:compatExt spid="_x0000_s4099"/>
                </a:ext>
                <a:ext uri="{FF2B5EF4-FFF2-40B4-BE49-F238E27FC236}">
                  <a16:creationId xmlns:a16="http://schemas.microsoft.com/office/drawing/2014/main" id="{00000000-0008-0000-06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0</xdr:rowOff>
        </xdr:from>
        <xdr:to>
          <xdr:col>7</xdr:col>
          <xdr:colOff>0</xdr:colOff>
          <xdr:row>10</xdr:row>
          <xdr:rowOff>9525</xdr:rowOff>
        </xdr:to>
        <xdr:sp macro="" textlink="">
          <xdr:nvSpPr>
            <xdr:cNvPr id="4100" name="Drop Down 4" hidden="1">
              <a:extLst>
                <a:ext uri="{63B3BB69-23CF-44E3-9099-C40C66FF867C}">
                  <a14:compatExt spid="_x0000_s4100"/>
                </a:ext>
                <a:ext uri="{FF2B5EF4-FFF2-40B4-BE49-F238E27FC236}">
                  <a16:creationId xmlns:a16="http://schemas.microsoft.com/office/drawing/2014/main" id="{00000000-0008-0000-06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8</xdr:row>
          <xdr:rowOff>0</xdr:rowOff>
        </xdr:from>
        <xdr:to>
          <xdr:col>7</xdr:col>
          <xdr:colOff>0</xdr:colOff>
          <xdr:row>9</xdr:row>
          <xdr:rowOff>0</xdr:rowOff>
        </xdr:to>
        <xdr:sp macro="" textlink="">
          <xdr:nvSpPr>
            <xdr:cNvPr id="5121" name="Drop Down 1" hidden="1">
              <a:extLst>
                <a:ext uri="{63B3BB69-23CF-44E3-9099-C40C66FF867C}">
                  <a14:compatExt spid="_x0000_s5121"/>
                </a:ext>
                <a:ext uri="{FF2B5EF4-FFF2-40B4-BE49-F238E27FC236}">
                  <a16:creationId xmlns:a16="http://schemas.microsoft.com/office/drawing/2014/main" id="{00000000-0008-0000-07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xdr:row>
          <xdr:rowOff>0</xdr:rowOff>
        </xdr:from>
        <xdr:to>
          <xdr:col>7</xdr:col>
          <xdr:colOff>0</xdr:colOff>
          <xdr:row>12</xdr:row>
          <xdr:rowOff>0</xdr:rowOff>
        </xdr:to>
        <xdr:sp macro="" textlink="">
          <xdr:nvSpPr>
            <xdr:cNvPr id="5122" name="Drop Down 2" hidden="1">
              <a:extLst>
                <a:ext uri="{63B3BB69-23CF-44E3-9099-C40C66FF867C}">
                  <a14:compatExt spid="_x0000_s5122"/>
                </a:ext>
                <a:ext uri="{FF2B5EF4-FFF2-40B4-BE49-F238E27FC236}">
                  <a16:creationId xmlns:a16="http://schemas.microsoft.com/office/drawing/2014/main" id="{00000000-0008-0000-07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xdr:row>
          <xdr:rowOff>0</xdr:rowOff>
        </xdr:from>
        <xdr:to>
          <xdr:col>7</xdr:col>
          <xdr:colOff>0</xdr:colOff>
          <xdr:row>13</xdr:row>
          <xdr:rowOff>0</xdr:rowOff>
        </xdr:to>
        <xdr:sp macro="" textlink="">
          <xdr:nvSpPr>
            <xdr:cNvPr id="5123" name="Drop Down 3" hidden="1">
              <a:extLst>
                <a:ext uri="{63B3BB69-23CF-44E3-9099-C40C66FF867C}">
                  <a14:compatExt spid="_x0000_s5123"/>
                </a:ext>
                <a:ext uri="{FF2B5EF4-FFF2-40B4-BE49-F238E27FC236}">
                  <a16:creationId xmlns:a16="http://schemas.microsoft.com/office/drawing/2014/main" id="{00000000-0008-0000-07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xdr:row>
          <xdr:rowOff>76200</xdr:rowOff>
        </xdr:from>
        <xdr:to>
          <xdr:col>7</xdr:col>
          <xdr:colOff>0</xdr:colOff>
          <xdr:row>19</xdr:row>
          <xdr:rowOff>333375</xdr:rowOff>
        </xdr:to>
        <xdr:sp macro="" textlink="">
          <xdr:nvSpPr>
            <xdr:cNvPr id="5125" name="Drop Down 5" hidden="1">
              <a:extLst>
                <a:ext uri="{63B3BB69-23CF-44E3-9099-C40C66FF867C}">
                  <a14:compatExt spid="_x0000_s5125"/>
                </a:ext>
                <a:ext uri="{FF2B5EF4-FFF2-40B4-BE49-F238E27FC236}">
                  <a16:creationId xmlns:a16="http://schemas.microsoft.com/office/drawing/2014/main" id="{00000000-0008-0000-07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7</xdr:col>
          <xdr:colOff>0</xdr:colOff>
          <xdr:row>24</xdr:row>
          <xdr:rowOff>0</xdr:rowOff>
        </xdr:to>
        <xdr:sp macro="" textlink="">
          <xdr:nvSpPr>
            <xdr:cNvPr id="5127" name="Drop Down 7" hidden="1">
              <a:extLst>
                <a:ext uri="{63B3BB69-23CF-44E3-9099-C40C66FF867C}">
                  <a14:compatExt spid="_x0000_s5127"/>
                </a:ext>
                <a:ext uri="{FF2B5EF4-FFF2-40B4-BE49-F238E27FC236}">
                  <a16:creationId xmlns:a16="http://schemas.microsoft.com/office/drawing/2014/main" id="{00000000-0008-0000-07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36</xdr:row>
          <xdr:rowOff>0</xdr:rowOff>
        </xdr:from>
        <xdr:to>
          <xdr:col>7</xdr:col>
          <xdr:colOff>0</xdr:colOff>
          <xdr:row>37</xdr:row>
          <xdr:rowOff>0</xdr:rowOff>
        </xdr:to>
        <xdr:sp macro="" textlink="">
          <xdr:nvSpPr>
            <xdr:cNvPr id="5132" name="Drop Down 12" hidden="1">
              <a:extLst>
                <a:ext uri="{63B3BB69-23CF-44E3-9099-C40C66FF867C}">
                  <a14:compatExt spid="_x0000_s5132"/>
                </a:ext>
                <a:ext uri="{FF2B5EF4-FFF2-40B4-BE49-F238E27FC236}">
                  <a16:creationId xmlns:a16="http://schemas.microsoft.com/office/drawing/2014/main" id="{00000000-0008-0000-0700-00000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0</xdr:rowOff>
        </xdr:from>
        <xdr:to>
          <xdr:col>7</xdr:col>
          <xdr:colOff>0</xdr:colOff>
          <xdr:row>40</xdr:row>
          <xdr:rowOff>0</xdr:rowOff>
        </xdr:to>
        <xdr:sp macro="" textlink="">
          <xdr:nvSpPr>
            <xdr:cNvPr id="5133" name="Drop Down 13" hidden="1">
              <a:extLst>
                <a:ext uri="{63B3BB69-23CF-44E3-9099-C40C66FF867C}">
                  <a14:compatExt spid="_x0000_s5133"/>
                </a:ext>
                <a:ext uri="{FF2B5EF4-FFF2-40B4-BE49-F238E27FC236}">
                  <a16:creationId xmlns:a16="http://schemas.microsoft.com/office/drawing/2014/main" id="{00000000-0008-0000-0700-00000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43</xdr:row>
          <xdr:rowOff>66675</xdr:rowOff>
        </xdr:from>
        <xdr:to>
          <xdr:col>7</xdr:col>
          <xdr:colOff>0</xdr:colOff>
          <xdr:row>43</xdr:row>
          <xdr:rowOff>314325</xdr:rowOff>
        </xdr:to>
        <xdr:sp macro="" textlink="">
          <xdr:nvSpPr>
            <xdr:cNvPr id="5135" name="Drop Down 15" hidden="1">
              <a:extLst>
                <a:ext uri="{63B3BB69-23CF-44E3-9099-C40C66FF867C}">
                  <a14:compatExt spid="_x0000_s5135"/>
                </a:ext>
                <a:ext uri="{FF2B5EF4-FFF2-40B4-BE49-F238E27FC236}">
                  <a16:creationId xmlns:a16="http://schemas.microsoft.com/office/drawing/2014/main" id="{00000000-0008-0000-0700-00000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2905125</xdr:colOff>
          <xdr:row>46</xdr:row>
          <xdr:rowOff>0</xdr:rowOff>
        </xdr:from>
        <xdr:to>
          <xdr:col>7</xdr:col>
          <xdr:colOff>0</xdr:colOff>
          <xdr:row>50</xdr:row>
          <xdr:rowOff>0</xdr:rowOff>
        </xdr:to>
        <xdr:sp macro="" textlink="">
          <xdr:nvSpPr>
            <xdr:cNvPr id="5136" name="Drop Down 16" hidden="1">
              <a:extLst>
                <a:ext uri="{63B3BB69-23CF-44E3-9099-C40C66FF867C}">
                  <a14:compatExt spid="_x0000_s5136"/>
                </a:ext>
                <a:ext uri="{FF2B5EF4-FFF2-40B4-BE49-F238E27FC236}">
                  <a16:creationId xmlns:a16="http://schemas.microsoft.com/office/drawing/2014/main" id="{00000000-0008-0000-0700-00001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52</xdr:row>
          <xdr:rowOff>0</xdr:rowOff>
        </xdr:from>
        <xdr:to>
          <xdr:col>7</xdr:col>
          <xdr:colOff>0</xdr:colOff>
          <xdr:row>53</xdr:row>
          <xdr:rowOff>0</xdr:rowOff>
        </xdr:to>
        <xdr:sp macro="" textlink="">
          <xdr:nvSpPr>
            <xdr:cNvPr id="5138" name="Drop Down 18" hidden="1">
              <a:extLst>
                <a:ext uri="{63B3BB69-23CF-44E3-9099-C40C66FF867C}">
                  <a14:compatExt spid="_x0000_s5138"/>
                </a:ext>
                <a:ext uri="{FF2B5EF4-FFF2-40B4-BE49-F238E27FC236}">
                  <a16:creationId xmlns:a16="http://schemas.microsoft.com/office/drawing/2014/main" id="{00000000-0008-0000-0700-00001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53</xdr:row>
          <xdr:rowOff>0</xdr:rowOff>
        </xdr:from>
        <xdr:to>
          <xdr:col>4</xdr:col>
          <xdr:colOff>1743075</xdr:colOff>
          <xdr:row>55</xdr:row>
          <xdr:rowOff>0</xdr:rowOff>
        </xdr:to>
        <xdr:sp macro="" textlink="">
          <xdr:nvSpPr>
            <xdr:cNvPr id="5139" name="Drop Down 19" hidden="1">
              <a:extLst>
                <a:ext uri="{63B3BB69-23CF-44E3-9099-C40C66FF867C}">
                  <a14:compatExt spid="_x0000_s5139"/>
                </a:ext>
                <a:ext uri="{FF2B5EF4-FFF2-40B4-BE49-F238E27FC236}">
                  <a16:creationId xmlns:a16="http://schemas.microsoft.com/office/drawing/2014/main" id="{00000000-0008-0000-0700-00001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1857375</xdr:colOff>
          <xdr:row>53</xdr:row>
          <xdr:rowOff>0</xdr:rowOff>
        </xdr:from>
        <xdr:to>
          <xdr:col>7</xdr:col>
          <xdr:colOff>0</xdr:colOff>
          <xdr:row>55</xdr:row>
          <xdr:rowOff>0</xdr:rowOff>
        </xdr:to>
        <xdr:sp macro="" textlink="">
          <xdr:nvSpPr>
            <xdr:cNvPr id="5140" name="Drop Down 20" hidden="1">
              <a:extLst>
                <a:ext uri="{63B3BB69-23CF-44E3-9099-C40C66FF867C}">
                  <a14:compatExt spid="_x0000_s5140"/>
                </a:ext>
                <a:ext uri="{FF2B5EF4-FFF2-40B4-BE49-F238E27FC236}">
                  <a16:creationId xmlns:a16="http://schemas.microsoft.com/office/drawing/2014/main" id="{00000000-0008-0000-0700-00001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56</xdr:row>
          <xdr:rowOff>66675</xdr:rowOff>
        </xdr:from>
        <xdr:to>
          <xdr:col>7</xdr:col>
          <xdr:colOff>0</xdr:colOff>
          <xdr:row>56</xdr:row>
          <xdr:rowOff>314325</xdr:rowOff>
        </xdr:to>
        <xdr:sp macro="" textlink="">
          <xdr:nvSpPr>
            <xdr:cNvPr id="5141" name="Drop Down 21" hidden="1">
              <a:extLst>
                <a:ext uri="{63B3BB69-23CF-44E3-9099-C40C66FF867C}">
                  <a14:compatExt spid="_x0000_s5141"/>
                </a:ext>
                <a:ext uri="{FF2B5EF4-FFF2-40B4-BE49-F238E27FC236}">
                  <a16:creationId xmlns:a16="http://schemas.microsoft.com/office/drawing/2014/main" id="{00000000-0008-0000-07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57</xdr:row>
          <xdr:rowOff>0</xdr:rowOff>
        </xdr:from>
        <xdr:to>
          <xdr:col>7</xdr:col>
          <xdr:colOff>9525</xdr:colOff>
          <xdr:row>69</xdr:row>
          <xdr:rowOff>0</xdr:rowOff>
        </xdr:to>
        <xdr:sp macro="" textlink="">
          <xdr:nvSpPr>
            <xdr:cNvPr id="5142" name="Drop Down 22" hidden="1">
              <a:extLst>
                <a:ext uri="{63B3BB69-23CF-44E3-9099-C40C66FF867C}">
                  <a14:compatExt spid="_x0000_s5142"/>
                </a:ext>
                <a:ext uri="{FF2B5EF4-FFF2-40B4-BE49-F238E27FC236}">
                  <a16:creationId xmlns:a16="http://schemas.microsoft.com/office/drawing/2014/main" id="{00000000-0008-0000-0700-00001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60</xdr:row>
          <xdr:rowOff>0</xdr:rowOff>
        </xdr:from>
        <xdr:to>
          <xdr:col>7</xdr:col>
          <xdr:colOff>0</xdr:colOff>
          <xdr:row>69</xdr:row>
          <xdr:rowOff>0</xdr:rowOff>
        </xdr:to>
        <xdr:sp macro="" textlink="">
          <xdr:nvSpPr>
            <xdr:cNvPr id="5143" name="Drop Down 23" hidden="1">
              <a:extLst>
                <a:ext uri="{63B3BB69-23CF-44E3-9099-C40C66FF867C}">
                  <a14:compatExt spid="_x0000_s5143"/>
                </a:ext>
                <a:ext uri="{FF2B5EF4-FFF2-40B4-BE49-F238E27FC236}">
                  <a16:creationId xmlns:a16="http://schemas.microsoft.com/office/drawing/2014/main" id="{00000000-0008-0000-0700-00001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63</xdr:row>
          <xdr:rowOff>0</xdr:rowOff>
        </xdr:from>
        <xdr:to>
          <xdr:col>7</xdr:col>
          <xdr:colOff>0</xdr:colOff>
          <xdr:row>69</xdr:row>
          <xdr:rowOff>0</xdr:rowOff>
        </xdr:to>
        <xdr:sp macro="" textlink="">
          <xdr:nvSpPr>
            <xdr:cNvPr id="5145" name="Drop Down 25" hidden="1">
              <a:extLst>
                <a:ext uri="{63B3BB69-23CF-44E3-9099-C40C66FF867C}">
                  <a14:compatExt spid="_x0000_s5145"/>
                </a:ext>
                <a:ext uri="{FF2B5EF4-FFF2-40B4-BE49-F238E27FC236}">
                  <a16:creationId xmlns:a16="http://schemas.microsoft.com/office/drawing/2014/main" id="{00000000-0008-0000-0700-00001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64</xdr:row>
          <xdr:rowOff>0</xdr:rowOff>
        </xdr:from>
        <xdr:to>
          <xdr:col>7</xdr:col>
          <xdr:colOff>0</xdr:colOff>
          <xdr:row>69</xdr:row>
          <xdr:rowOff>0</xdr:rowOff>
        </xdr:to>
        <xdr:sp macro="" textlink="">
          <xdr:nvSpPr>
            <xdr:cNvPr id="5147" name="Drop Down 27" hidden="1">
              <a:extLst>
                <a:ext uri="{63B3BB69-23CF-44E3-9099-C40C66FF867C}">
                  <a14:compatExt spid="_x0000_s5147"/>
                </a:ext>
                <a:ext uri="{FF2B5EF4-FFF2-40B4-BE49-F238E27FC236}">
                  <a16:creationId xmlns:a16="http://schemas.microsoft.com/office/drawing/2014/main" id="{00000000-0008-0000-0700-00001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73</xdr:row>
          <xdr:rowOff>0</xdr:rowOff>
        </xdr:from>
        <xdr:to>
          <xdr:col>7</xdr:col>
          <xdr:colOff>0</xdr:colOff>
          <xdr:row>74</xdr:row>
          <xdr:rowOff>0</xdr:rowOff>
        </xdr:to>
        <xdr:sp macro="" textlink="">
          <xdr:nvSpPr>
            <xdr:cNvPr id="5148" name="Drop Down 28" hidden="1">
              <a:extLst>
                <a:ext uri="{63B3BB69-23CF-44E3-9099-C40C66FF867C}">
                  <a14:compatExt spid="_x0000_s5148"/>
                </a:ext>
                <a:ext uri="{FF2B5EF4-FFF2-40B4-BE49-F238E27FC236}">
                  <a16:creationId xmlns:a16="http://schemas.microsoft.com/office/drawing/2014/main" id="{00000000-0008-0000-0700-00001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70</xdr:row>
          <xdr:rowOff>0</xdr:rowOff>
        </xdr:from>
        <xdr:to>
          <xdr:col>7</xdr:col>
          <xdr:colOff>0</xdr:colOff>
          <xdr:row>71</xdr:row>
          <xdr:rowOff>0</xdr:rowOff>
        </xdr:to>
        <xdr:sp macro="" textlink="">
          <xdr:nvSpPr>
            <xdr:cNvPr id="5150" name="Drop Down 30" hidden="1">
              <a:extLst>
                <a:ext uri="{63B3BB69-23CF-44E3-9099-C40C66FF867C}">
                  <a14:compatExt spid="_x0000_s5150"/>
                </a:ext>
                <a:ext uri="{FF2B5EF4-FFF2-40B4-BE49-F238E27FC236}">
                  <a16:creationId xmlns:a16="http://schemas.microsoft.com/office/drawing/2014/main" id="{00000000-0008-0000-0700-00001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75</xdr:row>
          <xdr:rowOff>0</xdr:rowOff>
        </xdr:from>
        <xdr:to>
          <xdr:col>7</xdr:col>
          <xdr:colOff>0</xdr:colOff>
          <xdr:row>76</xdr:row>
          <xdr:rowOff>0</xdr:rowOff>
        </xdr:to>
        <xdr:sp macro="" textlink="">
          <xdr:nvSpPr>
            <xdr:cNvPr id="5151" name="Drop Down 31" hidden="1">
              <a:extLst>
                <a:ext uri="{63B3BB69-23CF-44E3-9099-C40C66FF867C}">
                  <a14:compatExt spid="_x0000_s5151"/>
                </a:ext>
                <a:ext uri="{FF2B5EF4-FFF2-40B4-BE49-F238E27FC236}">
                  <a16:creationId xmlns:a16="http://schemas.microsoft.com/office/drawing/2014/main" id="{00000000-0008-0000-0700-00001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7</xdr:col>
          <xdr:colOff>0</xdr:colOff>
          <xdr:row>28</xdr:row>
          <xdr:rowOff>0</xdr:rowOff>
        </xdr:to>
        <xdr:sp macro="" textlink="">
          <xdr:nvSpPr>
            <xdr:cNvPr id="5131" name="Drop Down 11" hidden="1">
              <a:extLst>
                <a:ext uri="{63B3BB69-23CF-44E3-9099-C40C66FF867C}">
                  <a14:compatExt spid="_x0000_s5131"/>
                </a:ext>
                <a:ext uri="{FF2B5EF4-FFF2-40B4-BE49-F238E27FC236}">
                  <a16:creationId xmlns:a16="http://schemas.microsoft.com/office/drawing/2014/main" id="{00000000-0008-0000-0700-00000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51</xdr:row>
          <xdr:rowOff>76200</xdr:rowOff>
        </xdr:from>
        <xdr:to>
          <xdr:col>7</xdr:col>
          <xdr:colOff>0</xdr:colOff>
          <xdr:row>51</xdr:row>
          <xdr:rowOff>333375</xdr:rowOff>
        </xdr:to>
        <xdr:sp macro="" textlink="">
          <xdr:nvSpPr>
            <xdr:cNvPr id="5152" name="Drop Down 32" hidden="1">
              <a:extLst>
                <a:ext uri="{63B3BB69-23CF-44E3-9099-C40C66FF867C}">
                  <a14:compatExt spid="_x0000_s5152"/>
                </a:ext>
                <a:ext uri="{FF2B5EF4-FFF2-40B4-BE49-F238E27FC236}">
                  <a16:creationId xmlns:a16="http://schemas.microsoft.com/office/drawing/2014/main" id="{00000000-0008-0000-0700-00002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xdr:row>
          <xdr:rowOff>0</xdr:rowOff>
        </xdr:from>
        <xdr:to>
          <xdr:col>7</xdr:col>
          <xdr:colOff>0</xdr:colOff>
          <xdr:row>17</xdr:row>
          <xdr:rowOff>0</xdr:rowOff>
        </xdr:to>
        <xdr:sp macro="" textlink="">
          <xdr:nvSpPr>
            <xdr:cNvPr id="5153" name="Drop Down 33" hidden="1">
              <a:extLst>
                <a:ext uri="{63B3BB69-23CF-44E3-9099-C40C66FF867C}">
                  <a14:compatExt spid="_x0000_s5153"/>
                </a:ext>
                <a:ext uri="{FF2B5EF4-FFF2-40B4-BE49-F238E27FC236}">
                  <a16:creationId xmlns:a16="http://schemas.microsoft.com/office/drawing/2014/main" id="{00000000-0008-0000-0700-00002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25</xdr:row>
          <xdr:rowOff>66675</xdr:rowOff>
        </xdr:from>
        <xdr:to>
          <xdr:col>7</xdr:col>
          <xdr:colOff>0</xdr:colOff>
          <xdr:row>25</xdr:row>
          <xdr:rowOff>314325</xdr:rowOff>
        </xdr:to>
        <xdr:sp macro="" textlink="">
          <xdr:nvSpPr>
            <xdr:cNvPr id="6145" name="Drop Down 1" hidden="1">
              <a:extLst>
                <a:ext uri="{63B3BB69-23CF-44E3-9099-C40C66FF867C}">
                  <a14:compatExt spid="_x0000_s6145"/>
                </a:ext>
                <a:ext uri="{FF2B5EF4-FFF2-40B4-BE49-F238E27FC236}">
                  <a16:creationId xmlns:a16="http://schemas.microsoft.com/office/drawing/2014/main" id="{00000000-0008-0000-08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xdr:row>
          <xdr:rowOff>0</xdr:rowOff>
        </xdr:from>
        <xdr:to>
          <xdr:col>7</xdr:col>
          <xdr:colOff>0</xdr:colOff>
          <xdr:row>7</xdr:row>
          <xdr:rowOff>0</xdr:rowOff>
        </xdr:to>
        <xdr:sp macro="" textlink="">
          <xdr:nvSpPr>
            <xdr:cNvPr id="6146" name="Drop Down 2" hidden="1">
              <a:extLst>
                <a:ext uri="{63B3BB69-23CF-44E3-9099-C40C66FF867C}">
                  <a14:compatExt spid="_x0000_s6146"/>
                </a:ext>
                <a:ext uri="{FF2B5EF4-FFF2-40B4-BE49-F238E27FC236}">
                  <a16:creationId xmlns:a16="http://schemas.microsoft.com/office/drawing/2014/main" id="{00000000-0008-0000-08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0</xdr:rowOff>
        </xdr:from>
        <xdr:to>
          <xdr:col>7</xdr:col>
          <xdr:colOff>0</xdr:colOff>
          <xdr:row>8</xdr:row>
          <xdr:rowOff>0</xdr:rowOff>
        </xdr:to>
        <xdr:sp macro="" textlink="">
          <xdr:nvSpPr>
            <xdr:cNvPr id="6148" name="Drop Down 4" hidden="1">
              <a:extLst>
                <a:ext uri="{63B3BB69-23CF-44E3-9099-C40C66FF867C}">
                  <a14:compatExt spid="_x0000_s6148"/>
                </a:ext>
                <a:ext uri="{FF2B5EF4-FFF2-40B4-BE49-F238E27FC236}">
                  <a16:creationId xmlns:a16="http://schemas.microsoft.com/office/drawing/2014/main" id="{00000000-0008-0000-08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xdr:row>
          <xdr:rowOff>0</xdr:rowOff>
        </xdr:from>
        <xdr:to>
          <xdr:col>7</xdr:col>
          <xdr:colOff>0</xdr:colOff>
          <xdr:row>15</xdr:row>
          <xdr:rowOff>0</xdr:rowOff>
        </xdr:to>
        <xdr:sp macro="" textlink="">
          <xdr:nvSpPr>
            <xdr:cNvPr id="6150" name="Drop Down 6" hidden="1">
              <a:extLst>
                <a:ext uri="{63B3BB69-23CF-44E3-9099-C40C66FF867C}">
                  <a14:compatExt spid="_x0000_s6150"/>
                </a:ext>
                <a:ext uri="{FF2B5EF4-FFF2-40B4-BE49-F238E27FC236}">
                  <a16:creationId xmlns:a16="http://schemas.microsoft.com/office/drawing/2014/main" id="{00000000-0008-0000-0800-00000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xdr:row>
          <xdr:rowOff>0</xdr:rowOff>
        </xdr:from>
        <xdr:to>
          <xdr:col>7</xdr:col>
          <xdr:colOff>0</xdr:colOff>
          <xdr:row>18</xdr:row>
          <xdr:rowOff>0</xdr:rowOff>
        </xdr:to>
        <xdr:sp macro="" textlink="">
          <xdr:nvSpPr>
            <xdr:cNvPr id="6151" name="Drop Down 7" hidden="1">
              <a:extLst>
                <a:ext uri="{63B3BB69-23CF-44E3-9099-C40C66FF867C}">
                  <a14:compatExt spid="_x0000_s6151"/>
                </a:ext>
                <a:ext uri="{FF2B5EF4-FFF2-40B4-BE49-F238E27FC236}">
                  <a16:creationId xmlns:a16="http://schemas.microsoft.com/office/drawing/2014/main" id="{00000000-0008-0000-08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xdr:row>
          <xdr:rowOff>0</xdr:rowOff>
        </xdr:from>
        <xdr:to>
          <xdr:col>7</xdr:col>
          <xdr:colOff>0</xdr:colOff>
          <xdr:row>19</xdr:row>
          <xdr:rowOff>0</xdr:rowOff>
        </xdr:to>
        <xdr:sp macro="" textlink="">
          <xdr:nvSpPr>
            <xdr:cNvPr id="6152" name="Drop Down 8" hidden="1">
              <a:extLst>
                <a:ext uri="{63B3BB69-23CF-44E3-9099-C40C66FF867C}">
                  <a14:compatExt spid="_x0000_s6152"/>
                </a:ext>
                <a:ext uri="{FF2B5EF4-FFF2-40B4-BE49-F238E27FC236}">
                  <a16:creationId xmlns:a16="http://schemas.microsoft.com/office/drawing/2014/main" id="{00000000-0008-0000-0800-00000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29</xdr:row>
          <xdr:rowOff>0</xdr:rowOff>
        </xdr:from>
        <xdr:to>
          <xdr:col>7</xdr:col>
          <xdr:colOff>0</xdr:colOff>
          <xdr:row>30</xdr:row>
          <xdr:rowOff>0</xdr:rowOff>
        </xdr:to>
        <xdr:sp macro="" textlink="">
          <xdr:nvSpPr>
            <xdr:cNvPr id="6154" name="Drop Down 10" hidden="1">
              <a:extLst>
                <a:ext uri="{63B3BB69-23CF-44E3-9099-C40C66FF867C}">
                  <a14:compatExt spid="_x0000_s6154"/>
                </a:ext>
                <a:ext uri="{FF2B5EF4-FFF2-40B4-BE49-F238E27FC236}">
                  <a16:creationId xmlns:a16="http://schemas.microsoft.com/office/drawing/2014/main" id="{00000000-0008-0000-0800-00000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7</xdr:col>
          <xdr:colOff>0</xdr:colOff>
          <xdr:row>39</xdr:row>
          <xdr:rowOff>0</xdr:rowOff>
        </xdr:to>
        <xdr:sp macro="" textlink="">
          <xdr:nvSpPr>
            <xdr:cNvPr id="6155" name="Drop Down 11" hidden="1">
              <a:extLst>
                <a:ext uri="{63B3BB69-23CF-44E3-9099-C40C66FF867C}">
                  <a14:compatExt spid="_x0000_s6155"/>
                </a:ext>
                <a:ext uri="{FF2B5EF4-FFF2-40B4-BE49-F238E27FC236}">
                  <a16:creationId xmlns:a16="http://schemas.microsoft.com/office/drawing/2014/main" id="{00000000-0008-0000-0800-00000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42</xdr:row>
          <xdr:rowOff>0</xdr:rowOff>
        </xdr:from>
        <xdr:to>
          <xdr:col>7</xdr:col>
          <xdr:colOff>0</xdr:colOff>
          <xdr:row>43</xdr:row>
          <xdr:rowOff>0</xdr:rowOff>
        </xdr:to>
        <xdr:sp macro="" textlink="">
          <xdr:nvSpPr>
            <xdr:cNvPr id="6156" name="Drop Down 12" hidden="1">
              <a:extLst>
                <a:ext uri="{63B3BB69-23CF-44E3-9099-C40C66FF867C}">
                  <a14:compatExt spid="_x0000_s6156"/>
                </a:ext>
                <a:ext uri="{FF2B5EF4-FFF2-40B4-BE49-F238E27FC236}">
                  <a16:creationId xmlns:a16="http://schemas.microsoft.com/office/drawing/2014/main" id="{00000000-0008-0000-08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48</xdr:row>
          <xdr:rowOff>0</xdr:rowOff>
        </xdr:from>
        <xdr:to>
          <xdr:col>7</xdr:col>
          <xdr:colOff>0</xdr:colOff>
          <xdr:row>52</xdr:row>
          <xdr:rowOff>0</xdr:rowOff>
        </xdr:to>
        <xdr:sp macro="" textlink="">
          <xdr:nvSpPr>
            <xdr:cNvPr id="6157" name="Drop Down 13" hidden="1">
              <a:extLst>
                <a:ext uri="{63B3BB69-23CF-44E3-9099-C40C66FF867C}">
                  <a14:compatExt spid="_x0000_s6157"/>
                </a:ext>
                <a:ext uri="{FF2B5EF4-FFF2-40B4-BE49-F238E27FC236}">
                  <a16:creationId xmlns:a16="http://schemas.microsoft.com/office/drawing/2014/main" id="{00000000-0008-0000-0800-00000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45</xdr:row>
          <xdr:rowOff>66675</xdr:rowOff>
        </xdr:from>
        <xdr:to>
          <xdr:col>7</xdr:col>
          <xdr:colOff>0</xdr:colOff>
          <xdr:row>45</xdr:row>
          <xdr:rowOff>314325</xdr:rowOff>
        </xdr:to>
        <xdr:sp macro="" textlink="">
          <xdr:nvSpPr>
            <xdr:cNvPr id="6158" name="Drop Down 14" hidden="1">
              <a:extLst>
                <a:ext uri="{63B3BB69-23CF-44E3-9099-C40C66FF867C}">
                  <a14:compatExt spid="_x0000_s6158"/>
                </a:ext>
                <a:ext uri="{FF2B5EF4-FFF2-40B4-BE49-F238E27FC236}">
                  <a16:creationId xmlns:a16="http://schemas.microsoft.com/office/drawing/2014/main" id="{00000000-0008-0000-0800-00000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53</xdr:row>
          <xdr:rowOff>66675</xdr:rowOff>
        </xdr:from>
        <xdr:to>
          <xdr:col>7</xdr:col>
          <xdr:colOff>0</xdr:colOff>
          <xdr:row>53</xdr:row>
          <xdr:rowOff>314325</xdr:rowOff>
        </xdr:to>
        <xdr:sp macro="" textlink="">
          <xdr:nvSpPr>
            <xdr:cNvPr id="6159" name="Drop Down 15" hidden="1">
              <a:extLst>
                <a:ext uri="{63B3BB69-23CF-44E3-9099-C40C66FF867C}">
                  <a14:compatExt spid="_x0000_s6159"/>
                </a:ext>
                <a:ext uri="{FF2B5EF4-FFF2-40B4-BE49-F238E27FC236}">
                  <a16:creationId xmlns:a16="http://schemas.microsoft.com/office/drawing/2014/main" id="{00000000-0008-0000-0800-00000F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54</xdr:row>
          <xdr:rowOff>0</xdr:rowOff>
        </xdr:from>
        <xdr:to>
          <xdr:col>7</xdr:col>
          <xdr:colOff>0</xdr:colOff>
          <xdr:row>55</xdr:row>
          <xdr:rowOff>0</xdr:rowOff>
        </xdr:to>
        <xdr:sp macro="" textlink="">
          <xdr:nvSpPr>
            <xdr:cNvPr id="6160" name="Drop Down 16" hidden="1">
              <a:extLst>
                <a:ext uri="{63B3BB69-23CF-44E3-9099-C40C66FF867C}">
                  <a14:compatExt spid="_x0000_s6160"/>
                </a:ext>
                <a:ext uri="{FF2B5EF4-FFF2-40B4-BE49-F238E27FC236}">
                  <a16:creationId xmlns:a16="http://schemas.microsoft.com/office/drawing/2014/main" id="{00000000-0008-0000-0800-00001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55</xdr:row>
          <xdr:rowOff>0</xdr:rowOff>
        </xdr:from>
        <xdr:to>
          <xdr:col>4</xdr:col>
          <xdr:colOff>1724025</xdr:colOff>
          <xdr:row>57</xdr:row>
          <xdr:rowOff>0</xdr:rowOff>
        </xdr:to>
        <xdr:sp macro="" textlink="">
          <xdr:nvSpPr>
            <xdr:cNvPr id="6161" name="Drop Down 17" hidden="1">
              <a:extLst>
                <a:ext uri="{63B3BB69-23CF-44E3-9099-C40C66FF867C}">
                  <a14:compatExt spid="_x0000_s6161"/>
                </a:ext>
                <a:ext uri="{FF2B5EF4-FFF2-40B4-BE49-F238E27FC236}">
                  <a16:creationId xmlns:a16="http://schemas.microsoft.com/office/drawing/2014/main" id="{00000000-0008-0000-0800-00001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1857375</xdr:colOff>
          <xdr:row>54</xdr:row>
          <xdr:rowOff>381000</xdr:rowOff>
        </xdr:from>
        <xdr:to>
          <xdr:col>7</xdr:col>
          <xdr:colOff>0</xdr:colOff>
          <xdr:row>57</xdr:row>
          <xdr:rowOff>0</xdr:rowOff>
        </xdr:to>
        <xdr:sp macro="" textlink="">
          <xdr:nvSpPr>
            <xdr:cNvPr id="6162" name="Drop Down 18" hidden="1">
              <a:extLst>
                <a:ext uri="{63B3BB69-23CF-44E3-9099-C40C66FF867C}">
                  <a14:compatExt spid="_x0000_s6162"/>
                </a:ext>
                <a:ext uri="{FF2B5EF4-FFF2-40B4-BE49-F238E27FC236}">
                  <a16:creationId xmlns:a16="http://schemas.microsoft.com/office/drawing/2014/main" id="{00000000-0008-0000-0800-00001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58</xdr:row>
          <xdr:rowOff>76200</xdr:rowOff>
        </xdr:from>
        <xdr:to>
          <xdr:col>7</xdr:col>
          <xdr:colOff>0</xdr:colOff>
          <xdr:row>58</xdr:row>
          <xdr:rowOff>333375</xdr:rowOff>
        </xdr:to>
        <xdr:sp macro="" textlink="">
          <xdr:nvSpPr>
            <xdr:cNvPr id="6163" name="Drop Down 19" hidden="1">
              <a:extLst>
                <a:ext uri="{63B3BB69-23CF-44E3-9099-C40C66FF867C}">
                  <a14:compatExt spid="_x0000_s6163"/>
                </a:ext>
                <a:ext uri="{FF2B5EF4-FFF2-40B4-BE49-F238E27FC236}">
                  <a16:creationId xmlns:a16="http://schemas.microsoft.com/office/drawing/2014/main" id="{00000000-0008-0000-0800-00001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59</xdr:row>
          <xdr:rowOff>0</xdr:rowOff>
        </xdr:from>
        <xdr:to>
          <xdr:col>7</xdr:col>
          <xdr:colOff>0</xdr:colOff>
          <xdr:row>71</xdr:row>
          <xdr:rowOff>0</xdr:rowOff>
        </xdr:to>
        <xdr:sp macro="" textlink="">
          <xdr:nvSpPr>
            <xdr:cNvPr id="6164" name="Drop Down 20" hidden="1">
              <a:extLst>
                <a:ext uri="{63B3BB69-23CF-44E3-9099-C40C66FF867C}">
                  <a14:compatExt spid="_x0000_s6164"/>
                </a:ext>
                <a:ext uri="{FF2B5EF4-FFF2-40B4-BE49-F238E27FC236}">
                  <a16:creationId xmlns:a16="http://schemas.microsoft.com/office/drawing/2014/main" id="{00000000-0008-0000-0800-00001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62</xdr:row>
          <xdr:rowOff>0</xdr:rowOff>
        </xdr:from>
        <xdr:to>
          <xdr:col>7</xdr:col>
          <xdr:colOff>0</xdr:colOff>
          <xdr:row>71</xdr:row>
          <xdr:rowOff>0</xdr:rowOff>
        </xdr:to>
        <xdr:sp macro="" textlink="">
          <xdr:nvSpPr>
            <xdr:cNvPr id="6166" name="Drop Down 22" hidden="1">
              <a:extLst>
                <a:ext uri="{63B3BB69-23CF-44E3-9099-C40C66FF867C}">
                  <a14:compatExt spid="_x0000_s6166"/>
                </a:ext>
                <a:ext uri="{FF2B5EF4-FFF2-40B4-BE49-F238E27FC236}">
                  <a16:creationId xmlns:a16="http://schemas.microsoft.com/office/drawing/2014/main" id="{00000000-0008-0000-0800-00001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65</xdr:row>
          <xdr:rowOff>0</xdr:rowOff>
        </xdr:from>
        <xdr:to>
          <xdr:col>7</xdr:col>
          <xdr:colOff>0</xdr:colOff>
          <xdr:row>71</xdr:row>
          <xdr:rowOff>0</xdr:rowOff>
        </xdr:to>
        <xdr:sp macro="" textlink="">
          <xdr:nvSpPr>
            <xdr:cNvPr id="6167" name="Drop Down 23" hidden="1">
              <a:extLst>
                <a:ext uri="{63B3BB69-23CF-44E3-9099-C40C66FF867C}">
                  <a14:compatExt spid="_x0000_s6167"/>
                </a:ext>
                <a:ext uri="{FF2B5EF4-FFF2-40B4-BE49-F238E27FC236}">
                  <a16:creationId xmlns:a16="http://schemas.microsoft.com/office/drawing/2014/main" id="{00000000-0008-0000-0800-00001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66</xdr:row>
          <xdr:rowOff>0</xdr:rowOff>
        </xdr:from>
        <xdr:to>
          <xdr:col>7</xdr:col>
          <xdr:colOff>0</xdr:colOff>
          <xdr:row>71</xdr:row>
          <xdr:rowOff>0</xdr:rowOff>
        </xdr:to>
        <xdr:sp macro="" textlink="">
          <xdr:nvSpPr>
            <xdr:cNvPr id="6168" name="Drop Down 24" hidden="1">
              <a:extLst>
                <a:ext uri="{63B3BB69-23CF-44E3-9099-C40C66FF867C}">
                  <a14:compatExt spid="_x0000_s6168"/>
                </a:ext>
                <a:ext uri="{FF2B5EF4-FFF2-40B4-BE49-F238E27FC236}">
                  <a16:creationId xmlns:a16="http://schemas.microsoft.com/office/drawing/2014/main" id="{00000000-0008-0000-0800-00001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75</xdr:row>
          <xdr:rowOff>0</xdr:rowOff>
        </xdr:from>
        <xdr:to>
          <xdr:col>7</xdr:col>
          <xdr:colOff>0</xdr:colOff>
          <xdr:row>79</xdr:row>
          <xdr:rowOff>85725</xdr:rowOff>
        </xdr:to>
        <xdr:sp macro="" textlink="">
          <xdr:nvSpPr>
            <xdr:cNvPr id="6169" name="Drop Down 25" hidden="1">
              <a:extLst>
                <a:ext uri="{63B3BB69-23CF-44E3-9099-C40C66FF867C}">
                  <a14:compatExt spid="_x0000_s6169"/>
                </a:ext>
                <a:ext uri="{FF2B5EF4-FFF2-40B4-BE49-F238E27FC236}">
                  <a16:creationId xmlns:a16="http://schemas.microsoft.com/office/drawing/2014/main" id="{00000000-0008-0000-0800-00001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72</xdr:row>
          <xdr:rowOff>0</xdr:rowOff>
        </xdr:from>
        <xdr:to>
          <xdr:col>7</xdr:col>
          <xdr:colOff>0</xdr:colOff>
          <xdr:row>73</xdr:row>
          <xdr:rowOff>0</xdr:rowOff>
        </xdr:to>
        <xdr:sp macro="" textlink="">
          <xdr:nvSpPr>
            <xdr:cNvPr id="6170" name="Drop Down 26" hidden="1">
              <a:extLst>
                <a:ext uri="{63B3BB69-23CF-44E3-9099-C40C66FF867C}">
                  <a14:compatExt spid="_x0000_s6170"/>
                </a:ext>
                <a:ext uri="{FF2B5EF4-FFF2-40B4-BE49-F238E27FC236}">
                  <a16:creationId xmlns:a16="http://schemas.microsoft.com/office/drawing/2014/main" id="{00000000-0008-0000-0800-00001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77</xdr:row>
          <xdr:rowOff>0</xdr:rowOff>
        </xdr:from>
        <xdr:to>
          <xdr:col>7</xdr:col>
          <xdr:colOff>0</xdr:colOff>
          <xdr:row>79</xdr:row>
          <xdr:rowOff>85725</xdr:rowOff>
        </xdr:to>
        <xdr:sp macro="" textlink="">
          <xdr:nvSpPr>
            <xdr:cNvPr id="6172" name="Drop Down 28" hidden="1">
              <a:extLst>
                <a:ext uri="{63B3BB69-23CF-44E3-9099-C40C66FF867C}">
                  <a14:compatExt spid="_x0000_s6172"/>
                </a:ext>
                <a:ext uri="{FF2B5EF4-FFF2-40B4-BE49-F238E27FC236}">
                  <a16:creationId xmlns:a16="http://schemas.microsoft.com/office/drawing/2014/main" id="{00000000-0008-0000-0800-00001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66</xdr:row>
          <xdr:rowOff>0</xdr:rowOff>
        </xdr:from>
        <xdr:to>
          <xdr:col>7</xdr:col>
          <xdr:colOff>0</xdr:colOff>
          <xdr:row>71</xdr:row>
          <xdr:rowOff>0</xdr:rowOff>
        </xdr:to>
        <xdr:sp macro="" textlink="">
          <xdr:nvSpPr>
            <xdr:cNvPr id="6173" name="Drop Down 29" hidden="1">
              <a:extLst>
                <a:ext uri="{63B3BB69-23CF-44E3-9099-C40C66FF867C}">
                  <a14:compatExt spid="_x0000_s6173"/>
                </a:ext>
                <a:ext uri="{FF2B5EF4-FFF2-40B4-BE49-F238E27FC236}">
                  <a16:creationId xmlns:a16="http://schemas.microsoft.com/office/drawing/2014/main" id="{00000000-0008-0000-0800-00001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xdr:row>
          <xdr:rowOff>0</xdr:rowOff>
        </xdr:from>
        <xdr:to>
          <xdr:col>7</xdr:col>
          <xdr:colOff>0</xdr:colOff>
          <xdr:row>23</xdr:row>
          <xdr:rowOff>0</xdr:rowOff>
        </xdr:to>
        <xdr:sp macro="" textlink="">
          <xdr:nvSpPr>
            <xdr:cNvPr id="6174" name="Drop Down 30" hidden="1">
              <a:extLst>
                <a:ext uri="{63B3BB69-23CF-44E3-9099-C40C66FF867C}">
                  <a14:compatExt spid="_x0000_s6174"/>
                </a:ext>
                <a:ext uri="{FF2B5EF4-FFF2-40B4-BE49-F238E27FC236}">
                  <a16:creationId xmlns:a16="http://schemas.microsoft.com/office/drawing/2014/main" id="{00000000-0008-0000-0800-00001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7</xdr:col>
          <xdr:colOff>0</xdr:colOff>
          <xdr:row>39</xdr:row>
          <xdr:rowOff>0</xdr:rowOff>
        </xdr:to>
        <xdr:sp macro="" textlink="">
          <xdr:nvSpPr>
            <xdr:cNvPr id="6175" name="Drop Down 31" hidden="1">
              <a:extLst>
                <a:ext uri="{63B3BB69-23CF-44E3-9099-C40C66FF867C}">
                  <a14:compatExt spid="_x0000_s6175"/>
                </a:ext>
                <a:ext uri="{FF2B5EF4-FFF2-40B4-BE49-F238E27FC236}">
                  <a16:creationId xmlns:a16="http://schemas.microsoft.com/office/drawing/2014/main" id="{00000000-0008-0000-0800-00001F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161925</xdr:colOff>
          <xdr:row>87</xdr:row>
          <xdr:rowOff>0</xdr:rowOff>
        </xdr:from>
        <xdr:to>
          <xdr:col>7</xdr:col>
          <xdr:colOff>0</xdr:colOff>
          <xdr:row>88</xdr:row>
          <xdr:rowOff>0</xdr:rowOff>
        </xdr:to>
        <xdr:sp macro="" textlink="">
          <xdr:nvSpPr>
            <xdr:cNvPr id="9217" name="Drop Down 1" hidden="1">
              <a:extLst>
                <a:ext uri="{63B3BB69-23CF-44E3-9099-C40C66FF867C}">
                  <a14:compatExt spid="_x0000_s9217"/>
                </a:ext>
                <a:ext uri="{FF2B5EF4-FFF2-40B4-BE49-F238E27FC236}">
                  <a16:creationId xmlns:a16="http://schemas.microsoft.com/office/drawing/2014/main" id="{00000000-0008-0000-09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88</xdr:row>
          <xdr:rowOff>0</xdr:rowOff>
        </xdr:from>
        <xdr:to>
          <xdr:col>7</xdr:col>
          <xdr:colOff>0</xdr:colOff>
          <xdr:row>89</xdr:row>
          <xdr:rowOff>0</xdr:rowOff>
        </xdr:to>
        <xdr:sp macro="" textlink="">
          <xdr:nvSpPr>
            <xdr:cNvPr id="9218" name="Drop Down 2" hidden="1">
              <a:extLst>
                <a:ext uri="{63B3BB69-23CF-44E3-9099-C40C66FF867C}">
                  <a14:compatExt spid="_x0000_s9218"/>
                </a:ext>
                <a:ext uri="{FF2B5EF4-FFF2-40B4-BE49-F238E27FC236}">
                  <a16:creationId xmlns:a16="http://schemas.microsoft.com/office/drawing/2014/main" id="{00000000-0008-0000-09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91</xdr:row>
          <xdr:rowOff>0</xdr:rowOff>
        </xdr:from>
        <xdr:to>
          <xdr:col>7</xdr:col>
          <xdr:colOff>0</xdr:colOff>
          <xdr:row>92</xdr:row>
          <xdr:rowOff>0</xdr:rowOff>
        </xdr:to>
        <xdr:sp macro="" textlink="">
          <xdr:nvSpPr>
            <xdr:cNvPr id="9219" name="Drop Down 3" hidden="1">
              <a:extLst>
                <a:ext uri="{63B3BB69-23CF-44E3-9099-C40C66FF867C}">
                  <a14:compatExt spid="_x0000_s9219"/>
                </a:ext>
                <a:ext uri="{FF2B5EF4-FFF2-40B4-BE49-F238E27FC236}">
                  <a16:creationId xmlns:a16="http://schemas.microsoft.com/office/drawing/2014/main" id="{00000000-0008-0000-09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94</xdr:row>
          <xdr:rowOff>0</xdr:rowOff>
        </xdr:from>
        <xdr:to>
          <xdr:col>7</xdr:col>
          <xdr:colOff>0</xdr:colOff>
          <xdr:row>95</xdr:row>
          <xdr:rowOff>0</xdr:rowOff>
        </xdr:to>
        <xdr:sp macro="" textlink="">
          <xdr:nvSpPr>
            <xdr:cNvPr id="9220" name="Drop Down 4" hidden="1">
              <a:extLst>
                <a:ext uri="{63B3BB69-23CF-44E3-9099-C40C66FF867C}">
                  <a14:compatExt spid="_x0000_s9220"/>
                </a:ext>
                <a:ext uri="{FF2B5EF4-FFF2-40B4-BE49-F238E27FC236}">
                  <a16:creationId xmlns:a16="http://schemas.microsoft.com/office/drawing/2014/main" id="{00000000-0008-0000-0900-00000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97</xdr:row>
          <xdr:rowOff>0</xdr:rowOff>
        </xdr:from>
        <xdr:to>
          <xdr:col>7</xdr:col>
          <xdr:colOff>0</xdr:colOff>
          <xdr:row>98</xdr:row>
          <xdr:rowOff>0</xdr:rowOff>
        </xdr:to>
        <xdr:sp macro="" textlink="">
          <xdr:nvSpPr>
            <xdr:cNvPr id="9221" name="Drop Down 5" hidden="1">
              <a:extLst>
                <a:ext uri="{63B3BB69-23CF-44E3-9099-C40C66FF867C}">
                  <a14:compatExt spid="_x0000_s9221"/>
                </a:ext>
                <a:ext uri="{FF2B5EF4-FFF2-40B4-BE49-F238E27FC236}">
                  <a16:creationId xmlns:a16="http://schemas.microsoft.com/office/drawing/2014/main" id="{00000000-0008-0000-09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65</xdr:row>
          <xdr:rowOff>66675</xdr:rowOff>
        </xdr:from>
        <xdr:to>
          <xdr:col>7</xdr:col>
          <xdr:colOff>0</xdr:colOff>
          <xdr:row>65</xdr:row>
          <xdr:rowOff>304800</xdr:rowOff>
        </xdr:to>
        <xdr:sp macro="" textlink="">
          <xdr:nvSpPr>
            <xdr:cNvPr id="9222" name="Drop Down 6" hidden="1">
              <a:extLst>
                <a:ext uri="{63B3BB69-23CF-44E3-9099-C40C66FF867C}">
                  <a14:compatExt spid="_x0000_s9222"/>
                </a:ext>
                <a:ext uri="{FF2B5EF4-FFF2-40B4-BE49-F238E27FC236}">
                  <a16:creationId xmlns:a16="http://schemas.microsoft.com/office/drawing/2014/main" id="{00000000-0008-0000-09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60</xdr:row>
          <xdr:rowOff>66675</xdr:rowOff>
        </xdr:from>
        <xdr:to>
          <xdr:col>7</xdr:col>
          <xdr:colOff>0</xdr:colOff>
          <xdr:row>60</xdr:row>
          <xdr:rowOff>314325</xdr:rowOff>
        </xdr:to>
        <xdr:sp macro="" textlink="">
          <xdr:nvSpPr>
            <xdr:cNvPr id="9223" name="Drop Down 7" hidden="1">
              <a:extLst>
                <a:ext uri="{63B3BB69-23CF-44E3-9099-C40C66FF867C}">
                  <a14:compatExt spid="_x0000_s9223"/>
                </a:ext>
                <a:ext uri="{FF2B5EF4-FFF2-40B4-BE49-F238E27FC236}">
                  <a16:creationId xmlns:a16="http://schemas.microsoft.com/office/drawing/2014/main" id="{00000000-0008-0000-09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314325</xdr:rowOff>
        </xdr:from>
        <xdr:to>
          <xdr:col>7</xdr:col>
          <xdr:colOff>0</xdr:colOff>
          <xdr:row>9</xdr:row>
          <xdr:rowOff>0</xdr:rowOff>
        </xdr:to>
        <xdr:sp macro="" textlink="">
          <xdr:nvSpPr>
            <xdr:cNvPr id="9224" name="Drop Down 8" hidden="1">
              <a:extLst>
                <a:ext uri="{63B3BB69-23CF-44E3-9099-C40C66FF867C}">
                  <a14:compatExt spid="_x0000_s9224"/>
                </a:ext>
                <a:ext uri="{FF2B5EF4-FFF2-40B4-BE49-F238E27FC236}">
                  <a16:creationId xmlns:a16="http://schemas.microsoft.com/office/drawing/2014/main" id="{00000000-0008-0000-09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0</xdr:rowOff>
        </xdr:from>
        <xdr:to>
          <xdr:col>7</xdr:col>
          <xdr:colOff>0</xdr:colOff>
          <xdr:row>10</xdr:row>
          <xdr:rowOff>0</xdr:rowOff>
        </xdr:to>
        <xdr:sp macro="" textlink="">
          <xdr:nvSpPr>
            <xdr:cNvPr id="9225" name="Drop Down 9" hidden="1">
              <a:extLst>
                <a:ext uri="{63B3BB69-23CF-44E3-9099-C40C66FF867C}">
                  <a14:compatExt spid="_x0000_s9225"/>
                </a:ext>
                <a:ext uri="{FF2B5EF4-FFF2-40B4-BE49-F238E27FC236}">
                  <a16:creationId xmlns:a16="http://schemas.microsoft.com/office/drawing/2014/main" id="{00000000-0008-0000-0900-000009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xdr:row>
          <xdr:rowOff>0</xdr:rowOff>
        </xdr:from>
        <xdr:to>
          <xdr:col>7</xdr:col>
          <xdr:colOff>0</xdr:colOff>
          <xdr:row>19</xdr:row>
          <xdr:rowOff>0</xdr:rowOff>
        </xdr:to>
        <xdr:sp macro="" textlink="">
          <xdr:nvSpPr>
            <xdr:cNvPr id="9226" name="Drop Down 10" hidden="1">
              <a:extLst>
                <a:ext uri="{63B3BB69-23CF-44E3-9099-C40C66FF867C}">
                  <a14:compatExt spid="_x0000_s9226"/>
                </a:ext>
                <a:ext uri="{FF2B5EF4-FFF2-40B4-BE49-F238E27FC236}">
                  <a16:creationId xmlns:a16="http://schemas.microsoft.com/office/drawing/2014/main" id="{00000000-0008-0000-0900-00000A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257175</xdr:rowOff>
        </xdr:from>
        <xdr:to>
          <xdr:col>7</xdr:col>
          <xdr:colOff>0</xdr:colOff>
          <xdr:row>28</xdr:row>
          <xdr:rowOff>0</xdr:rowOff>
        </xdr:to>
        <xdr:sp macro="" textlink="">
          <xdr:nvSpPr>
            <xdr:cNvPr id="9227" name="Drop Down 11" hidden="1">
              <a:extLst>
                <a:ext uri="{63B3BB69-23CF-44E3-9099-C40C66FF867C}">
                  <a14:compatExt spid="_x0000_s9227"/>
                </a:ext>
                <a:ext uri="{FF2B5EF4-FFF2-40B4-BE49-F238E27FC236}">
                  <a16:creationId xmlns:a16="http://schemas.microsoft.com/office/drawing/2014/main" id="{00000000-0008-0000-0900-00000B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xdr:row>
          <xdr:rowOff>257175</xdr:rowOff>
        </xdr:from>
        <xdr:to>
          <xdr:col>7</xdr:col>
          <xdr:colOff>0</xdr:colOff>
          <xdr:row>28</xdr:row>
          <xdr:rowOff>0</xdr:rowOff>
        </xdr:to>
        <xdr:sp macro="" textlink="">
          <xdr:nvSpPr>
            <xdr:cNvPr id="9228" name="Drop Down 12" hidden="1">
              <a:extLst>
                <a:ext uri="{63B3BB69-23CF-44E3-9099-C40C66FF867C}">
                  <a14:compatExt spid="_x0000_s9228"/>
                </a:ext>
                <a:ext uri="{FF2B5EF4-FFF2-40B4-BE49-F238E27FC236}">
                  <a16:creationId xmlns:a16="http://schemas.microsoft.com/office/drawing/2014/main" id="{00000000-0008-0000-0900-00000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29</xdr:row>
          <xdr:rowOff>66675</xdr:rowOff>
        </xdr:from>
        <xdr:to>
          <xdr:col>7</xdr:col>
          <xdr:colOff>0</xdr:colOff>
          <xdr:row>29</xdr:row>
          <xdr:rowOff>314325</xdr:rowOff>
        </xdr:to>
        <xdr:sp macro="" textlink="">
          <xdr:nvSpPr>
            <xdr:cNvPr id="9230" name="Drop Down 14" hidden="1">
              <a:extLst>
                <a:ext uri="{63B3BB69-23CF-44E3-9099-C40C66FF867C}">
                  <a14:compatExt spid="_x0000_s9230"/>
                </a:ext>
                <a:ext uri="{FF2B5EF4-FFF2-40B4-BE49-F238E27FC236}">
                  <a16:creationId xmlns:a16="http://schemas.microsoft.com/office/drawing/2014/main" id="{00000000-0008-0000-0900-00000E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7</xdr:col>
          <xdr:colOff>0</xdr:colOff>
          <xdr:row>34</xdr:row>
          <xdr:rowOff>0</xdr:rowOff>
        </xdr:to>
        <xdr:sp macro="" textlink="">
          <xdr:nvSpPr>
            <xdr:cNvPr id="9232" name="Drop Down 16" hidden="1">
              <a:extLst>
                <a:ext uri="{63B3BB69-23CF-44E3-9099-C40C66FF867C}">
                  <a14:compatExt spid="_x0000_s9232"/>
                </a:ext>
                <a:ext uri="{FF2B5EF4-FFF2-40B4-BE49-F238E27FC236}">
                  <a16:creationId xmlns:a16="http://schemas.microsoft.com/office/drawing/2014/main" id="{00000000-0008-0000-0900-000010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0</xdr:rowOff>
        </xdr:from>
        <xdr:to>
          <xdr:col>7</xdr:col>
          <xdr:colOff>0</xdr:colOff>
          <xdr:row>43</xdr:row>
          <xdr:rowOff>0</xdr:rowOff>
        </xdr:to>
        <xdr:sp macro="" textlink="">
          <xdr:nvSpPr>
            <xdr:cNvPr id="9233" name="Drop Down 17" hidden="1">
              <a:extLst>
                <a:ext uri="{63B3BB69-23CF-44E3-9099-C40C66FF867C}">
                  <a14:compatExt spid="_x0000_s9233"/>
                </a:ext>
                <a:ext uri="{FF2B5EF4-FFF2-40B4-BE49-F238E27FC236}">
                  <a16:creationId xmlns:a16="http://schemas.microsoft.com/office/drawing/2014/main" id="{00000000-0008-0000-0900-00001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7</xdr:col>
          <xdr:colOff>0</xdr:colOff>
          <xdr:row>47</xdr:row>
          <xdr:rowOff>0</xdr:rowOff>
        </xdr:to>
        <xdr:sp macro="" textlink="">
          <xdr:nvSpPr>
            <xdr:cNvPr id="9234" name="Drop Down 18" hidden="1">
              <a:extLst>
                <a:ext uri="{63B3BB69-23CF-44E3-9099-C40C66FF867C}">
                  <a14:compatExt spid="_x0000_s9234"/>
                </a:ext>
                <a:ext uri="{FF2B5EF4-FFF2-40B4-BE49-F238E27FC236}">
                  <a16:creationId xmlns:a16="http://schemas.microsoft.com/office/drawing/2014/main" id="{00000000-0008-0000-0900-00001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49</xdr:row>
          <xdr:rowOff>0</xdr:rowOff>
        </xdr:from>
        <xdr:to>
          <xdr:col>7</xdr:col>
          <xdr:colOff>0</xdr:colOff>
          <xdr:row>50</xdr:row>
          <xdr:rowOff>0</xdr:rowOff>
        </xdr:to>
        <xdr:sp macro="" textlink="">
          <xdr:nvSpPr>
            <xdr:cNvPr id="9235" name="Drop Down 19" hidden="1">
              <a:extLst>
                <a:ext uri="{63B3BB69-23CF-44E3-9099-C40C66FF867C}">
                  <a14:compatExt spid="_x0000_s9235"/>
                </a:ext>
                <a:ext uri="{FF2B5EF4-FFF2-40B4-BE49-F238E27FC236}">
                  <a16:creationId xmlns:a16="http://schemas.microsoft.com/office/drawing/2014/main" id="{00000000-0008-0000-0900-00001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52</xdr:row>
          <xdr:rowOff>66675</xdr:rowOff>
        </xdr:from>
        <xdr:to>
          <xdr:col>7</xdr:col>
          <xdr:colOff>0</xdr:colOff>
          <xdr:row>52</xdr:row>
          <xdr:rowOff>314325</xdr:rowOff>
        </xdr:to>
        <xdr:sp macro="" textlink="">
          <xdr:nvSpPr>
            <xdr:cNvPr id="9236" name="Drop Down 20" hidden="1">
              <a:extLst>
                <a:ext uri="{63B3BB69-23CF-44E3-9099-C40C66FF867C}">
                  <a14:compatExt spid="_x0000_s9236"/>
                </a:ext>
                <a:ext uri="{FF2B5EF4-FFF2-40B4-BE49-F238E27FC236}">
                  <a16:creationId xmlns:a16="http://schemas.microsoft.com/office/drawing/2014/main" id="{00000000-0008-0000-0900-00001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55</xdr:row>
          <xdr:rowOff>0</xdr:rowOff>
        </xdr:from>
        <xdr:to>
          <xdr:col>7</xdr:col>
          <xdr:colOff>0</xdr:colOff>
          <xdr:row>59</xdr:row>
          <xdr:rowOff>0</xdr:rowOff>
        </xdr:to>
        <xdr:sp macro="" textlink="">
          <xdr:nvSpPr>
            <xdr:cNvPr id="9237" name="Drop Down 21" hidden="1">
              <a:extLst>
                <a:ext uri="{63B3BB69-23CF-44E3-9099-C40C66FF867C}">
                  <a14:compatExt spid="_x0000_s9237"/>
                </a:ext>
                <a:ext uri="{FF2B5EF4-FFF2-40B4-BE49-F238E27FC236}">
                  <a16:creationId xmlns:a16="http://schemas.microsoft.com/office/drawing/2014/main" id="{00000000-0008-0000-0900-00001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61</xdr:row>
          <xdr:rowOff>0</xdr:rowOff>
        </xdr:from>
        <xdr:to>
          <xdr:col>7</xdr:col>
          <xdr:colOff>0</xdr:colOff>
          <xdr:row>62</xdr:row>
          <xdr:rowOff>0</xdr:rowOff>
        </xdr:to>
        <xdr:sp macro="" textlink="">
          <xdr:nvSpPr>
            <xdr:cNvPr id="9238" name="Drop Down 22" hidden="1">
              <a:extLst>
                <a:ext uri="{63B3BB69-23CF-44E3-9099-C40C66FF867C}">
                  <a14:compatExt spid="_x0000_s9238"/>
                </a:ext>
                <a:ext uri="{FF2B5EF4-FFF2-40B4-BE49-F238E27FC236}">
                  <a16:creationId xmlns:a16="http://schemas.microsoft.com/office/drawing/2014/main" id="{00000000-0008-0000-0900-00001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62</xdr:row>
          <xdr:rowOff>0</xdr:rowOff>
        </xdr:from>
        <xdr:to>
          <xdr:col>4</xdr:col>
          <xdr:colOff>1752600</xdr:colOff>
          <xdr:row>64</xdr:row>
          <xdr:rowOff>0</xdr:rowOff>
        </xdr:to>
        <xdr:sp macro="" textlink="">
          <xdr:nvSpPr>
            <xdr:cNvPr id="9239" name="Drop Down 23" hidden="1">
              <a:extLst>
                <a:ext uri="{63B3BB69-23CF-44E3-9099-C40C66FF867C}">
                  <a14:compatExt spid="_x0000_s9239"/>
                </a:ext>
                <a:ext uri="{FF2B5EF4-FFF2-40B4-BE49-F238E27FC236}">
                  <a16:creationId xmlns:a16="http://schemas.microsoft.com/office/drawing/2014/main" id="{00000000-0008-0000-0900-00001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1819275</xdr:colOff>
          <xdr:row>62</xdr:row>
          <xdr:rowOff>0</xdr:rowOff>
        </xdr:from>
        <xdr:to>
          <xdr:col>7</xdr:col>
          <xdr:colOff>0</xdr:colOff>
          <xdr:row>64</xdr:row>
          <xdr:rowOff>0</xdr:rowOff>
        </xdr:to>
        <xdr:sp macro="" textlink="">
          <xdr:nvSpPr>
            <xdr:cNvPr id="9240" name="Drop Down 24" hidden="1">
              <a:extLst>
                <a:ext uri="{63B3BB69-23CF-44E3-9099-C40C66FF867C}">
                  <a14:compatExt spid="_x0000_s9240"/>
                </a:ext>
                <a:ext uri="{FF2B5EF4-FFF2-40B4-BE49-F238E27FC236}">
                  <a16:creationId xmlns:a16="http://schemas.microsoft.com/office/drawing/2014/main" id="{00000000-0008-0000-0900-00001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66</xdr:row>
          <xdr:rowOff>0</xdr:rowOff>
        </xdr:from>
        <xdr:to>
          <xdr:col>7</xdr:col>
          <xdr:colOff>0</xdr:colOff>
          <xdr:row>78</xdr:row>
          <xdr:rowOff>0</xdr:rowOff>
        </xdr:to>
        <xdr:sp macro="" textlink="">
          <xdr:nvSpPr>
            <xdr:cNvPr id="9241" name="Drop Down 25" hidden="1">
              <a:extLst>
                <a:ext uri="{63B3BB69-23CF-44E3-9099-C40C66FF867C}">
                  <a14:compatExt spid="_x0000_s9241"/>
                </a:ext>
                <a:ext uri="{FF2B5EF4-FFF2-40B4-BE49-F238E27FC236}">
                  <a16:creationId xmlns:a16="http://schemas.microsoft.com/office/drawing/2014/main" id="{00000000-0008-0000-0900-000019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69</xdr:row>
          <xdr:rowOff>0</xdr:rowOff>
        </xdr:from>
        <xdr:to>
          <xdr:col>7</xdr:col>
          <xdr:colOff>0</xdr:colOff>
          <xdr:row>78</xdr:row>
          <xdr:rowOff>0</xdr:rowOff>
        </xdr:to>
        <xdr:sp macro="" textlink="">
          <xdr:nvSpPr>
            <xdr:cNvPr id="9243" name="Drop Down 27" hidden="1">
              <a:extLst>
                <a:ext uri="{63B3BB69-23CF-44E3-9099-C40C66FF867C}">
                  <a14:compatExt spid="_x0000_s9243"/>
                </a:ext>
                <a:ext uri="{FF2B5EF4-FFF2-40B4-BE49-F238E27FC236}">
                  <a16:creationId xmlns:a16="http://schemas.microsoft.com/office/drawing/2014/main" id="{00000000-0008-0000-0900-00001B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71</xdr:row>
          <xdr:rowOff>257175</xdr:rowOff>
        </xdr:from>
        <xdr:to>
          <xdr:col>7</xdr:col>
          <xdr:colOff>0</xdr:colOff>
          <xdr:row>78</xdr:row>
          <xdr:rowOff>0</xdr:rowOff>
        </xdr:to>
        <xdr:sp macro="" textlink="">
          <xdr:nvSpPr>
            <xdr:cNvPr id="9244" name="Drop Down 28" hidden="1">
              <a:extLst>
                <a:ext uri="{63B3BB69-23CF-44E3-9099-C40C66FF867C}">
                  <a14:compatExt spid="_x0000_s9244"/>
                </a:ext>
                <a:ext uri="{FF2B5EF4-FFF2-40B4-BE49-F238E27FC236}">
                  <a16:creationId xmlns:a16="http://schemas.microsoft.com/office/drawing/2014/main" id="{00000000-0008-0000-0900-00001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73</xdr:row>
          <xdr:rowOff>0</xdr:rowOff>
        </xdr:from>
        <xdr:to>
          <xdr:col>7</xdr:col>
          <xdr:colOff>0</xdr:colOff>
          <xdr:row>78</xdr:row>
          <xdr:rowOff>0</xdr:rowOff>
        </xdr:to>
        <xdr:sp macro="" textlink="">
          <xdr:nvSpPr>
            <xdr:cNvPr id="9245" name="Drop Down 29" hidden="1">
              <a:extLst>
                <a:ext uri="{63B3BB69-23CF-44E3-9099-C40C66FF867C}">
                  <a14:compatExt spid="_x0000_s9245"/>
                </a:ext>
                <a:ext uri="{FF2B5EF4-FFF2-40B4-BE49-F238E27FC236}">
                  <a16:creationId xmlns:a16="http://schemas.microsoft.com/office/drawing/2014/main" id="{00000000-0008-0000-0900-00001D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79</xdr:row>
          <xdr:rowOff>0</xdr:rowOff>
        </xdr:from>
        <xdr:to>
          <xdr:col>7</xdr:col>
          <xdr:colOff>0</xdr:colOff>
          <xdr:row>80</xdr:row>
          <xdr:rowOff>0</xdr:rowOff>
        </xdr:to>
        <xdr:sp macro="" textlink="">
          <xdr:nvSpPr>
            <xdr:cNvPr id="9247" name="Drop Down 31" hidden="1">
              <a:extLst>
                <a:ext uri="{63B3BB69-23CF-44E3-9099-C40C66FF867C}">
                  <a14:compatExt spid="_x0000_s9247"/>
                </a:ext>
                <a:ext uri="{FF2B5EF4-FFF2-40B4-BE49-F238E27FC236}">
                  <a16:creationId xmlns:a16="http://schemas.microsoft.com/office/drawing/2014/main" id="{00000000-0008-0000-0900-00001F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81</xdr:row>
          <xdr:rowOff>257175</xdr:rowOff>
        </xdr:from>
        <xdr:to>
          <xdr:col>7</xdr:col>
          <xdr:colOff>0</xdr:colOff>
          <xdr:row>86</xdr:row>
          <xdr:rowOff>0</xdr:rowOff>
        </xdr:to>
        <xdr:sp macro="" textlink="">
          <xdr:nvSpPr>
            <xdr:cNvPr id="9248" name="Drop Down 32" hidden="1">
              <a:extLst>
                <a:ext uri="{63B3BB69-23CF-44E3-9099-C40C66FF867C}">
                  <a14:compatExt spid="_x0000_s9248"/>
                </a:ext>
                <a:ext uri="{FF2B5EF4-FFF2-40B4-BE49-F238E27FC236}">
                  <a16:creationId xmlns:a16="http://schemas.microsoft.com/office/drawing/2014/main" id="{00000000-0008-0000-0900-000020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83</xdr:row>
          <xdr:rowOff>257175</xdr:rowOff>
        </xdr:from>
        <xdr:to>
          <xdr:col>7</xdr:col>
          <xdr:colOff>0</xdr:colOff>
          <xdr:row>86</xdr:row>
          <xdr:rowOff>0</xdr:rowOff>
        </xdr:to>
        <xdr:sp macro="" textlink="">
          <xdr:nvSpPr>
            <xdr:cNvPr id="9249" name="Drop Down 33" hidden="1">
              <a:extLst>
                <a:ext uri="{63B3BB69-23CF-44E3-9099-C40C66FF867C}">
                  <a14:compatExt spid="_x0000_s9249"/>
                </a:ext>
                <a:ext uri="{FF2B5EF4-FFF2-40B4-BE49-F238E27FC236}">
                  <a16:creationId xmlns:a16="http://schemas.microsoft.com/office/drawing/2014/main" id="{00000000-0008-0000-0900-00002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xdr:row>
          <xdr:rowOff>0</xdr:rowOff>
        </xdr:from>
        <xdr:to>
          <xdr:col>7</xdr:col>
          <xdr:colOff>0</xdr:colOff>
          <xdr:row>6</xdr:row>
          <xdr:rowOff>0</xdr:rowOff>
        </xdr:to>
        <xdr:sp macro="" textlink="">
          <xdr:nvSpPr>
            <xdr:cNvPr id="9251" name="Drop Down 35" hidden="1">
              <a:extLst>
                <a:ext uri="{63B3BB69-23CF-44E3-9099-C40C66FF867C}">
                  <a14:compatExt spid="_x0000_s9251"/>
                </a:ext>
                <a:ext uri="{FF2B5EF4-FFF2-40B4-BE49-F238E27FC236}">
                  <a16:creationId xmlns:a16="http://schemas.microsoft.com/office/drawing/2014/main" id="{00000000-0008-0000-0900-00002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37</xdr:row>
          <xdr:rowOff>0</xdr:rowOff>
        </xdr:from>
        <xdr:to>
          <xdr:col>7</xdr:col>
          <xdr:colOff>9525</xdr:colOff>
          <xdr:row>43</xdr:row>
          <xdr:rowOff>0</xdr:rowOff>
        </xdr:to>
        <xdr:sp macro="" textlink="">
          <xdr:nvSpPr>
            <xdr:cNvPr id="9253" name="Drop Down 37" hidden="1">
              <a:extLst>
                <a:ext uri="{63B3BB69-23CF-44E3-9099-C40C66FF867C}">
                  <a14:compatExt spid="_x0000_s9253"/>
                </a:ext>
                <a:ext uri="{FF2B5EF4-FFF2-40B4-BE49-F238E27FC236}">
                  <a16:creationId xmlns:a16="http://schemas.microsoft.com/office/drawing/2014/main" id="{00000000-0008-0000-0900-00002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xdr:row>
          <xdr:rowOff>0</xdr:rowOff>
        </xdr:from>
        <xdr:to>
          <xdr:col>7</xdr:col>
          <xdr:colOff>0</xdr:colOff>
          <xdr:row>15</xdr:row>
          <xdr:rowOff>0</xdr:rowOff>
        </xdr:to>
        <xdr:sp macro="" textlink="">
          <xdr:nvSpPr>
            <xdr:cNvPr id="9256" name="Drop Down 40" hidden="1">
              <a:extLst>
                <a:ext uri="{63B3BB69-23CF-44E3-9099-C40C66FF867C}">
                  <a14:compatExt spid="_x0000_s9256"/>
                </a:ext>
                <a:ext uri="{FF2B5EF4-FFF2-40B4-BE49-F238E27FC236}">
                  <a16:creationId xmlns:a16="http://schemas.microsoft.com/office/drawing/2014/main" id="{00000000-0008-0000-0900-00002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xdr:row>
          <xdr:rowOff>0</xdr:rowOff>
        </xdr:from>
        <xdr:to>
          <xdr:col>7</xdr:col>
          <xdr:colOff>0</xdr:colOff>
          <xdr:row>17</xdr:row>
          <xdr:rowOff>0</xdr:rowOff>
        </xdr:to>
        <xdr:sp macro="" textlink="">
          <xdr:nvSpPr>
            <xdr:cNvPr id="9257" name="Drop Down 41" hidden="1">
              <a:extLst>
                <a:ext uri="{63B3BB69-23CF-44E3-9099-C40C66FF867C}">
                  <a14:compatExt spid="_x0000_s9257"/>
                </a:ext>
                <a:ext uri="{FF2B5EF4-FFF2-40B4-BE49-F238E27FC236}">
                  <a16:creationId xmlns:a16="http://schemas.microsoft.com/office/drawing/2014/main" id="{00000000-0008-0000-0900-000029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25</xdr:row>
          <xdr:rowOff>0</xdr:rowOff>
        </xdr:from>
        <xdr:to>
          <xdr:col>7</xdr:col>
          <xdr:colOff>9525</xdr:colOff>
          <xdr:row>28</xdr:row>
          <xdr:rowOff>0</xdr:rowOff>
        </xdr:to>
        <xdr:sp macro="" textlink="">
          <xdr:nvSpPr>
            <xdr:cNvPr id="9259" name="Drop Down 43" hidden="1">
              <a:extLst>
                <a:ext uri="{63B3BB69-23CF-44E3-9099-C40C66FF867C}">
                  <a14:compatExt spid="_x0000_s9259"/>
                </a:ext>
                <a:ext uri="{FF2B5EF4-FFF2-40B4-BE49-F238E27FC236}">
                  <a16:creationId xmlns:a16="http://schemas.microsoft.com/office/drawing/2014/main" id="{00000000-0008-0000-0900-00002B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161925</xdr:colOff>
          <xdr:row>87</xdr:row>
          <xdr:rowOff>0</xdr:rowOff>
        </xdr:from>
        <xdr:to>
          <xdr:col>7</xdr:col>
          <xdr:colOff>0</xdr:colOff>
          <xdr:row>88</xdr:row>
          <xdr:rowOff>0</xdr:rowOff>
        </xdr:to>
        <xdr:sp macro="" textlink="">
          <xdr:nvSpPr>
            <xdr:cNvPr id="57345" name="Drop Down 1" hidden="1">
              <a:extLst>
                <a:ext uri="{63B3BB69-23CF-44E3-9099-C40C66FF867C}">
                  <a14:compatExt spid="_x0000_s57345"/>
                </a:ext>
                <a:ext uri="{FF2B5EF4-FFF2-40B4-BE49-F238E27FC236}">
                  <a16:creationId xmlns:a16="http://schemas.microsoft.com/office/drawing/2014/main" id="{00000000-0008-0000-0A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88</xdr:row>
          <xdr:rowOff>0</xdr:rowOff>
        </xdr:from>
        <xdr:to>
          <xdr:col>7</xdr:col>
          <xdr:colOff>0</xdr:colOff>
          <xdr:row>89</xdr:row>
          <xdr:rowOff>0</xdr:rowOff>
        </xdr:to>
        <xdr:sp macro="" textlink="">
          <xdr:nvSpPr>
            <xdr:cNvPr id="57346" name="Drop Down 2" hidden="1">
              <a:extLst>
                <a:ext uri="{63B3BB69-23CF-44E3-9099-C40C66FF867C}">
                  <a14:compatExt spid="_x0000_s57346"/>
                </a:ext>
                <a:ext uri="{FF2B5EF4-FFF2-40B4-BE49-F238E27FC236}">
                  <a16:creationId xmlns:a16="http://schemas.microsoft.com/office/drawing/2014/main" id="{00000000-0008-0000-0A00-000002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91</xdr:row>
          <xdr:rowOff>0</xdr:rowOff>
        </xdr:from>
        <xdr:to>
          <xdr:col>7</xdr:col>
          <xdr:colOff>0</xdr:colOff>
          <xdr:row>92</xdr:row>
          <xdr:rowOff>0</xdr:rowOff>
        </xdr:to>
        <xdr:sp macro="" textlink="">
          <xdr:nvSpPr>
            <xdr:cNvPr id="57347" name="Drop Down 3" hidden="1">
              <a:extLst>
                <a:ext uri="{63B3BB69-23CF-44E3-9099-C40C66FF867C}">
                  <a14:compatExt spid="_x0000_s57347"/>
                </a:ext>
                <a:ext uri="{FF2B5EF4-FFF2-40B4-BE49-F238E27FC236}">
                  <a16:creationId xmlns:a16="http://schemas.microsoft.com/office/drawing/2014/main" id="{00000000-0008-0000-0A00-000003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94</xdr:row>
          <xdr:rowOff>0</xdr:rowOff>
        </xdr:from>
        <xdr:to>
          <xdr:col>7</xdr:col>
          <xdr:colOff>0</xdr:colOff>
          <xdr:row>95</xdr:row>
          <xdr:rowOff>0</xdr:rowOff>
        </xdr:to>
        <xdr:sp macro="" textlink="">
          <xdr:nvSpPr>
            <xdr:cNvPr id="57348" name="Drop Down 4" hidden="1">
              <a:extLst>
                <a:ext uri="{63B3BB69-23CF-44E3-9099-C40C66FF867C}">
                  <a14:compatExt spid="_x0000_s57348"/>
                </a:ext>
                <a:ext uri="{FF2B5EF4-FFF2-40B4-BE49-F238E27FC236}">
                  <a16:creationId xmlns:a16="http://schemas.microsoft.com/office/drawing/2014/main" id="{00000000-0008-0000-0A00-000004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97</xdr:row>
          <xdr:rowOff>0</xdr:rowOff>
        </xdr:from>
        <xdr:to>
          <xdr:col>7</xdr:col>
          <xdr:colOff>0</xdr:colOff>
          <xdr:row>98</xdr:row>
          <xdr:rowOff>0</xdr:rowOff>
        </xdr:to>
        <xdr:sp macro="" textlink="">
          <xdr:nvSpPr>
            <xdr:cNvPr id="57349" name="Drop Down 5" hidden="1">
              <a:extLst>
                <a:ext uri="{63B3BB69-23CF-44E3-9099-C40C66FF867C}">
                  <a14:compatExt spid="_x0000_s57349"/>
                </a:ext>
                <a:ext uri="{FF2B5EF4-FFF2-40B4-BE49-F238E27FC236}">
                  <a16:creationId xmlns:a16="http://schemas.microsoft.com/office/drawing/2014/main" id="{00000000-0008-0000-0A00-000005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65</xdr:row>
          <xdr:rowOff>66675</xdr:rowOff>
        </xdr:from>
        <xdr:to>
          <xdr:col>7</xdr:col>
          <xdr:colOff>0</xdr:colOff>
          <xdr:row>65</xdr:row>
          <xdr:rowOff>304800</xdr:rowOff>
        </xdr:to>
        <xdr:sp macro="" textlink="">
          <xdr:nvSpPr>
            <xdr:cNvPr id="57350" name="Drop Down 6" hidden="1">
              <a:extLst>
                <a:ext uri="{63B3BB69-23CF-44E3-9099-C40C66FF867C}">
                  <a14:compatExt spid="_x0000_s57350"/>
                </a:ext>
                <a:ext uri="{FF2B5EF4-FFF2-40B4-BE49-F238E27FC236}">
                  <a16:creationId xmlns:a16="http://schemas.microsoft.com/office/drawing/2014/main" id="{00000000-0008-0000-0A00-000006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60</xdr:row>
          <xdr:rowOff>66675</xdr:rowOff>
        </xdr:from>
        <xdr:to>
          <xdr:col>7</xdr:col>
          <xdr:colOff>0</xdr:colOff>
          <xdr:row>60</xdr:row>
          <xdr:rowOff>314325</xdr:rowOff>
        </xdr:to>
        <xdr:sp macro="" textlink="">
          <xdr:nvSpPr>
            <xdr:cNvPr id="57351" name="Drop Down 7" hidden="1">
              <a:extLst>
                <a:ext uri="{63B3BB69-23CF-44E3-9099-C40C66FF867C}">
                  <a14:compatExt spid="_x0000_s57351"/>
                </a:ext>
                <a:ext uri="{FF2B5EF4-FFF2-40B4-BE49-F238E27FC236}">
                  <a16:creationId xmlns:a16="http://schemas.microsoft.com/office/drawing/2014/main" id="{00000000-0008-0000-0A00-000007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314325</xdr:rowOff>
        </xdr:from>
        <xdr:to>
          <xdr:col>7</xdr:col>
          <xdr:colOff>0</xdr:colOff>
          <xdr:row>9</xdr:row>
          <xdr:rowOff>0</xdr:rowOff>
        </xdr:to>
        <xdr:sp macro="" textlink="">
          <xdr:nvSpPr>
            <xdr:cNvPr id="57352" name="Drop Down 8" hidden="1">
              <a:extLst>
                <a:ext uri="{63B3BB69-23CF-44E3-9099-C40C66FF867C}">
                  <a14:compatExt spid="_x0000_s57352"/>
                </a:ext>
                <a:ext uri="{FF2B5EF4-FFF2-40B4-BE49-F238E27FC236}">
                  <a16:creationId xmlns:a16="http://schemas.microsoft.com/office/drawing/2014/main" id="{00000000-0008-0000-0A00-000008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0</xdr:rowOff>
        </xdr:from>
        <xdr:to>
          <xdr:col>7</xdr:col>
          <xdr:colOff>0</xdr:colOff>
          <xdr:row>10</xdr:row>
          <xdr:rowOff>0</xdr:rowOff>
        </xdr:to>
        <xdr:sp macro="" textlink="">
          <xdr:nvSpPr>
            <xdr:cNvPr id="57353" name="Drop Down 9" hidden="1">
              <a:extLst>
                <a:ext uri="{63B3BB69-23CF-44E3-9099-C40C66FF867C}">
                  <a14:compatExt spid="_x0000_s57353"/>
                </a:ext>
                <a:ext uri="{FF2B5EF4-FFF2-40B4-BE49-F238E27FC236}">
                  <a16:creationId xmlns:a16="http://schemas.microsoft.com/office/drawing/2014/main" id="{00000000-0008-0000-0A00-000009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xdr:row>
          <xdr:rowOff>0</xdr:rowOff>
        </xdr:from>
        <xdr:to>
          <xdr:col>7</xdr:col>
          <xdr:colOff>0</xdr:colOff>
          <xdr:row>19</xdr:row>
          <xdr:rowOff>0</xdr:rowOff>
        </xdr:to>
        <xdr:sp macro="" textlink="">
          <xdr:nvSpPr>
            <xdr:cNvPr id="57354" name="Drop Down 10" hidden="1">
              <a:extLst>
                <a:ext uri="{63B3BB69-23CF-44E3-9099-C40C66FF867C}">
                  <a14:compatExt spid="_x0000_s57354"/>
                </a:ext>
                <a:ext uri="{FF2B5EF4-FFF2-40B4-BE49-F238E27FC236}">
                  <a16:creationId xmlns:a16="http://schemas.microsoft.com/office/drawing/2014/main" id="{00000000-0008-0000-0A00-00000A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257175</xdr:rowOff>
        </xdr:from>
        <xdr:to>
          <xdr:col>7</xdr:col>
          <xdr:colOff>0</xdr:colOff>
          <xdr:row>28</xdr:row>
          <xdr:rowOff>0</xdr:rowOff>
        </xdr:to>
        <xdr:sp macro="" textlink="">
          <xdr:nvSpPr>
            <xdr:cNvPr id="57355" name="Drop Down 11" hidden="1">
              <a:extLst>
                <a:ext uri="{63B3BB69-23CF-44E3-9099-C40C66FF867C}">
                  <a14:compatExt spid="_x0000_s57355"/>
                </a:ext>
                <a:ext uri="{FF2B5EF4-FFF2-40B4-BE49-F238E27FC236}">
                  <a16:creationId xmlns:a16="http://schemas.microsoft.com/office/drawing/2014/main" id="{00000000-0008-0000-0A00-00000B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xdr:row>
          <xdr:rowOff>257175</xdr:rowOff>
        </xdr:from>
        <xdr:to>
          <xdr:col>7</xdr:col>
          <xdr:colOff>0</xdr:colOff>
          <xdr:row>28</xdr:row>
          <xdr:rowOff>0</xdr:rowOff>
        </xdr:to>
        <xdr:sp macro="" textlink="">
          <xdr:nvSpPr>
            <xdr:cNvPr id="57356" name="Drop Down 12" hidden="1">
              <a:extLst>
                <a:ext uri="{63B3BB69-23CF-44E3-9099-C40C66FF867C}">
                  <a14:compatExt spid="_x0000_s57356"/>
                </a:ext>
                <a:ext uri="{FF2B5EF4-FFF2-40B4-BE49-F238E27FC236}">
                  <a16:creationId xmlns:a16="http://schemas.microsoft.com/office/drawing/2014/main" id="{00000000-0008-0000-0A00-00000C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29</xdr:row>
          <xdr:rowOff>66675</xdr:rowOff>
        </xdr:from>
        <xdr:to>
          <xdr:col>7</xdr:col>
          <xdr:colOff>0</xdr:colOff>
          <xdr:row>29</xdr:row>
          <xdr:rowOff>314325</xdr:rowOff>
        </xdr:to>
        <xdr:sp macro="" textlink="">
          <xdr:nvSpPr>
            <xdr:cNvPr id="57357" name="Drop Down 13" hidden="1">
              <a:extLst>
                <a:ext uri="{63B3BB69-23CF-44E3-9099-C40C66FF867C}">
                  <a14:compatExt spid="_x0000_s57357"/>
                </a:ext>
                <a:ext uri="{FF2B5EF4-FFF2-40B4-BE49-F238E27FC236}">
                  <a16:creationId xmlns:a16="http://schemas.microsoft.com/office/drawing/2014/main" id="{00000000-0008-0000-0A00-00000D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7</xdr:col>
          <xdr:colOff>0</xdr:colOff>
          <xdr:row>34</xdr:row>
          <xdr:rowOff>0</xdr:rowOff>
        </xdr:to>
        <xdr:sp macro="" textlink="">
          <xdr:nvSpPr>
            <xdr:cNvPr id="57358" name="Drop Down 14" hidden="1">
              <a:extLst>
                <a:ext uri="{63B3BB69-23CF-44E3-9099-C40C66FF867C}">
                  <a14:compatExt spid="_x0000_s57358"/>
                </a:ext>
                <a:ext uri="{FF2B5EF4-FFF2-40B4-BE49-F238E27FC236}">
                  <a16:creationId xmlns:a16="http://schemas.microsoft.com/office/drawing/2014/main" id="{00000000-0008-0000-0A00-00000E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0</xdr:rowOff>
        </xdr:from>
        <xdr:to>
          <xdr:col>7</xdr:col>
          <xdr:colOff>0</xdr:colOff>
          <xdr:row>43</xdr:row>
          <xdr:rowOff>0</xdr:rowOff>
        </xdr:to>
        <xdr:sp macro="" textlink="">
          <xdr:nvSpPr>
            <xdr:cNvPr id="57359" name="Drop Down 15" hidden="1">
              <a:extLst>
                <a:ext uri="{63B3BB69-23CF-44E3-9099-C40C66FF867C}">
                  <a14:compatExt spid="_x0000_s57359"/>
                </a:ext>
                <a:ext uri="{FF2B5EF4-FFF2-40B4-BE49-F238E27FC236}">
                  <a16:creationId xmlns:a16="http://schemas.microsoft.com/office/drawing/2014/main" id="{00000000-0008-0000-0A00-00000F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7</xdr:col>
          <xdr:colOff>0</xdr:colOff>
          <xdr:row>47</xdr:row>
          <xdr:rowOff>0</xdr:rowOff>
        </xdr:to>
        <xdr:sp macro="" textlink="">
          <xdr:nvSpPr>
            <xdr:cNvPr id="57360" name="Drop Down 16" hidden="1">
              <a:extLst>
                <a:ext uri="{63B3BB69-23CF-44E3-9099-C40C66FF867C}">
                  <a14:compatExt spid="_x0000_s57360"/>
                </a:ext>
                <a:ext uri="{FF2B5EF4-FFF2-40B4-BE49-F238E27FC236}">
                  <a16:creationId xmlns:a16="http://schemas.microsoft.com/office/drawing/2014/main" id="{00000000-0008-0000-0A00-000010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49</xdr:row>
          <xdr:rowOff>0</xdr:rowOff>
        </xdr:from>
        <xdr:to>
          <xdr:col>7</xdr:col>
          <xdr:colOff>0</xdr:colOff>
          <xdr:row>50</xdr:row>
          <xdr:rowOff>0</xdr:rowOff>
        </xdr:to>
        <xdr:sp macro="" textlink="">
          <xdr:nvSpPr>
            <xdr:cNvPr id="57361" name="Drop Down 17" hidden="1">
              <a:extLst>
                <a:ext uri="{63B3BB69-23CF-44E3-9099-C40C66FF867C}">
                  <a14:compatExt spid="_x0000_s57361"/>
                </a:ext>
                <a:ext uri="{FF2B5EF4-FFF2-40B4-BE49-F238E27FC236}">
                  <a16:creationId xmlns:a16="http://schemas.microsoft.com/office/drawing/2014/main" id="{00000000-0008-0000-0A00-00001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52</xdr:row>
          <xdr:rowOff>66675</xdr:rowOff>
        </xdr:from>
        <xdr:to>
          <xdr:col>7</xdr:col>
          <xdr:colOff>0</xdr:colOff>
          <xdr:row>52</xdr:row>
          <xdr:rowOff>314325</xdr:rowOff>
        </xdr:to>
        <xdr:sp macro="" textlink="">
          <xdr:nvSpPr>
            <xdr:cNvPr id="57362" name="Drop Down 18" hidden="1">
              <a:extLst>
                <a:ext uri="{63B3BB69-23CF-44E3-9099-C40C66FF867C}">
                  <a14:compatExt spid="_x0000_s57362"/>
                </a:ext>
                <a:ext uri="{FF2B5EF4-FFF2-40B4-BE49-F238E27FC236}">
                  <a16:creationId xmlns:a16="http://schemas.microsoft.com/office/drawing/2014/main" id="{00000000-0008-0000-0A00-000012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55</xdr:row>
          <xdr:rowOff>0</xdr:rowOff>
        </xdr:from>
        <xdr:to>
          <xdr:col>7</xdr:col>
          <xdr:colOff>0</xdr:colOff>
          <xdr:row>59</xdr:row>
          <xdr:rowOff>0</xdr:rowOff>
        </xdr:to>
        <xdr:sp macro="" textlink="">
          <xdr:nvSpPr>
            <xdr:cNvPr id="57363" name="Drop Down 19" hidden="1">
              <a:extLst>
                <a:ext uri="{63B3BB69-23CF-44E3-9099-C40C66FF867C}">
                  <a14:compatExt spid="_x0000_s57363"/>
                </a:ext>
                <a:ext uri="{FF2B5EF4-FFF2-40B4-BE49-F238E27FC236}">
                  <a16:creationId xmlns:a16="http://schemas.microsoft.com/office/drawing/2014/main" id="{00000000-0008-0000-0A00-000013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61</xdr:row>
          <xdr:rowOff>0</xdr:rowOff>
        </xdr:from>
        <xdr:to>
          <xdr:col>7</xdr:col>
          <xdr:colOff>0</xdr:colOff>
          <xdr:row>62</xdr:row>
          <xdr:rowOff>0</xdr:rowOff>
        </xdr:to>
        <xdr:sp macro="" textlink="">
          <xdr:nvSpPr>
            <xdr:cNvPr id="57364" name="Drop Down 20" hidden="1">
              <a:extLst>
                <a:ext uri="{63B3BB69-23CF-44E3-9099-C40C66FF867C}">
                  <a14:compatExt spid="_x0000_s57364"/>
                </a:ext>
                <a:ext uri="{FF2B5EF4-FFF2-40B4-BE49-F238E27FC236}">
                  <a16:creationId xmlns:a16="http://schemas.microsoft.com/office/drawing/2014/main" id="{00000000-0008-0000-0A00-000014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62</xdr:row>
          <xdr:rowOff>0</xdr:rowOff>
        </xdr:from>
        <xdr:to>
          <xdr:col>4</xdr:col>
          <xdr:colOff>1752600</xdr:colOff>
          <xdr:row>64</xdr:row>
          <xdr:rowOff>0</xdr:rowOff>
        </xdr:to>
        <xdr:sp macro="" textlink="">
          <xdr:nvSpPr>
            <xdr:cNvPr id="57365" name="Drop Down 21" hidden="1">
              <a:extLst>
                <a:ext uri="{63B3BB69-23CF-44E3-9099-C40C66FF867C}">
                  <a14:compatExt spid="_x0000_s57365"/>
                </a:ext>
                <a:ext uri="{FF2B5EF4-FFF2-40B4-BE49-F238E27FC236}">
                  <a16:creationId xmlns:a16="http://schemas.microsoft.com/office/drawing/2014/main" id="{00000000-0008-0000-0A00-000015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1819275</xdr:colOff>
          <xdr:row>62</xdr:row>
          <xdr:rowOff>0</xdr:rowOff>
        </xdr:from>
        <xdr:to>
          <xdr:col>7</xdr:col>
          <xdr:colOff>0</xdr:colOff>
          <xdr:row>64</xdr:row>
          <xdr:rowOff>0</xdr:rowOff>
        </xdr:to>
        <xdr:sp macro="" textlink="">
          <xdr:nvSpPr>
            <xdr:cNvPr id="57366" name="Drop Down 22" hidden="1">
              <a:extLst>
                <a:ext uri="{63B3BB69-23CF-44E3-9099-C40C66FF867C}">
                  <a14:compatExt spid="_x0000_s57366"/>
                </a:ext>
                <a:ext uri="{FF2B5EF4-FFF2-40B4-BE49-F238E27FC236}">
                  <a16:creationId xmlns:a16="http://schemas.microsoft.com/office/drawing/2014/main" id="{00000000-0008-0000-0A00-000016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66</xdr:row>
          <xdr:rowOff>0</xdr:rowOff>
        </xdr:from>
        <xdr:to>
          <xdr:col>7</xdr:col>
          <xdr:colOff>0</xdr:colOff>
          <xdr:row>78</xdr:row>
          <xdr:rowOff>0</xdr:rowOff>
        </xdr:to>
        <xdr:sp macro="" textlink="">
          <xdr:nvSpPr>
            <xdr:cNvPr id="57367" name="Drop Down 23" hidden="1">
              <a:extLst>
                <a:ext uri="{63B3BB69-23CF-44E3-9099-C40C66FF867C}">
                  <a14:compatExt spid="_x0000_s57367"/>
                </a:ext>
                <a:ext uri="{FF2B5EF4-FFF2-40B4-BE49-F238E27FC236}">
                  <a16:creationId xmlns:a16="http://schemas.microsoft.com/office/drawing/2014/main" id="{00000000-0008-0000-0A00-000017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69</xdr:row>
          <xdr:rowOff>0</xdr:rowOff>
        </xdr:from>
        <xdr:to>
          <xdr:col>7</xdr:col>
          <xdr:colOff>0</xdr:colOff>
          <xdr:row>78</xdr:row>
          <xdr:rowOff>0</xdr:rowOff>
        </xdr:to>
        <xdr:sp macro="" textlink="">
          <xdr:nvSpPr>
            <xdr:cNvPr id="57368" name="Drop Down 24" hidden="1">
              <a:extLst>
                <a:ext uri="{63B3BB69-23CF-44E3-9099-C40C66FF867C}">
                  <a14:compatExt spid="_x0000_s57368"/>
                </a:ext>
                <a:ext uri="{FF2B5EF4-FFF2-40B4-BE49-F238E27FC236}">
                  <a16:creationId xmlns:a16="http://schemas.microsoft.com/office/drawing/2014/main" id="{00000000-0008-0000-0A00-000018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71</xdr:row>
          <xdr:rowOff>257175</xdr:rowOff>
        </xdr:from>
        <xdr:to>
          <xdr:col>7</xdr:col>
          <xdr:colOff>0</xdr:colOff>
          <xdr:row>78</xdr:row>
          <xdr:rowOff>0</xdr:rowOff>
        </xdr:to>
        <xdr:sp macro="" textlink="">
          <xdr:nvSpPr>
            <xdr:cNvPr id="57369" name="Drop Down 25" hidden="1">
              <a:extLst>
                <a:ext uri="{63B3BB69-23CF-44E3-9099-C40C66FF867C}">
                  <a14:compatExt spid="_x0000_s57369"/>
                </a:ext>
                <a:ext uri="{FF2B5EF4-FFF2-40B4-BE49-F238E27FC236}">
                  <a16:creationId xmlns:a16="http://schemas.microsoft.com/office/drawing/2014/main" id="{00000000-0008-0000-0A00-000019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73</xdr:row>
          <xdr:rowOff>0</xdr:rowOff>
        </xdr:from>
        <xdr:to>
          <xdr:col>7</xdr:col>
          <xdr:colOff>0</xdr:colOff>
          <xdr:row>78</xdr:row>
          <xdr:rowOff>0</xdr:rowOff>
        </xdr:to>
        <xdr:sp macro="" textlink="">
          <xdr:nvSpPr>
            <xdr:cNvPr id="57370" name="Drop Down 26" hidden="1">
              <a:extLst>
                <a:ext uri="{63B3BB69-23CF-44E3-9099-C40C66FF867C}">
                  <a14:compatExt spid="_x0000_s57370"/>
                </a:ext>
                <a:ext uri="{FF2B5EF4-FFF2-40B4-BE49-F238E27FC236}">
                  <a16:creationId xmlns:a16="http://schemas.microsoft.com/office/drawing/2014/main" id="{00000000-0008-0000-0A00-00001A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79</xdr:row>
          <xdr:rowOff>0</xdr:rowOff>
        </xdr:from>
        <xdr:to>
          <xdr:col>7</xdr:col>
          <xdr:colOff>0</xdr:colOff>
          <xdr:row>80</xdr:row>
          <xdr:rowOff>0</xdr:rowOff>
        </xdr:to>
        <xdr:sp macro="" textlink="">
          <xdr:nvSpPr>
            <xdr:cNvPr id="57371" name="Drop Down 27" hidden="1">
              <a:extLst>
                <a:ext uri="{63B3BB69-23CF-44E3-9099-C40C66FF867C}">
                  <a14:compatExt spid="_x0000_s57371"/>
                </a:ext>
                <a:ext uri="{FF2B5EF4-FFF2-40B4-BE49-F238E27FC236}">
                  <a16:creationId xmlns:a16="http://schemas.microsoft.com/office/drawing/2014/main" id="{00000000-0008-0000-0A00-00001B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81</xdr:row>
          <xdr:rowOff>257175</xdr:rowOff>
        </xdr:from>
        <xdr:to>
          <xdr:col>7</xdr:col>
          <xdr:colOff>0</xdr:colOff>
          <xdr:row>86</xdr:row>
          <xdr:rowOff>0</xdr:rowOff>
        </xdr:to>
        <xdr:sp macro="" textlink="">
          <xdr:nvSpPr>
            <xdr:cNvPr id="57372" name="Drop Down 28" hidden="1">
              <a:extLst>
                <a:ext uri="{63B3BB69-23CF-44E3-9099-C40C66FF867C}">
                  <a14:compatExt spid="_x0000_s57372"/>
                </a:ext>
                <a:ext uri="{FF2B5EF4-FFF2-40B4-BE49-F238E27FC236}">
                  <a16:creationId xmlns:a16="http://schemas.microsoft.com/office/drawing/2014/main" id="{00000000-0008-0000-0A00-00001C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83</xdr:row>
          <xdr:rowOff>257175</xdr:rowOff>
        </xdr:from>
        <xdr:to>
          <xdr:col>7</xdr:col>
          <xdr:colOff>0</xdr:colOff>
          <xdr:row>86</xdr:row>
          <xdr:rowOff>0</xdr:rowOff>
        </xdr:to>
        <xdr:sp macro="" textlink="">
          <xdr:nvSpPr>
            <xdr:cNvPr id="57373" name="Drop Down 29" hidden="1">
              <a:extLst>
                <a:ext uri="{63B3BB69-23CF-44E3-9099-C40C66FF867C}">
                  <a14:compatExt spid="_x0000_s57373"/>
                </a:ext>
                <a:ext uri="{FF2B5EF4-FFF2-40B4-BE49-F238E27FC236}">
                  <a16:creationId xmlns:a16="http://schemas.microsoft.com/office/drawing/2014/main" id="{00000000-0008-0000-0A00-00001D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xdr:row>
          <xdr:rowOff>0</xdr:rowOff>
        </xdr:from>
        <xdr:to>
          <xdr:col>7</xdr:col>
          <xdr:colOff>0</xdr:colOff>
          <xdr:row>6</xdr:row>
          <xdr:rowOff>0</xdr:rowOff>
        </xdr:to>
        <xdr:sp macro="" textlink="">
          <xdr:nvSpPr>
            <xdr:cNvPr id="57374" name="Drop Down 30" hidden="1">
              <a:extLst>
                <a:ext uri="{63B3BB69-23CF-44E3-9099-C40C66FF867C}">
                  <a14:compatExt spid="_x0000_s57374"/>
                </a:ext>
                <a:ext uri="{FF2B5EF4-FFF2-40B4-BE49-F238E27FC236}">
                  <a16:creationId xmlns:a16="http://schemas.microsoft.com/office/drawing/2014/main" id="{00000000-0008-0000-0A00-00001E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xdr:row>
          <xdr:rowOff>0</xdr:rowOff>
        </xdr:from>
        <xdr:to>
          <xdr:col>7</xdr:col>
          <xdr:colOff>0</xdr:colOff>
          <xdr:row>15</xdr:row>
          <xdr:rowOff>0</xdr:rowOff>
        </xdr:to>
        <xdr:sp macro="" textlink="">
          <xdr:nvSpPr>
            <xdr:cNvPr id="57375" name="Drop Down 31" hidden="1">
              <a:extLst>
                <a:ext uri="{63B3BB69-23CF-44E3-9099-C40C66FF867C}">
                  <a14:compatExt spid="_x0000_s57375"/>
                </a:ext>
                <a:ext uri="{FF2B5EF4-FFF2-40B4-BE49-F238E27FC236}">
                  <a16:creationId xmlns:a16="http://schemas.microsoft.com/office/drawing/2014/main" id="{00000000-0008-0000-0A00-00001F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xdr:row>
          <xdr:rowOff>0</xdr:rowOff>
        </xdr:from>
        <xdr:to>
          <xdr:col>7</xdr:col>
          <xdr:colOff>0</xdr:colOff>
          <xdr:row>17</xdr:row>
          <xdr:rowOff>0</xdr:rowOff>
        </xdr:to>
        <xdr:sp macro="" textlink="">
          <xdr:nvSpPr>
            <xdr:cNvPr id="57376" name="Drop Down 32" hidden="1">
              <a:extLst>
                <a:ext uri="{63B3BB69-23CF-44E3-9099-C40C66FF867C}">
                  <a14:compatExt spid="_x0000_s57376"/>
                </a:ext>
                <a:ext uri="{FF2B5EF4-FFF2-40B4-BE49-F238E27FC236}">
                  <a16:creationId xmlns:a16="http://schemas.microsoft.com/office/drawing/2014/main" id="{00000000-0008-0000-0A00-000020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25</xdr:row>
          <xdr:rowOff>0</xdr:rowOff>
        </xdr:from>
        <xdr:to>
          <xdr:col>7</xdr:col>
          <xdr:colOff>9525</xdr:colOff>
          <xdr:row>26</xdr:row>
          <xdr:rowOff>0</xdr:rowOff>
        </xdr:to>
        <xdr:sp macro="" textlink="">
          <xdr:nvSpPr>
            <xdr:cNvPr id="57377" name="Drop Down 33" hidden="1">
              <a:extLst>
                <a:ext uri="{63B3BB69-23CF-44E3-9099-C40C66FF867C}">
                  <a14:compatExt spid="_x0000_s57377"/>
                </a:ext>
                <a:ext uri="{FF2B5EF4-FFF2-40B4-BE49-F238E27FC236}">
                  <a16:creationId xmlns:a16="http://schemas.microsoft.com/office/drawing/2014/main" id="{00000000-0008-0000-0A00-00002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xdr:row>
          <xdr:rowOff>0</xdr:rowOff>
        </xdr:from>
        <xdr:to>
          <xdr:col>7</xdr:col>
          <xdr:colOff>0</xdr:colOff>
          <xdr:row>17</xdr:row>
          <xdr:rowOff>0</xdr:rowOff>
        </xdr:to>
        <xdr:sp macro="" textlink="">
          <xdr:nvSpPr>
            <xdr:cNvPr id="57378" name="Drop Down 34" hidden="1">
              <a:extLst>
                <a:ext uri="{63B3BB69-23CF-44E3-9099-C40C66FF867C}">
                  <a14:compatExt spid="_x0000_s57378"/>
                </a:ext>
                <a:ext uri="{FF2B5EF4-FFF2-40B4-BE49-F238E27FC236}">
                  <a16:creationId xmlns:a16="http://schemas.microsoft.com/office/drawing/2014/main" id="{00000000-0008-0000-0A00-000022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7</xdr:col>
          <xdr:colOff>9525</xdr:colOff>
          <xdr:row>28</xdr:row>
          <xdr:rowOff>0</xdr:rowOff>
        </xdr:to>
        <xdr:sp macro="" textlink="">
          <xdr:nvSpPr>
            <xdr:cNvPr id="57379" name="Drop Down 35" hidden="1">
              <a:extLst>
                <a:ext uri="{63B3BB69-23CF-44E3-9099-C40C66FF867C}">
                  <a14:compatExt spid="_x0000_s57379"/>
                </a:ext>
                <a:ext uri="{FF2B5EF4-FFF2-40B4-BE49-F238E27FC236}">
                  <a16:creationId xmlns:a16="http://schemas.microsoft.com/office/drawing/2014/main" id="{00000000-0008-0000-0A00-000023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161925</xdr:colOff>
          <xdr:row>87</xdr:row>
          <xdr:rowOff>0</xdr:rowOff>
        </xdr:from>
        <xdr:to>
          <xdr:col>7</xdr:col>
          <xdr:colOff>0</xdr:colOff>
          <xdr:row>88</xdr:row>
          <xdr:rowOff>0</xdr:rowOff>
        </xdr:to>
        <xdr:sp macro="" textlink="">
          <xdr:nvSpPr>
            <xdr:cNvPr id="58369" name="Drop Down 1" hidden="1">
              <a:extLst>
                <a:ext uri="{63B3BB69-23CF-44E3-9099-C40C66FF867C}">
                  <a14:compatExt spid="_x0000_s58369"/>
                </a:ext>
                <a:ext uri="{FF2B5EF4-FFF2-40B4-BE49-F238E27FC236}">
                  <a16:creationId xmlns:a16="http://schemas.microsoft.com/office/drawing/2014/main" id="{00000000-0008-0000-0B00-000001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88</xdr:row>
          <xdr:rowOff>0</xdr:rowOff>
        </xdr:from>
        <xdr:to>
          <xdr:col>7</xdr:col>
          <xdr:colOff>0</xdr:colOff>
          <xdr:row>89</xdr:row>
          <xdr:rowOff>0</xdr:rowOff>
        </xdr:to>
        <xdr:sp macro="" textlink="">
          <xdr:nvSpPr>
            <xdr:cNvPr id="58370" name="Drop Down 2" hidden="1">
              <a:extLst>
                <a:ext uri="{63B3BB69-23CF-44E3-9099-C40C66FF867C}">
                  <a14:compatExt spid="_x0000_s58370"/>
                </a:ext>
                <a:ext uri="{FF2B5EF4-FFF2-40B4-BE49-F238E27FC236}">
                  <a16:creationId xmlns:a16="http://schemas.microsoft.com/office/drawing/2014/main" id="{00000000-0008-0000-0B00-000002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91</xdr:row>
          <xdr:rowOff>0</xdr:rowOff>
        </xdr:from>
        <xdr:to>
          <xdr:col>7</xdr:col>
          <xdr:colOff>0</xdr:colOff>
          <xdr:row>92</xdr:row>
          <xdr:rowOff>0</xdr:rowOff>
        </xdr:to>
        <xdr:sp macro="" textlink="">
          <xdr:nvSpPr>
            <xdr:cNvPr id="58371" name="Drop Down 3" hidden="1">
              <a:extLst>
                <a:ext uri="{63B3BB69-23CF-44E3-9099-C40C66FF867C}">
                  <a14:compatExt spid="_x0000_s58371"/>
                </a:ext>
                <a:ext uri="{FF2B5EF4-FFF2-40B4-BE49-F238E27FC236}">
                  <a16:creationId xmlns:a16="http://schemas.microsoft.com/office/drawing/2014/main" id="{00000000-0008-0000-0B00-000003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94</xdr:row>
          <xdr:rowOff>0</xdr:rowOff>
        </xdr:from>
        <xdr:to>
          <xdr:col>7</xdr:col>
          <xdr:colOff>0</xdr:colOff>
          <xdr:row>95</xdr:row>
          <xdr:rowOff>0</xdr:rowOff>
        </xdr:to>
        <xdr:sp macro="" textlink="">
          <xdr:nvSpPr>
            <xdr:cNvPr id="58372" name="Drop Down 4" hidden="1">
              <a:extLst>
                <a:ext uri="{63B3BB69-23CF-44E3-9099-C40C66FF867C}">
                  <a14:compatExt spid="_x0000_s58372"/>
                </a:ext>
                <a:ext uri="{FF2B5EF4-FFF2-40B4-BE49-F238E27FC236}">
                  <a16:creationId xmlns:a16="http://schemas.microsoft.com/office/drawing/2014/main" id="{00000000-0008-0000-0B00-000004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97</xdr:row>
          <xdr:rowOff>0</xdr:rowOff>
        </xdr:from>
        <xdr:to>
          <xdr:col>7</xdr:col>
          <xdr:colOff>0</xdr:colOff>
          <xdr:row>98</xdr:row>
          <xdr:rowOff>0</xdr:rowOff>
        </xdr:to>
        <xdr:sp macro="" textlink="">
          <xdr:nvSpPr>
            <xdr:cNvPr id="58373" name="Drop Down 5" hidden="1">
              <a:extLst>
                <a:ext uri="{63B3BB69-23CF-44E3-9099-C40C66FF867C}">
                  <a14:compatExt spid="_x0000_s58373"/>
                </a:ext>
                <a:ext uri="{FF2B5EF4-FFF2-40B4-BE49-F238E27FC236}">
                  <a16:creationId xmlns:a16="http://schemas.microsoft.com/office/drawing/2014/main" id="{00000000-0008-0000-0B00-000005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65</xdr:row>
          <xdr:rowOff>66675</xdr:rowOff>
        </xdr:from>
        <xdr:to>
          <xdr:col>7</xdr:col>
          <xdr:colOff>0</xdr:colOff>
          <xdr:row>65</xdr:row>
          <xdr:rowOff>304800</xdr:rowOff>
        </xdr:to>
        <xdr:sp macro="" textlink="">
          <xdr:nvSpPr>
            <xdr:cNvPr id="58374" name="Drop Down 6" hidden="1">
              <a:extLst>
                <a:ext uri="{63B3BB69-23CF-44E3-9099-C40C66FF867C}">
                  <a14:compatExt spid="_x0000_s58374"/>
                </a:ext>
                <a:ext uri="{FF2B5EF4-FFF2-40B4-BE49-F238E27FC236}">
                  <a16:creationId xmlns:a16="http://schemas.microsoft.com/office/drawing/2014/main" id="{00000000-0008-0000-0B00-000006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60</xdr:row>
          <xdr:rowOff>66675</xdr:rowOff>
        </xdr:from>
        <xdr:to>
          <xdr:col>7</xdr:col>
          <xdr:colOff>0</xdr:colOff>
          <xdr:row>60</xdr:row>
          <xdr:rowOff>314325</xdr:rowOff>
        </xdr:to>
        <xdr:sp macro="" textlink="">
          <xdr:nvSpPr>
            <xdr:cNvPr id="58375" name="Drop Down 7" hidden="1">
              <a:extLst>
                <a:ext uri="{63B3BB69-23CF-44E3-9099-C40C66FF867C}">
                  <a14:compatExt spid="_x0000_s58375"/>
                </a:ext>
                <a:ext uri="{FF2B5EF4-FFF2-40B4-BE49-F238E27FC236}">
                  <a16:creationId xmlns:a16="http://schemas.microsoft.com/office/drawing/2014/main" id="{00000000-0008-0000-0B00-000007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314325</xdr:rowOff>
        </xdr:from>
        <xdr:to>
          <xdr:col>7</xdr:col>
          <xdr:colOff>0</xdr:colOff>
          <xdr:row>9</xdr:row>
          <xdr:rowOff>0</xdr:rowOff>
        </xdr:to>
        <xdr:sp macro="" textlink="">
          <xdr:nvSpPr>
            <xdr:cNvPr id="58376" name="Drop Down 8" hidden="1">
              <a:extLst>
                <a:ext uri="{63B3BB69-23CF-44E3-9099-C40C66FF867C}">
                  <a14:compatExt spid="_x0000_s58376"/>
                </a:ext>
                <a:ext uri="{FF2B5EF4-FFF2-40B4-BE49-F238E27FC236}">
                  <a16:creationId xmlns:a16="http://schemas.microsoft.com/office/drawing/2014/main" id="{00000000-0008-0000-0B00-000008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0</xdr:rowOff>
        </xdr:from>
        <xdr:to>
          <xdr:col>7</xdr:col>
          <xdr:colOff>0</xdr:colOff>
          <xdr:row>10</xdr:row>
          <xdr:rowOff>0</xdr:rowOff>
        </xdr:to>
        <xdr:sp macro="" textlink="">
          <xdr:nvSpPr>
            <xdr:cNvPr id="58377" name="Drop Down 9" hidden="1">
              <a:extLst>
                <a:ext uri="{63B3BB69-23CF-44E3-9099-C40C66FF867C}">
                  <a14:compatExt spid="_x0000_s58377"/>
                </a:ext>
                <a:ext uri="{FF2B5EF4-FFF2-40B4-BE49-F238E27FC236}">
                  <a16:creationId xmlns:a16="http://schemas.microsoft.com/office/drawing/2014/main" id="{00000000-0008-0000-0B00-000009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xdr:row>
          <xdr:rowOff>0</xdr:rowOff>
        </xdr:from>
        <xdr:to>
          <xdr:col>7</xdr:col>
          <xdr:colOff>0</xdr:colOff>
          <xdr:row>19</xdr:row>
          <xdr:rowOff>0</xdr:rowOff>
        </xdr:to>
        <xdr:sp macro="" textlink="">
          <xdr:nvSpPr>
            <xdr:cNvPr id="58378" name="Drop Down 10" hidden="1">
              <a:extLst>
                <a:ext uri="{63B3BB69-23CF-44E3-9099-C40C66FF867C}">
                  <a14:compatExt spid="_x0000_s58378"/>
                </a:ext>
                <a:ext uri="{FF2B5EF4-FFF2-40B4-BE49-F238E27FC236}">
                  <a16:creationId xmlns:a16="http://schemas.microsoft.com/office/drawing/2014/main" id="{00000000-0008-0000-0B00-00000A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257175</xdr:rowOff>
        </xdr:from>
        <xdr:to>
          <xdr:col>7</xdr:col>
          <xdr:colOff>0</xdr:colOff>
          <xdr:row>28</xdr:row>
          <xdr:rowOff>0</xdr:rowOff>
        </xdr:to>
        <xdr:sp macro="" textlink="">
          <xdr:nvSpPr>
            <xdr:cNvPr id="58379" name="Drop Down 11" hidden="1">
              <a:extLst>
                <a:ext uri="{63B3BB69-23CF-44E3-9099-C40C66FF867C}">
                  <a14:compatExt spid="_x0000_s58379"/>
                </a:ext>
                <a:ext uri="{FF2B5EF4-FFF2-40B4-BE49-F238E27FC236}">
                  <a16:creationId xmlns:a16="http://schemas.microsoft.com/office/drawing/2014/main" id="{00000000-0008-0000-0B00-00000B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xdr:row>
          <xdr:rowOff>257175</xdr:rowOff>
        </xdr:from>
        <xdr:to>
          <xdr:col>7</xdr:col>
          <xdr:colOff>0</xdr:colOff>
          <xdr:row>28</xdr:row>
          <xdr:rowOff>0</xdr:rowOff>
        </xdr:to>
        <xdr:sp macro="" textlink="">
          <xdr:nvSpPr>
            <xdr:cNvPr id="58380" name="Drop Down 12" hidden="1">
              <a:extLst>
                <a:ext uri="{63B3BB69-23CF-44E3-9099-C40C66FF867C}">
                  <a14:compatExt spid="_x0000_s58380"/>
                </a:ext>
                <a:ext uri="{FF2B5EF4-FFF2-40B4-BE49-F238E27FC236}">
                  <a16:creationId xmlns:a16="http://schemas.microsoft.com/office/drawing/2014/main" id="{00000000-0008-0000-0B00-00000C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29</xdr:row>
          <xdr:rowOff>66675</xdr:rowOff>
        </xdr:from>
        <xdr:to>
          <xdr:col>7</xdr:col>
          <xdr:colOff>0</xdr:colOff>
          <xdr:row>29</xdr:row>
          <xdr:rowOff>314325</xdr:rowOff>
        </xdr:to>
        <xdr:sp macro="" textlink="">
          <xdr:nvSpPr>
            <xdr:cNvPr id="58381" name="Drop Down 13" hidden="1">
              <a:extLst>
                <a:ext uri="{63B3BB69-23CF-44E3-9099-C40C66FF867C}">
                  <a14:compatExt spid="_x0000_s58381"/>
                </a:ext>
                <a:ext uri="{FF2B5EF4-FFF2-40B4-BE49-F238E27FC236}">
                  <a16:creationId xmlns:a16="http://schemas.microsoft.com/office/drawing/2014/main" id="{00000000-0008-0000-0B00-00000D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7</xdr:col>
          <xdr:colOff>0</xdr:colOff>
          <xdr:row>34</xdr:row>
          <xdr:rowOff>0</xdr:rowOff>
        </xdr:to>
        <xdr:sp macro="" textlink="">
          <xdr:nvSpPr>
            <xdr:cNvPr id="58382" name="Drop Down 14" hidden="1">
              <a:extLst>
                <a:ext uri="{63B3BB69-23CF-44E3-9099-C40C66FF867C}">
                  <a14:compatExt spid="_x0000_s58382"/>
                </a:ext>
                <a:ext uri="{FF2B5EF4-FFF2-40B4-BE49-F238E27FC236}">
                  <a16:creationId xmlns:a16="http://schemas.microsoft.com/office/drawing/2014/main" id="{00000000-0008-0000-0B00-00000E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0</xdr:rowOff>
        </xdr:from>
        <xdr:to>
          <xdr:col>7</xdr:col>
          <xdr:colOff>0</xdr:colOff>
          <xdr:row>43</xdr:row>
          <xdr:rowOff>0</xdr:rowOff>
        </xdr:to>
        <xdr:sp macro="" textlink="">
          <xdr:nvSpPr>
            <xdr:cNvPr id="58383" name="Drop Down 15" hidden="1">
              <a:extLst>
                <a:ext uri="{63B3BB69-23CF-44E3-9099-C40C66FF867C}">
                  <a14:compatExt spid="_x0000_s58383"/>
                </a:ext>
                <a:ext uri="{FF2B5EF4-FFF2-40B4-BE49-F238E27FC236}">
                  <a16:creationId xmlns:a16="http://schemas.microsoft.com/office/drawing/2014/main" id="{00000000-0008-0000-0B00-00000F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7</xdr:col>
          <xdr:colOff>0</xdr:colOff>
          <xdr:row>47</xdr:row>
          <xdr:rowOff>0</xdr:rowOff>
        </xdr:to>
        <xdr:sp macro="" textlink="">
          <xdr:nvSpPr>
            <xdr:cNvPr id="58384" name="Drop Down 16" hidden="1">
              <a:extLst>
                <a:ext uri="{63B3BB69-23CF-44E3-9099-C40C66FF867C}">
                  <a14:compatExt spid="_x0000_s58384"/>
                </a:ext>
                <a:ext uri="{FF2B5EF4-FFF2-40B4-BE49-F238E27FC236}">
                  <a16:creationId xmlns:a16="http://schemas.microsoft.com/office/drawing/2014/main" id="{00000000-0008-0000-0B00-000010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49</xdr:row>
          <xdr:rowOff>0</xdr:rowOff>
        </xdr:from>
        <xdr:to>
          <xdr:col>7</xdr:col>
          <xdr:colOff>0</xdr:colOff>
          <xdr:row>50</xdr:row>
          <xdr:rowOff>0</xdr:rowOff>
        </xdr:to>
        <xdr:sp macro="" textlink="">
          <xdr:nvSpPr>
            <xdr:cNvPr id="58385" name="Drop Down 17" hidden="1">
              <a:extLst>
                <a:ext uri="{63B3BB69-23CF-44E3-9099-C40C66FF867C}">
                  <a14:compatExt spid="_x0000_s58385"/>
                </a:ext>
                <a:ext uri="{FF2B5EF4-FFF2-40B4-BE49-F238E27FC236}">
                  <a16:creationId xmlns:a16="http://schemas.microsoft.com/office/drawing/2014/main" id="{00000000-0008-0000-0B00-000011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52</xdr:row>
          <xdr:rowOff>66675</xdr:rowOff>
        </xdr:from>
        <xdr:to>
          <xdr:col>7</xdr:col>
          <xdr:colOff>0</xdr:colOff>
          <xdr:row>52</xdr:row>
          <xdr:rowOff>314325</xdr:rowOff>
        </xdr:to>
        <xdr:sp macro="" textlink="">
          <xdr:nvSpPr>
            <xdr:cNvPr id="58386" name="Drop Down 18" hidden="1">
              <a:extLst>
                <a:ext uri="{63B3BB69-23CF-44E3-9099-C40C66FF867C}">
                  <a14:compatExt spid="_x0000_s58386"/>
                </a:ext>
                <a:ext uri="{FF2B5EF4-FFF2-40B4-BE49-F238E27FC236}">
                  <a16:creationId xmlns:a16="http://schemas.microsoft.com/office/drawing/2014/main" id="{00000000-0008-0000-0B00-000012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55</xdr:row>
          <xdr:rowOff>0</xdr:rowOff>
        </xdr:from>
        <xdr:to>
          <xdr:col>7</xdr:col>
          <xdr:colOff>0</xdr:colOff>
          <xdr:row>59</xdr:row>
          <xdr:rowOff>0</xdr:rowOff>
        </xdr:to>
        <xdr:sp macro="" textlink="">
          <xdr:nvSpPr>
            <xdr:cNvPr id="58387" name="Drop Down 19" hidden="1">
              <a:extLst>
                <a:ext uri="{63B3BB69-23CF-44E3-9099-C40C66FF867C}">
                  <a14:compatExt spid="_x0000_s58387"/>
                </a:ext>
                <a:ext uri="{FF2B5EF4-FFF2-40B4-BE49-F238E27FC236}">
                  <a16:creationId xmlns:a16="http://schemas.microsoft.com/office/drawing/2014/main" id="{00000000-0008-0000-0B00-000013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61</xdr:row>
          <xdr:rowOff>0</xdr:rowOff>
        </xdr:from>
        <xdr:to>
          <xdr:col>7</xdr:col>
          <xdr:colOff>0</xdr:colOff>
          <xdr:row>62</xdr:row>
          <xdr:rowOff>0</xdr:rowOff>
        </xdr:to>
        <xdr:sp macro="" textlink="">
          <xdr:nvSpPr>
            <xdr:cNvPr id="58388" name="Drop Down 20" hidden="1">
              <a:extLst>
                <a:ext uri="{63B3BB69-23CF-44E3-9099-C40C66FF867C}">
                  <a14:compatExt spid="_x0000_s58388"/>
                </a:ext>
                <a:ext uri="{FF2B5EF4-FFF2-40B4-BE49-F238E27FC236}">
                  <a16:creationId xmlns:a16="http://schemas.microsoft.com/office/drawing/2014/main" id="{00000000-0008-0000-0B00-000014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62</xdr:row>
          <xdr:rowOff>0</xdr:rowOff>
        </xdr:from>
        <xdr:to>
          <xdr:col>4</xdr:col>
          <xdr:colOff>1752600</xdr:colOff>
          <xdr:row>63</xdr:row>
          <xdr:rowOff>0</xdr:rowOff>
        </xdr:to>
        <xdr:sp macro="" textlink="">
          <xdr:nvSpPr>
            <xdr:cNvPr id="58389" name="Drop Down 21" hidden="1">
              <a:extLst>
                <a:ext uri="{63B3BB69-23CF-44E3-9099-C40C66FF867C}">
                  <a14:compatExt spid="_x0000_s58389"/>
                </a:ext>
                <a:ext uri="{FF2B5EF4-FFF2-40B4-BE49-F238E27FC236}">
                  <a16:creationId xmlns:a16="http://schemas.microsoft.com/office/drawing/2014/main" id="{00000000-0008-0000-0B00-000015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1819275</xdr:colOff>
          <xdr:row>62</xdr:row>
          <xdr:rowOff>0</xdr:rowOff>
        </xdr:from>
        <xdr:to>
          <xdr:col>7</xdr:col>
          <xdr:colOff>0</xdr:colOff>
          <xdr:row>63</xdr:row>
          <xdr:rowOff>0</xdr:rowOff>
        </xdr:to>
        <xdr:sp macro="" textlink="">
          <xdr:nvSpPr>
            <xdr:cNvPr id="58390" name="Drop Down 22" hidden="1">
              <a:extLst>
                <a:ext uri="{63B3BB69-23CF-44E3-9099-C40C66FF867C}">
                  <a14:compatExt spid="_x0000_s58390"/>
                </a:ext>
                <a:ext uri="{FF2B5EF4-FFF2-40B4-BE49-F238E27FC236}">
                  <a16:creationId xmlns:a16="http://schemas.microsoft.com/office/drawing/2014/main" id="{00000000-0008-0000-0B00-000016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66</xdr:row>
          <xdr:rowOff>0</xdr:rowOff>
        </xdr:from>
        <xdr:to>
          <xdr:col>7</xdr:col>
          <xdr:colOff>0</xdr:colOff>
          <xdr:row>78</xdr:row>
          <xdr:rowOff>0</xdr:rowOff>
        </xdr:to>
        <xdr:sp macro="" textlink="">
          <xdr:nvSpPr>
            <xdr:cNvPr id="58391" name="Drop Down 23" hidden="1">
              <a:extLst>
                <a:ext uri="{63B3BB69-23CF-44E3-9099-C40C66FF867C}">
                  <a14:compatExt spid="_x0000_s58391"/>
                </a:ext>
                <a:ext uri="{FF2B5EF4-FFF2-40B4-BE49-F238E27FC236}">
                  <a16:creationId xmlns:a16="http://schemas.microsoft.com/office/drawing/2014/main" id="{00000000-0008-0000-0B00-000017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69</xdr:row>
          <xdr:rowOff>0</xdr:rowOff>
        </xdr:from>
        <xdr:to>
          <xdr:col>7</xdr:col>
          <xdr:colOff>0</xdr:colOff>
          <xdr:row>78</xdr:row>
          <xdr:rowOff>0</xdr:rowOff>
        </xdr:to>
        <xdr:sp macro="" textlink="">
          <xdr:nvSpPr>
            <xdr:cNvPr id="58392" name="Drop Down 24" hidden="1">
              <a:extLst>
                <a:ext uri="{63B3BB69-23CF-44E3-9099-C40C66FF867C}">
                  <a14:compatExt spid="_x0000_s58392"/>
                </a:ext>
                <a:ext uri="{FF2B5EF4-FFF2-40B4-BE49-F238E27FC236}">
                  <a16:creationId xmlns:a16="http://schemas.microsoft.com/office/drawing/2014/main" id="{00000000-0008-0000-0B00-000018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71</xdr:row>
          <xdr:rowOff>257175</xdr:rowOff>
        </xdr:from>
        <xdr:to>
          <xdr:col>7</xdr:col>
          <xdr:colOff>0</xdr:colOff>
          <xdr:row>78</xdr:row>
          <xdr:rowOff>0</xdr:rowOff>
        </xdr:to>
        <xdr:sp macro="" textlink="">
          <xdr:nvSpPr>
            <xdr:cNvPr id="58393" name="Drop Down 25" hidden="1">
              <a:extLst>
                <a:ext uri="{63B3BB69-23CF-44E3-9099-C40C66FF867C}">
                  <a14:compatExt spid="_x0000_s58393"/>
                </a:ext>
                <a:ext uri="{FF2B5EF4-FFF2-40B4-BE49-F238E27FC236}">
                  <a16:creationId xmlns:a16="http://schemas.microsoft.com/office/drawing/2014/main" id="{00000000-0008-0000-0B00-000019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73</xdr:row>
          <xdr:rowOff>0</xdr:rowOff>
        </xdr:from>
        <xdr:to>
          <xdr:col>7</xdr:col>
          <xdr:colOff>0</xdr:colOff>
          <xdr:row>78</xdr:row>
          <xdr:rowOff>0</xdr:rowOff>
        </xdr:to>
        <xdr:sp macro="" textlink="">
          <xdr:nvSpPr>
            <xdr:cNvPr id="58394" name="Drop Down 26" hidden="1">
              <a:extLst>
                <a:ext uri="{63B3BB69-23CF-44E3-9099-C40C66FF867C}">
                  <a14:compatExt spid="_x0000_s58394"/>
                </a:ext>
                <a:ext uri="{FF2B5EF4-FFF2-40B4-BE49-F238E27FC236}">
                  <a16:creationId xmlns:a16="http://schemas.microsoft.com/office/drawing/2014/main" id="{00000000-0008-0000-0B00-00001A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79</xdr:row>
          <xdr:rowOff>0</xdr:rowOff>
        </xdr:from>
        <xdr:to>
          <xdr:col>7</xdr:col>
          <xdr:colOff>0</xdr:colOff>
          <xdr:row>80</xdr:row>
          <xdr:rowOff>0</xdr:rowOff>
        </xdr:to>
        <xdr:sp macro="" textlink="">
          <xdr:nvSpPr>
            <xdr:cNvPr id="58395" name="Drop Down 27" hidden="1">
              <a:extLst>
                <a:ext uri="{63B3BB69-23CF-44E3-9099-C40C66FF867C}">
                  <a14:compatExt spid="_x0000_s58395"/>
                </a:ext>
                <a:ext uri="{FF2B5EF4-FFF2-40B4-BE49-F238E27FC236}">
                  <a16:creationId xmlns:a16="http://schemas.microsoft.com/office/drawing/2014/main" id="{00000000-0008-0000-0B00-00001B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81</xdr:row>
          <xdr:rowOff>257175</xdr:rowOff>
        </xdr:from>
        <xdr:to>
          <xdr:col>7</xdr:col>
          <xdr:colOff>0</xdr:colOff>
          <xdr:row>86</xdr:row>
          <xdr:rowOff>0</xdr:rowOff>
        </xdr:to>
        <xdr:sp macro="" textlink="">
          <xdr:nvSpPr>
            <xdr:cNvPr id="58396" name="Drop Down 28" hidden="1">
              <a:extLst>
                <a:ext uri="{63B3BB69-23CF-44E3-9099-C40C66FF867C}">
                  <a14:compatExt spid="_x0000_s58396"/>
                </a:ext>
                <a:ext uri="{FF2B5EF4-FFF2-40B4-BE49-F238E27FC236}">
                  <a16:creationId xmlns:a16="http://schemas.microsoft.com/office/drawing/2014/main" id="{00000000-0008-0000-0B00-00001C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83</xdr:row>
          <xdr:rowOff>257175</xdr:rowOff>
        </xdr:from>
        <xdr:to>
          <xdr:col>7</xdr:col>
          <xdr:colOff>0</xdr:colOff>
          <xdr:row>86</xdr:row>
          <xdr:rowOff>0</xdr:rowOff>
        </xdr:to>
        <xdr:sp macro="" textlink="">
          <xdr:nvSpPr>
            <xdr:cNvPr id="58397" name="Drop Down 29" hidden="1">
              <a:extLst>
                <a:ext uri="{63B3BB69-23CF-44E3-9099-C40C66FF867C}">
                  <a14:compatExt spid="_x0000_s58397"/>
                </a:ext>
                <a:ext uri="{FF2B5EF4-FFF2-40B4-BE49-F238E27FC236}">
                  <a16:creationId xmlns:a16="http://schemas.microsoft.com/office/drawing/2014/main" id="{00000000-0008-0000-0B00-00001D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xdr:row>
          <xdr:rowOff>0</xdr:rowOff>
        </xdr:from>
        <xdr:to>
          <xdr:col>7</xdr:col>
          <xdr:colOff>0</xdr:colOff>
          <xdr:row>6</xdr:row>
          <xdr:rowOff>0</xdr:rowOff>
        </xdr:to>
        <xdr:sp macro="" textlink="">
          <xdr:nvSpPr>
            <xdr:cNvPr id="58398" name="Drop Down 30" hidden="1">
              <a:extLst>
                <a:ext uri="{63B3BB69-23CF-44E3-9099-C40C66FF867C}">
                  <a14:compatExt spid="_x0000_s58398"/>
                </a:ext>
                <a:ext uri="{FF2B5EF4-FFF2-40B4-BE49-F238E27FC236}">
                  <a16:creationId xmlns:a16="http://schemas.microsoft.com/office/drawing/2014/main" id="{00000000-0008-0000-0B00-00001E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62</xdr:row>
          <xdr:rowOff>0</xdr:rowOff>
        </xdr:from>
        <xdr:to>
          <xdr:col>4</xdr:col>
          <xdr:colOff>1752600</xdr:colOff>
          <xdr:row>63</xdr:row>
          <xdr:rowOff>0</xdr:rowOff>
        </xdr:to>
        <xdr:sp macro="" textlink="">
          <xdr:nvSpPr>
            <xdr:cNvPr id="58399" name="Drop Down 31" hidden="1">
              <a:extLst>
                <a:ext uri="{63B3BB69-23CF-44E3-9099-C40C66FF867C}">
                  <a14:compatExt spid="_x0000_s58399"/>
                </a:ext>
                <a:ext uri="{FF2B5EF4-FFF2-40B4-BE49-F238E27FC236}">
                  <a16:creationId xmlns:a16="http://schemas.microsoft.com/office/drawing/2014/main" id="{00000000-0008-0000-0B00-00001F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1819275</xdr:colOff>
          <xdr:row>62</xdr:row>
          <xdr:rowOff>0</xdr:rowOff>
        </xdr:from>
        <xdr:to>
          <xdr:col>7</xdr:col>
          <xdr:colOff>0</xdr:colOff>
          <xdr:row>63</xdr:row>
          <xdr:rowOff>0</xdr:rowOff>
        </xdr:to>
        <xdr:sp macro="" textlink="">
          <xdr:nvSpPr>
            <xdr:cNvPr id="58400" name="Drop Down 32" hidden="1">
              <a:extLst>
                <a:ext uri="{63B3BB69-23CF-44E3-9099-C40C66FF867C}">
                  <a14:compatExt spid="_x0000_s58400"/>
                </a:ext>
                <a:ext uri="{FF2B5EF4-FFF2-40B4-BE49-F238E27FC236}">
                  <a16:creationId xmlns:a16="http://schemas.microsoft.com/office/drawing/2014/main" id="{00000000-0008-0000-0B00-000020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xdr:row>
          <xdr:rowOff>0</xdr:rowOff>
        </xdr:from>
        <xdr:to>
          <xdr:col>7</xdr:col>
          <xdr:colOff>0</xdr:colOff>
          <xdr:row>15</xdr:row>
          <xdr:rowOff>0</xdr:rowOff>
        </xdr:to>
        <xdr:sp macro="" textlink="">
          <xdr:nvSpPr>
            <xdr:cNvPr id="58401" name="Drop Down 33" hidden="1">
              <a:extLst>
                <a:ext uri="{63B3BB69-23CF-44E3-9099-C40C66FF867C}">
                  <a14:compatExt spid="_x0000_s58401"/>
                </a:ext>
                <a:ext uri="{FF2B5EF4-FFF2-40B4-BE49-F238E27FC236}">
                  <a16:creationId xmlns:a16="http://schemas.microsoft.com/office/drawing/2014/main" id="{00000000-0008-0000-0B00-000021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xdr:row>
          <xdr:rowOff>0</xdr:rowOff>
        </xdr:from>
        <xdr:to>
          <xdr:col>7</xdr:col>
          <xdr:colOff>0</xdr:colOff>
          <xdr:row>17</xdr:row>
          <xdr:rowOff>0</xdr:rowOff>
        </xdr:to>
        <xdr:sp macro="" textlink="">
          <xdr:nvSpPr>
            <xdr:cNvPr id="58402" name="Drop Down 34" hidden="1">
              <a:extLst>
                <a:ext uri="{63B3BB69-23CF-44E3-9099-C40C66FF867C}">
                  <a14:compatExt spid="_x0000_s58402"/>
                </a:ext>
                <a:ext uri="{FF2B5EF4-FFF2-40B4-BE49-F238E27FC236}">
                  <a16:creationId xmlns:a16="http://schemas.microsoft.com/office/drawing/2014/main" id="{00000000-0008-0000-0B00-000022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25</xdr:row>
          <xdr:rowOff>0</xdr:rowOff>
        </xdr:from>
        <xdr:to>
          <xdr:col>7</xdr:col>
          <xdr:colOff>9525</xdr:colOff>
          <xdr:row>28</xdr:row>
          <xdr:rowOff>0</xdr:rowOff>
        </xdr:to>
        <xdr:sp macro="" textlink="">
          <xdr:nvSpPr>
            <xdr:cNvPr id="58403" name="Drop Down 35" hidden="1">
              <a:extLst>
                <a:ext uri="{63B3BB69-23CF-44E3-9099-C40C66FF867C}">
                  <a14:compatExt spid="_x0000_s58403"/>
                </a:ext>
                <a:ext uri="{FF2B5EF4-FFF2-40B4-BE49-F238E27FC236}">
                  <a16:creationId xmlns:a16="http://schemas.microsoft.com/office/drawing/2014/main" id="{00000000-0008-0000-0B00-000023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xdr:row>
          <xdr:rowOff>0</xdr:rowOff>
        </xdr:from>
        <xdr:to>
          <xdr:col>7</xdr:col>
          <xdr:colOff>0</xdr:colOff>
          <xdr:row>17</xdr:row>
          <xdr:rowOff>0</xdr:rowOff>
        </xdr:to>
        <xdr:sp macro="" textlink="">
          <xdr:nvSpPr>
            <xdr:cNvPr id="58404" name="Drop Down 36" hidden="1">
              <a:extLst>
                <a:ext uri="{63B3BB69-23CF-44E3-9099-C40C66FF867C}">
                  <a14:compatExt spid="_x0000_s58404"/>
                </a:ext>
                <a:ext uri="{FF2B5EF4-FFF2-40B4-BE49-F238E27FC236}">
                  <a16:creationId xmlns:a16="http://schemas.microsoft.com/office/drawing/2014/main" id="{00000000-0008-0000-0B00-000024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2905125</xdr:colOff>
          <xdr:row>25</xdr:row>
          <xdr:rowOff>0</xdr:rowOff>
        </xdr:from>
        <xdr:to>
          <xdr:col>7</xdr:col>
          <xdr:colOff>0</xdr:colOff>
          <xdr:row>28</xdr:row>
          <xdr:rowOff>0</xdr:rowOff>
        </xdr:to>
        <xdr:sp macro="" textlink="">
          <xdr:nvSpPr>
            <xdr:cNvPr id="58405" name="Drop Down 37" hidden="1">
              <a:extLst>
                <a:ext uri="{63B3BB69-23CF-44E3-9099-C40C66FF867C}">
                  <a14:compatExt spid="_x0000_s58405"/>
                </a:ext>
                <a:ext uri="{FF2B5EF4-FFF2-40B4-BE49-F238E27FC236}">
                  <a16:creationId xmlns:a16="http://schemas.microsoft.com/office/drawing/2014/main" id="{00000000-0008-0000-0B00-000025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161925</xdr:colOff>
          <xdr:row>87</xdr:row>
          <xdr:rowOff>0</xdr:rowOff>
        </xdr:from>
        <xdr:to>
          <xdr:col>7</xdr:col>
          <xdr:colOff>0</xdr:colOff>
          <xdr:row>88</xdr:row>
          <xdr:rowOff>0</xdr:rowOff>
        </xdr:to>
        <xdr:sp macro="" textlink="">
          <xdr:nvSpPr>
            <xdr:cNvPr id="59393" name="Drop Down 1" hidden="1">
              <a:extLst>
                <a:ext uri="{63B3BB69-23CF-44E3-9099-C40C66FF867C}">
                  <a14:compatExt spid="_x0000_s59393"/>
                </a:ext>
                <a:ext uri="{FF2B5EF4-FFF2-40B4-BE49-F238E27FC236}">
                  <a16:creationId xmlns:a16="http://schemas.microsoft.com/office/drawing/2014/main" id="{00000000-0008-0000-0C00-000001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88</xdr:row>
          <xdr:rowOff>0</xdr:rowOff>
        </xdr:from>
        <xdr:to>
          <xdr:col>7</xdr:col>
          <xdr:colOff>0</xdr:colOff>
          <xdr:row>89</xdr:row>
          <xdr:rowOff>0</xdr:rowOff>
        </xdr:to>
        <xdr:sp macro="" textlink="">
          <xdr:nvSpPr>
            <xdr:cNvPr id="59394" name="Drop Down 2" hidden="1">
              <a:extLst>
                <a:ext uri="{63B3BB69-23CF-44E3-9099-C40C66FF867C}">
                  <a14:compatExt spid="_x0000_s59394"/>
                </a:ext>
                <a:ext uri="{FF2B5EF4-FFF2-40B4-BE49-F238E27FC236}">
                  <a16:creationId xmlns:a16="http://schemas.microsoft.com/office/drawing/2014/main" id="{00000000-0008-0000-0C00-000002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91</xdr:row>
          <xdr:rowOff>0</xdr:rowOff>
        </xdr:from>
        <xdr:to>
          <xdr:col>7</xdr:col>
          <xdr:colOff>0</xdr:colOff>
          <xdr:row>92</xdr:row>
          <xdr:rowOff>0</xdr:rowOff>
        </xdr:to>
        <xdr:sp macro="" textlink="">
          <xdr:nvSpPr>
            <xdr:cNvPr id="59395" name="Drop Down 3" hidden="1">
              <a:extLst>
                <a:ext uri="{63B3BB69-23CF-44E3-9099-C40C66FF867C}">
                  <a14:compatExt spid="_x0000_s59395"/>
                </a:ext>
                <a:ext uri="{FF2B5EF4-FFF2-40B4-BE49-F238E27FC236}">
                  <a16:creationId xmlns:a16="http://schemas.microsoft.com/office/drawing/2014/main" id="{00000000-0008-0000-0C00-000003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94</xdr:row>
          <xdr:rowOff>0</xdr:rowOff>
        </xdr:from>
        <xdr:to>
          <xdr:col>7</xdr:col>
          <xdr:colOff>0</xdr:colOff>
          <xdr:row>95</xdr:row>
          <xdr:rowOff>0</xdr:rowOff>
        </xdr:to>
        <xdr:sp macro="" textlink="">
          <xdr:nvSpPr>
            <xdr:cNvPr id="59396" name="Drop Down 4" hidden="1">
              <a:extLst>
                <a:ext uri="{63B3BB69-23CF-44E3-9099-C40C66FF867C}">
                  <a14:compatExt spid="_x0000_s59396"/>
                </a:ext>
                <a:ext uri="{FF2B5EF4-FFF2-40B4-BE49-F238E27FC236}">
                  <a16:creationId xmlns:a16="http://schemas.microsoft.com/office/drawing/2014/main" id="{00000000-0008-0000-0C00-000004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97</xdr:row>
          <xdr:rowOff>0</xdr:rowOff>
        </xdr:from>
        <xdr:to>
          <xdr:col>7</xdr:col>
          <xdr:colOff>0</xdr:colOff>
          <xdr:row>98</xdr:row>
          <xdr:rowOff>0</xdr:rowOff>
        </xdr:to>
        <xdr:sp macro="" textlink="">
          <xdr:nvSpPr>
            <xdr:cNvPr id="59397" name="Drop Down 5" hidden="1">
              <a:extLst>
                <a:ext uri="{63B3BB69-23CF-44E3-9099-C40C66FF867C}">
                  <a14:compatExt spid="_x0000_s59397"/>
                </a:ext>
                <a:ext uri="{FF2B5EF4-FFF2-40B4-BE49-F238E27FC236}">
                  <a16:creationId xmlns:a16="http://schemas.microsoft.com/office/drawing/2014/main" id="{00000000-0008-0000-0C00-000005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65</xdr:row>
          <xdr:rowOff>47625</xdr:rowOff>
        </xdr:from>
        <xdr:to>
          <xdr:col>7</xdr:col>
          <xdr:colOff>0</xdr:colOff>
          <xdr:row>65</xdr:row>
          <xdr:rowOff>295275</xdr:rowOff>
        </xdr:to>
        <xdr:sp macro="" textlink="">
          <xdr:nvSpPr>
            <xdr:cNvPr id="59398" name="Drop Down 6" hidden="1">
              <a:extLst>
                <a:ext uri="{63B3BB69-23CF-44E3-9099-C40C66FF867C}">
                  <a14:compatExt spid="_x0000_s59398"/>
                </a:ext>
                <a:ext uri="{FF2B5EF4-FFF2-40B4-BE49-F238E27FC236}">
                  <a16:creationId xmlns:a16="http://schemas.microsoft.com/office/drawing/2014/main" id="{00000000-0008-0000-0C00-000006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60</xdr:row>
          <xdr:rowOff>66675</xdr:rowOff>
        </xdr:from>
        <xdr:to>
          <xdr:col>7</xdr:col>
          <xdr:colOff>0</xdr:colOff>
          <xdr:row>60</xdr:row>
          <xdr:rowOff>314325</xdr:rowOff>
        </xdr:to>
        <xdr:sp macro="" textlink="">
          <xdr:nvSpPr>
            <xdr:cNvPr id="59399" name="Drop Down 7" hidden="1">
              <a:extLst>
                <a:ext uri="{63B3BB69-23CF-44E3-9099-C40C66FF867C}">
                  <a14:compatExt spid="_x0000_s59399"/>
                </a:ext>
                <a:ext uri="{FF2B5EF4-FFF2-40B4-BE49-F238E27FC236}">
                  <a16:creationId xmlns:a16="http://schemas.microsoft.com/office/drawing/2014/main" id="{00000000-0008-0000-0C00-000007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314325</xdr:rowOff>
        </xdr:from>
        <xdr:to>
          <xdr:col>7</xdr:col>
          <xdr:colOff>0</xdr:colOff>
          <xdr:row>9</xdr:row>
          <xdr:rowOff>0</xdr:rowOff>
        </xdr:to>
        <xdr:sp macro="" textlink="">
          <xdr:nvSpPr>
            <xdr:cNvPr id="59400" name="Drop Down 8" hidden="1">
              <a:extLst>
                <a:ext uri="{63B3BB69-23CF-44E3-9099-C40C66FF867C}">
                  <a14:compatExt spid="_x0000_s59400"/>
                </a:ext>
                <a:ext uri="{FF2B5EF4-FFF2-40B4-BE49-F238E27FC236}">
                  <a16:creationId xmlns:a16="http://schemas.microsoft.com/office/drawing/2014/main" id="{00000000-0008-0000-0C00-000008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0</xdr:rowOff>
        </xdr:from>
        <xdr:to>
          <xdr:col>7</xdr:col>
          <xdr:colOff>0</xdr:colOff>
          <xdr:row>10</xdr:row>
          <xdr:rowOff>0</xdr:rowOff>
        </xdr:to>
        <xdr:sp macro="" textlink="">
          <xdr:nvSpPr>
            <xdr:cNvPr id="59401" name="Drop Down 9" hidden="1">
              <a:extLst>
                <a:ext uri="{63B3BB69-23CF-44E3-9099-C40C66FF867C}">
                  <a14:compatExt spid="_x0000_s59401"/>
                </a:ext>
                <a:ext uri="{FF2B5EF4-FFF2-40B4-BE49-F238E27FC236}">
                  <a16:creationId xmlns:a16="http://schemas.microsoft.com/office/drawing/2014/main" id="{00000000-0008-0000-0C00-000009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xdr:row>
          <xdr:rowOff>0</xdr:rowOff>
        </xdr:from>
        <xdr:to>
          <xdr:col>7</xdr:col>
          <xdr:colOff>0</xdr:colOff>
          <xdr:row>19</xdr:row>
          <xdr:rowOff>0</xdr:rowOff>
        </xdr:to>
        <xdr:sp macro="" textlink="">
          <xdr:nvSpPr>
            <xdr:cNvPr id="59402" name="Drop Down 10" hidden="1">
              <a:extLst>
                <a:ext uri="{63B3BB69-23CF-44E3-9099-C40C66FF867C}">
                  <a14:compatExt spid="_x0000_s59402"/>
                </a:ext>
                <a:ext uri="{FF2B5EF4-FFF2-40B4-BE49-F238E27FC236}">
                  <a16:creationId xmlns:a16="http://schemas.microsoft.com/office/drawing/2014/main" id="{00000000-0008-0000-0C00-00000A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257175</xdr:rowOff>
        </xdr:from>
        <xdr:to>
          <xdr:col>7</xdr:col>
          <xdr:colOff>0</xdr:colOff>
          <xdr:row>28</xdr:row>
          <xdr:rowOff>0</xdr:rowOff>
        </xdr:to>
        <xdr:sp macro="" textlink="">
          <xdr:nvSpPr>
            <xdr:cNvPr id="59403" name="Drop Down 11" hidden="1">
              <a:extLst>
                <a:ext uri="{63B3BB69-23CF-44E3-9099-C40C66FF867C}">
                  <a14:compatExt spid="_x0000_s59403"/>
                </a:ext>
                <a:ext uri="{FF2B5EF4-FFF2-40B4-BE49-F238E27FC236}">
                  <a16:creationId xmlns:a16="http://schemas.microsoft.com/office/drawing/2014/main" id="{00000000-0008-0000-0C00-00000B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xdr:row>
          <xdr:rowOff>257175</xdr:rowOff>
        </xdr:from>
        <xdr:to>
          <xdr:col>7</xdr:col>
          <xdr:colOff>0</xdr:colOff>
          <xdr:row>28</xdr:row>
          <xdr:rowOff>0</xdr:rowOff>
        </xdr:to>
        <xdr:sp macro="" textlink="">
          <xdr:nvSpPr>
            <xdr:cNvPr id="59404" name="Drop Down 12" hidden="1">
              <a:extLst>
                <a:ext uri="{63B3BB69-23CF-44E3-9099-C40C66FF867C}">
                  <a14:compatExt spid="_x0000_s59404"/>
                </a:ext>
                <a:ext uri="{FF2B5EF4-FFF2-40B4-BE49-F238E27FC236}">
                  <a16:creationId xmlns:a16="http://schemas.microsoft.com/office/drawing/2014/main" id="{00000000-0008-0000-0C00-00000C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29</xdr:row>
          <xdr:rowOff>66675</xdr:rowOff>
        </xdr:from>
        <xdr:to>
          <xdr:col>7</xdr:col>
          <xdr:colOff>0</xdr:colOff>
          <xdr:row>29</xdr:row>
          <xdr:rowOff>314325</xdr:rowOff>
        </xdr:to>
        <xdr:sp macro="" textlink="">
          <xdr:nvSpPr>
            <xdr:cNvPr id="59405" name="Drop Down 13" hidden="1">
              <a:extLst>
                <a:ext uri="{63B3BB69-23CF-44E3-9099-C40C66FF867C}">
                  <a14:compatExt spid="_x0000_s59405"/>
                </a:ext>
                <a:ext uri="{FF2B5EF4-FFF2-40B4-BE49-F238E27FC236}">
                  <a16:creationId xmlns:a16="http://schemas.microsoft.com/office/drawing/2014/main" id="{00000000-0008-0000-0C00-00000D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7</xdr:col>
          <xdr:colOff>0</xdr:colOff>
          <xdr:row>34</xdr:row>
          <xdr:rowOff>0</xdr:rowOff>
        </xdr:to>
        <xdr:sp macro="" textlink="">
          <xdr:nvSpPr>
            <xdr:cNvPr id="59406" name="Drop Down 14" hidden="1">
              <a:extLst>
                <a:ext uri="{63B3BB69-23CF-44E3-9099-C40C66FF867C}">
                  <a14:compatExt spid="_x0000_s59406"/>
                </a:ext>
                <a:ext uri="{FF2B5EF4-FFF2-40B4-BE49-F238E27FC236}">
                  <a16:creationId xmlns:a16="http://schemas.microsoft.com/office/drawing/2014/main" id="{00000000-0008-0000-0C00-00000E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0</xdr:rowOff>
        </xdr:from>
        <xdr:to>
          <xdr:col>7</xdr:col>
          <xdr:colOff>0</xdr:colOff>
          <xdr:row>43</xdr:row>
          <xdr:rowOff>0</xdr:rowOff>
        </xdr:to>
        <xdr:sp macro="" textlink="">
          <xdr:nvSpPr>
            <xdr:cNvPr id="59407" name="Drop Down 15" hidden="1">
              <a:extLst>
                <a:ext uri="{63B3BB69-23CF-44E3-9099-C40C66FF867C}">
                  <a14:compatExt spid="_x0000_s59407"/>
                </a:ext>
                <a:ext uri="{FF2B5EF4-FFF2-40B4-BE49-F238E27FC236}">
                  <a16:creationId xmlns:a16="http://schemas.microsoft.com/office/drawing/2014/main" id="{00000000-0008-0000-0C00-00000F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7</xdr:col>
          <xdr:colOff>0</xdr:colOff>
          <xdr:row>47</xdr:row>
          <xdr:rowOff>0</xdr:rowOff>
        </xdr:to>
        <xdr:sp macro="" textlink="">
          <xdr:nvSpPr>
            <xdr:cNvPr id="59408" name="Drop Down 16" hidden="1">
              <a:extLst>
                <a:ext uri="{63B3BB69-23CF-44E3-9099-C40C66FF867C}">
                  <a14:compatExt spid="_x0000_s59408"/>
                </a:ext>
                <a:ext uri="{FF2B5EF4-FFF2-40B4-BE49-F238E27FC236}">
                  <a16:creationId xmlns:a16="http://schemas.microsoft.com/office/drawing/2014/main" id="{00000000-0008-0000-0C00-000010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49</xdr:row>
          <xdr:rowOff>0</xdr:rowOff>
        </xdr:from>
        <xdr:to>
          <xdr:col>7</xdr:col>
          <xdr:colOff>0</xdr:colOff>
          <xdr:row>50</xdr:row>
          <xdr:rowOff>0</xdr:rowOff>
        </xdr:to>
        <xdr:sp macro="" textlink="">
          <xdr:nvSpPr>
            <xdr:cNvPr id="59409" name="Drop Down 17" hidden="1">
              <a:extLst>
                <a:ext uri="{63B3BB69-23CF-44E3-9099-C40C66FF867C}">
                  <a14:compatExt spid="_x0000_s59409"/>
                </a:ext>
                <a:ext uri="{FF2B5EF4-FFF2-40B4-BE49-F238E27FC236}">
                  <a16:creationId xmlns:a16="http://schemas.microsoft.com/office/drawing/2014/main" id="{00000000-0008-0000-0C00-000011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52</xdr:row>
          <xdr:rowOff>66675</xdr:rowOff>
        </xdr:from>
        <xdr:to>
          <xdr:col>7</xdr:col>
          <xdr:colOff>0</xdr:colOff>
          <xdr:row>52</xdr:row>
          <xdr:rowOff>314325</xdr:rowOff>
        </xdr:to>
        <xdr:sp macro="" textlink="">
          <xdr:nvSpPr>
            <xdr:cNvPr id="59410" name="Drop Down 18" hidden="1">
              <a:extLst>
                <a:ext uri="{63B3BB69-23CF-44E3-9099-C40C66FF867C}">
                  <a14:compatExt spid="_x0000_s59410"/>
                </a:ext>
                <a:ext uri="{FF2B5EF4-FFF2-40B4-BE49-F238E27FC236}">
                  <a16:creationId xmlns:a16="http://schemas.microsoft.com/office/drawing/2014/main" id="{00000000-0008-0000-0C00-000012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55</xdr:row>
          <xdr:rowOff>0</xdr:rowOff>
        </xdr:from>
        <xdr:to>
          <xdr:col>7</xdr:col>
          <xdr:colOff>0</xdr:colOff>
          <xdr:row>59</xdr:row>
          <xdr:rowOff>0</xdr:rowOff>
        </xdr:to>
        <xdr:sp macro="" textlink="">
          <xdr:nvSpPr>
            <xdr:cNvPr id="59411" name="Drop Down 19" hidden="1">
              <a:extLst>
                <a:ext uri="{63B3BB69-23CF-44E3-9099-C40C66FF867C}">
                  <a14:compatExt spid="_x0000_s59411"/>
                </a:ext>
                <a:ext uri="{FF2B5EF4-FFF2-40B4-BE49-F238E27FC236}">
                  <a16:creationId xmlns:a16="http://schemas.microsoft.com/office/drawing/2014/main" id="{00000000-0008-0000-0C00-000013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61</xdr:row>
          <xdr:rowOff>0</xdr:rowOff>
        </xdr:from>
        <xdr:to>
          <xdr:col>7</xdr:col>
          <xdr:colOff>0</xdr:colOff>
          <xdr:row>62</xdr:row>
          <xdr:rowOff>0</xdr:rowOff>
        </xdr:to>
        <xdr:sp macro="" textlink="">
          <xdr:nvSpPr>
            <xdr:cNvPr id="59412" name="Drop Down 20" hidden="1">
              <a:extLst>
                <a:ext uri="{63B3BB69-23CF-44E3-9099-C40C66FF867C}">
                  <a14:compatExt spid="_x0000_s59412"/>
                </a:ext>
                <a:ext uri="{FF2B5EF4-FFF2-40B4-BE49-F238E27FC236}">
                  <a16:creationId xmlns:a16="http://schemas.microsoft.com/office/drawing/2014/main" id="{00000000-0008-0000-0C00-000014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62</xdr:row>
          <xdr:rowOff>0</xdr:rowOff>
        </xdr:from>
        <xdr:to>
          <xdr:col>4</xdr:col>
          <xdr:colOff>1752600</xdr:colOff>
          <xdr:row>64</xdr:row>
          <xdr:rowOff>0</xdr:rowOff>
        </xdr:to>
        <xdr:sp macro="" textlink="">
          <xdr:nvSpPr>
            <xdr:cNvPr id="59413" name="Drop Down 21" hidden="1">
              <a:extLst>
                <a:ext uri="{63B3BB69-23CF-44E3-9099-C40C66FF867C}">
                  <a14:compatExt spid="_x0000_s59413"/>
                </a:ext>
                <a:ext uri="{FF2B5EF4-FFF2-40B4-BE49-F238E27FC236}">
                  <a16:creationId xmlns:a16="http://schemas.microsoft.com/office/drawing/2014/main" id="{00000000-0008-0000-0C00-000015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1819275</xdr:colOff>
          <xdr:row>62</xdr:row>
          <xdr:rowOff>0</xdr:rowOff>
        </xdr:from>
        <xdr:to>
          <xdr:col>7</xdr:col>
          <xdr:colOff>0</xdr:colOff>
          <xdr:row>64</xdr:row>
          <xdr:rowOff>0</xdr:rowOff>
        </xdr:to>
        <xdr:sp macro="" textlink="">
          <xdr:nvSpPr>
            <xdr:cNvPr id="59414" name="Drop Down 22" hidden="1">
              <a:extLst>
                <a:ext uri="{63B3BB69-23CF-44E3-9099-C40C66FF867C}">
                  <a14:compatExt spid="_x0000_s59414"/>
                </a:ext>
                <a:ext uri="{FF2B5EF4-FFF2-40B4-BE49-F238E27FC236}">
                  <a16:creationId xmlns:a16="http://schemas.microsoft.com/office/drawing/2014/main" id="{00000000-0008-0000-0C00-000016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66</xdr:row>
          <xdr:rowOff>0</xdr:rowOff>
        </xdr:from>
        <xdr:to>
          <xdr:col>7</xdr:col>
          <xdr:colOff>0</xdr:colOff>
          <xdr:row>78</xdr:row>
          <xdr:rowOff>0</xdr:rowOff>
        </xdr:to>
        <xdr:sp macro="" textlink="">
          <xdr:nvSpPr>
            <xdr:cNvPr id="59415" name="Drop Down 23" hidden="1">
              <a:extLst>
                <a:ext uri="{63B3BB69-23CF-44E3-9099-C40C66FF867C}">
                  <a14:compatExt spid="_x0000_s59415"/>
                </a:ext>
                <a:ext uri="{FF2B5EF4-FFF2-40B4-BE49-F238E27FC236}">
                  <a16:creationId xmlns:a16="http://schemas.microsoft.com/office/drawing/2014/main" id="{00000000-0008-0000-0C00-000017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69</xdr:row>
          <xdr:rowOff>0</xdr:rowOff>
        </xdr:from>
        <xdr:to>
          <xdr:col>7</xdr:col>
          <xdr:colOff>0</xdr:colOff>
          <xdr:row>78</xdr:row>
          <xdr:rowOff>0</xdr:rowOff>
        </xdr:to>
        <xdr:sp macro="" textlink="">
          <xdr:nvSpPr>
            <xdr:cNvPr id="59416" name="Drop Down 24" hidden="1">
              <a:extLst>
                <a:ext uri="{63B3BB69-23CF-44E3-9099-C40C66FF867C}">
                  <a14:compatExt spid="_x0000_s59416"/>
                </a:ext>
                <a:ext uri="{FF2B5EF4-FFF2-40B4-BE49-F238E27FC236}">
                  <a16:creationId xmlns:a16="http://schemas.microsoft.com/office/drawing/2014/main" id="{00000000-0008-0000-0C00-000018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71</xdr:row>
          <xdr:rowOff>257175</xdr:rowOff>
        </xdr:from>
        <xdr:to>
          <xdr:col>7</xdr:col>
          <xdr:colOff>0</xdr:colOff>
          <xdr:row>78</xdr:row>
          <xdr:rowOff>0</xdr:rowOff>
        </xdr:to>
        <xdr:sp macro="" textlink="">
          <xdr:nvSpPr>
            <xdr:cNvPr id="59417" name="Drop Down 25" hidden="1">
              <a:extLst>
                <a:ext uri="{63B3BB69-23CF-44E3-9099-C40C66FF867C}">
                  <a14:compatExt spid="_x0000_s59417"/>
                </a:ext>
                <a:ext uri="{FF2B5EF4-FFF2-40B4-BE49-F238E27FC236}">
                  <a16:creationId xmlns:a16="http://schemas.microsoft.com/office/drawing/2014/main" id="{00000000-0008-0000-0C00-000019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73</xdr:row>
          <xdr:rowOff>0</xdr:rowOff>
        </xdr:from>
        <xdr:to>
          <xdr:col>7</xdr:col>
          <xdr:colOff>0</xdr:colOff>
          <xdr:row>78</xdr:row>
          <xdr:rowOff>0</xdr:rowOff>
        </xdr:to>
        <xdr:sp macro="" textlink="">
          <xdr:nvSpPr>
            <xdr:cNvPr id="59418" name="Drop Down 26" hidden="1">
              <a:extLst>
                <a:ext uri="{63B3BB69-23CF-44E3-9099-C40C66FF867C}">
                  <a14:compatExt spid="_x0000_s59418"/>
                </a:ext>
                <a:ext uri="{FF2B5EF4-FFF2-40B4-BE49-F238E27FC236}">
                  <a16:creationId xmlns:a16="http://schemas.microsoft.com/office/drawing/2014/main" id="{00000000-0008-0000-0C00-00001A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79</xdr:row>
          <xdr:rowOff>0</xdr:rowOff>
        </xdr:from>
        <xdr:to>
          <xdr:col>7</xdr:col>
          <xdr:colOff>0</xdr:colOff>
          <xdr:row>80</xdr:row>
          <xdr:rowOff>0</xdr:rowOff>
        </xdr:to>
        <xdr:sp macro="" textlink="">
          <xdr:nvSpPr>
            <xdr:cNvPr id="59419" name="Drop Down 27" hidden="1">
              <a:extLst>
                <a:ext uri="{63B3BB69-23CF-44E3-9099-C40C66FF867C}">
                  <a14:compatExt spid="_x0000_s59419"/>
                </a:ext>
                <a:ext uri="{FF2B5EF4-FFF2-40B4-BE49-F238E27FC236}">
                  <a16:creationId xmlns:a16="http://schemas.microsoft.com/office/drawing/2014/main" id="{00000000-0008-0000-0C00-00001B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81</xdr:row>
          <xdr:rowOff>257175</xdr:rowOff>
        </xdr:from>
        <xdr:to>
          <xdr:col>7</xdr:col>
          <xdr:colOff>0</xdr:colOff>
          <xdr:row>86</xdr:row>
          <xdr:rowOff>0</xdr:rowOff>
        </xdr:to>
        <xdr:sp macro="" textlink="">
          <xdr:nvSpPr>
            <xdr:cNvPr id="59420" name="Drop Down 28" hidden="1">
              <a:extLst>
                <a:ext uri="{63B3BB69-23CF-44E3-9099-C40C66FF867C}">
                  <a14:compatExt spid="_x0000_s59420"/>
                </a:ext>
                <a:ext uri="{FF2B5EF4-FFF2-40B4-BE49-F238E27FC236}">
                  <a16:creationId xmlns:a16="http://schemas.microsoft.com/office/drawing/2014/main" id="{00000000-0008-0000-0C00-00001C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83</xdr:row>
          <xdr:rowOff>257175</xdr:rowOff>
        </xdr:from>
        <xdr:to>
          <xdr:col>7</xdr:col>
          <xdr:colOff>0</xdr:colOff>
          <xdr:row>86</xdr:row>
          <xdr:rowOff>0</xdr:rowOff>
        </xdr:to>
        <xdr:sp macro="" textlink="">
          <xdr:nvSpPr>
            <xdr:cNvPr id="59421" name="Drop Down 29" hidden="1">
              <a:extLst>
                <a:ext uri="{63B3BB69-23CF-44E3-9099-C40C66FF867C}">
                  <a14:compatExt spid="_x0000_s59421"/>
                </a:ext>
                <a:ext uri="{FF2B5EF4-FFF2-40B4-BE49-F238E27FC236}">
                  <a16:creationId xmlns:a16="http://schemas.microsoft.com/office/drawing/2014/main" id="{00000000-0008-0000-0C00-00001D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xdr:row>
          <xdr:rowOff>0</xdr:rowOff>
        </xdr:from>
        <xdr:to>
          <xdr:col>7</xdr:col>
          <xdr:colOff>0</xdr:colOff>
          <xdr:row>6</xdr:row>
          <xdr:rowOff>0</xdr:rowOff>
        </xdr:to>
        <xdr:sp macro="" textlink="">
          <xdr:nvSpPr>
            <xdr:cNvPr id="59422" name="Drop Down 30" hidden="1">
              <a:extLst>
                <a:ext uri="{63B3BB69-23CF-44E3-9099-C40C66FF867C}">
                  <a14:compatExt spid="_x0000_s59422"/>
                </a:ext>
                <a:ext uri="{FF2B5EF4-FFF2-40B4-BE49-F238E27FC236}">
                  <a16:creationId xmlns:a16="http://schemas.microsoft.com/office/drawing/2014/main" id="{00000000-0008-0000-0C00-00001E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xdr:row>
          <xdr:rowOff>0</xdr:rowOff>
        </xdr:from>
        <xdr:to>
          <xdr:col>7</xdr:col>
          <xdr:colOff>0</xdr:colOff>
          <xdr:row>15</xdr:row>
          <xdr:rowOff>0</xdr:rowOff>
        </xdr:to>
        <xdr:sp macro="" textlink="">
          <xdr:nvSpPr>
            <xdr:cNvPr id="59423" name="Drop Down 31" hidden="1">
              <a:extLst>
                <a:ext uri="{63B3BB69-23CF-44E3-9099-C40C66FF867C}">
                  <a14:compatExt spid="_x0000_s59423"/>
                </a:ext>
                <a:ext uri="{FF2B5EF4-FFF2-40B4-BE49-F238E27FC236}">
                  <a16:creationId xmlns:a16="http://schemas.microsoft.com/office/drawing/2014/main" id="{00000000-0008-0000-0C00-00001F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xdr:row>
          <xdr:rowOff>0</xdr:rowOff>
        </xdr:from>
        <xdr:to>
          <xdr:col>7</xdr:col>
          <xdr:colOff>0</xdr:colOff>
          <xdr:row>17</xdr:row>
          <xdr:rowOff>0</xdr:rowOff>
        </xdr:to>
        <xdr:sp macro="" textlink="">
          <xdr:nvSpPr>
            <xdr:cNvPr id="59424" name="Drop Down 32" hidden="1">
              <a:extLst>
                <a:ext uri="{63B3BB69-23CF-44E3-9099-C40C66FF867C}">
                  <a14:compatExt spid="_x0000_s59424"/>
                </a:ext>
                <a:ext uri="{FF2B5EF4-FFF2-40B4-BE49-F238E27FC236}">
                  <a16:creationId xmlns:a16="http://schemas.microsoft.com/office/drawing/2014/main" id="{00000000-0008-0000-0C00-000020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25</xdr:row>
          <xdr:rowOff>0</xdr:rowOff>
        </xdr:from>
        <xdr:to>
          <xdr:col>7</xdr:col>
          <xdr:colOff>9525</xdr:colOff>
          <xdr:row>28</xdr:row>
          <xdr:rowOff>0</xdr:rowOff>
        </xdr:to>
        <xdr:sp macro="" textlink="">
          <xdr:nvSpPr>
            <xdr:cNvPr id="59425" name="Drop Down 33" hidden="1">
              <a:extLst>
                <a:ext uri="{63B3BB69-23CF-44E3-9099-C40C66FF867C}">
                  <a14:compatExt spid="_x0000_s59425"/>
                </a:ext>
                <a:ext uri="{FF2B5EF4-FFF2-40B4-BE49-F238E27FC236}">
                  <a16:creationId xmlns:a16="http://schemas.microsoft.com/office/drawing/2014/main" id="{00000000-0008-0000-0C00-000021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xdr:row>
          <xdr:rowOff>0</xdr:rowOff>
        </xdr:from>
        <xdr:to>
          <xdr:col>7</xdr:col>
          <xdr:colOff>0</xdr:colOff>
          <xdr:row>17</xdr:row>
          <xdr:rowOff>0</xdr:rowOff>
        </xdr:to>
        <xdr:sp macro="" textlink="">
          <xdr:nvSpPr>
            <xdr:cNvPr id="59426" name="Drop Down 34" hidden="1">
              <a:extLst>
                <a:ext uri="{63B3BB69-23CF-44E3-9099-C40C66FF867C}">
                  <a14:compatExt spid="_x0000_s59426"/>
                </a:ext>
                <a:ext uri="{FF2B5EF4-FFF2-40B4-BE49-F238E27FC236}">
                  <a16:creationId xmlns:a16="http://schemas.microsoft.com/office/drawing/2014/main" id="{00000000-0008-0000-0C00-000022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7</xdr:col>
          <xdr:colOff>0</xdr:colOff>
          <xdr:row>28</xdr:row>
          <xdr:rowOff>0</xdr:rowOff>
        </xdr:to>
        <xdr:sp macro="" textlink="">
          <xdr:nvSpPr>
            <xdr:cNvPr id="59427" name="Drop Down 35" hidden="1">
              <a:extLst>
                <a:ext uri="{63B3BB69-23CF-44E3-9099-C40C66FF867C}">
                  <a14:compatExt spid="_x0000_s59427"/>
                </a:ext>
                <a:ext uri="{FF2B5EF4-FFF2-40B4-BE49-F238E27FC236}">
                  <a16:creationId xmlns:a16="http://schemas.microsoft.com/office/drawing/2014/main" id="{00000000-0008-0000-0C00-000023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6</xdr:row>
          <xdr:rowOff>0</xdr:rowOff>
        </xdr:from>
        <xdr:to>
          <xdr:col>7</xdr:col>
          <xdr:colOff>0</xdr:colOff>
          <xdr:row>7</xdr:row>
          <xdr:rowOff>0</xdr:rowOff>
        </xdr:to>
        <xdr:sp macro="" textlink="">
          <xdr:nvSpPr>
            <xdr:cNvPr id="10242" name="Drop Down 2" hidden="1">
              <a:extLst>
                <a:ext uri="{63B3BB69-23CF-44E3-9099-C40C66FF867C}">
                  <a14:compatExt spid="_x0000_s10242"/>
                </a:ext>
                <a:ext uri="{FF2B5EF4-FFF2-40B4-BE49-F238E27FC236}">
                  <a16:creationId xmlns:a16="http://schemas.microsoft.com/office/drawing/2014/main" id="{00000000-0008-0000-0D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0</xdr:rowOff>
        </xdr:from>
        <xdr:to>
          <xdr:col>7</xdr:col>
          <xdr:colOff>0</xdr:colOff>
          <xdr:row>10</xdr:row>
          <xdr:rowOff>0</xdr:rowOff>
        </xdr:to>
        <xdr:sp macro="" textlink="">
          <xdr:nvSpPr>
            <xdr:cNvPr id="10243" name="Drop Down 3" hidden="1">
              <a:extLst>
                <a:ext uri="{63B3BB69-23CF-44E3-9099-C40C66FF867C}">
                  <a14:compatExt spid="_x0000_s10243"/>
                </a:ext>
                <a:ext uri="{FF2B5EF4-FFF2-40B4-BE49-F238E27FC236}">
                  <a16:creationId xmlns:a16="http://schemas.microsoft.com/office/drawing/2014/main" id="{00000000-0008-0000-0D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xdr:row>
          <xdr:rowOff>142875</xdr:rowOff>
        </xdr:from>
        <xdr:to>
          <xdr:col>7</xdr:col>
          <xdr:colOff>0</xdr:colOff>
          <xdr:row>17</xdr:row>
          <xdr:rowOff>381000</xdr:rowOff>
        </xdr:to>
        <xdr:sp macro="" textlink="">
          <xdr:nvSpPr>
            <xdr:cNvPr id="10244" name="Drop Down 4" hidden="1">
              <a:extLst>
                <a:ext uri="{63B3BB69-23CF-44E3-9099-C40C66FF867C}">
                  <a14:compatExt spid="_x0000_s10244"/>
                </a:ext>
                <a:ext uri="{FF2B5EF4-FFF2-40B4-BE49-F238E27FC236}">
                  <a16:creationId xmlns:a16="http://schemas.microsoft.com/office/drawing/2014/main" id="{00000000-0008-0000-0D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xdr:row>
          <xdr:rowOff>0</xdr:rowOff>
        </xdr:from>
        <xdr:to>
          <xdr:col>7</xdr:col>
          <xdr:colOff>0</xdr:colOff>
          <xdr:row>25</xdr:row>
          <xdr:rowOff>0</xdr:rowOff>
        </xdr:to>
        <xdr:sp macro="" textlink="">
          <xdr:nvSpPr>
            <xdr:cNvPr id="10245" name="Drop Down 5" hidden="1">
              <a:extLst>
                <a:ext uri="{63B3BB69-23CF-44E3-9099-C40C66FF867C}">
                  <a14:compatExt spid="_x0000_s10245"/>
                </a:ext>
                <a:ext uri="{FF2B5EF4-FFF2-40B4-BE49-F238E27FC236}">
                  <a16:creationId xmlns:a16="http://schemas.microsoft.com/office/drawing/2014/main" id="{00000000-0008-0000-0D00-00000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13</xdr:row>
          <xdr:rowOff>0</xdr:rowOff>
        </xdr:from>
        <xdr:to>
          <xdr:col>7</xdr:col>
          <xdr:colOff>0</xdr:colOff>
          <xdr:row>14</xdr:row>
          <xdr:rowOff>0</xdr:rowOff>
        </xdr:to>
        <xdr:sp macro="" textlink="">
          <xdr:nvSpPr>
            <xdr:cNvPr id="11265" name="Drop Down 1" hidden="1">
              <a:extLst>
                <a:ext uri="{63B3BB69-23CF-44E3-9099-C40C66FF867C}">
                  <a14:compatExt spid="_x0000_s11265"/>
                </a:ext>
                <a:ext uri="{FF2B5EF4-FFF2-40B4-BE49-F238E27FC236}">
                  <a16:creationId xmlns:a16="http://schemas.microsoft.com/office/drawing/2014/main" id="{00000000-0008-0000-0E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7</xdr:col>
          <xdr:colOff>0</xdr:colOff>
          <xdr:row>27</xdr:row>
          <xdr:rowOff>0</xdr:rowOff>
        </xdr:to>
        <xdr:sp macro="" textlink="">
          <xdr:nvSpPr>
            <xdr:cNvPr id="11266" name="Drop Down 2" hidden="1">
              <a:extLst>
                <a:ext uri="{63B3BB69-23CF-44E3-9099-C40C66FF867C}">
                  <a14:compatExt spid="_x0000_s11266"/>
                </a:ext>
                <a:ext uri="{FF2B5EF4-FFF2-40B4-BE49-F238E27FC236}">
                  <a16:creationId xmlns:a16="http://schemas.microsoft.com/office/drawing/2014/main" id="{00000000-0008-0000-0E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0</xdr:rowOff>
        </xdr:from>
        <xdr:to>
          <xdr:col>7</xdr:col>
          <xdr:colOff>0</xdr:colOff>
          <xdr:row>40</xdr:row>
          <xdr:rowOff>0</xdr:rowOff>
        </xdr:to>
        <xdr:sp macro="" textlink="">
          <xdr:nvSpPr>
            <xdr:cNvPr id="11267" name="Drop Down 3" hidden="1">
              <a:extLst>
                <a:ext uri="{63B3BB69-23CF-44E3-9099-C40C66FF867C}">
                  <a14:compatExt spid="_x0000_s11267"/>
                </a:ext>
                <a:ext uri="{FF2B5EF4-FFF2-40B4-BE49-F238E27FC236}">
                  <a16:creationId xmlns:a16="http://schemas.microsoft.com/office/drawing/2014/main" id="{00000000-0008-0000-0E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52</xdr:row>
          <xdr:rowOff>0</xdr:rowOff>
        </xdr:from>
        <xdr:to>
          <xdr:col>7</xdr:col>
          <xdr:colOff>0</xdr:colOff>
          <xdr:row>53</xdr:row>
          <xdr:rowOff>0</xdr:rowOff>
        </xdr:to>
        <xdr:sp macro="" textlink="">
          <xdr:nvSpPr>
            <xdr:cNvPr id="11268" name="Drop Down 4" hidden="1">
              <a:extLst>
                <a:ext uri="{63B3BB69-23CF-44E3-9099-C40C66FF867C}">
                  <a14:compatExt spid="_x0000_s11268"/>
                </a:ext>
                <a:ext uri="{FF2B5EF4-FFF2-40B4-BE49-F238E27FC236}">
                  <a16:creationId xmlns:a16="http://schemas.microsoft.com/office/drawing/2014/main" id="{00000000-0008-0000-0E00-000004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65</xdr:row>
          <xdr:rowOff>0</xdr:rowOff>
        </xdr:from>
        <xdr:to>
          <xdr:col>7</xdr:col>
          <xdr:colOff>0</xdr:colOff>
          <xdr:row>66</xdr:row>
          <xdr:rowOff>0</xdr:rowOff>
        </xdr:to>
        <xdr:sp macro="" textlink="">
          <xdr:nvSpPr>
            <xdr:cNvPr id="11269" name="Drop Down 5" hidden="1">
              <a:extLst>
                <a:ext uri="{63B3BB69-23CF-44E3-9099-C40C66FF867C}">
                  <a14:compatExt spid="_x0000_s11269"/>
                </a:ext>
                <a:ext uri="{FF2B5EF4-FFF2-40B4-BE49-F238E27FC236}">
                  <a16:creationId xmlns:a16="http://schemas.microsoft.com/office/drawing/2014/main" id="{00000000-0008-0000-0E00-00000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78</xdr:row>
          <xdr:rowOff>0</xdr:rowOff>
        </xdr:from>
        <xdr:to>
          <xdr:col>7</xdr:col>
          <xdr:colOff>0</xdr:colOff>
          <xdr:row>79</xdr:row>
          <xdr:rowOff>0</xdr:rowOff>
        </xdr:to>
        <xdr:sp macro="" textlink="">
          <xdr:nvSpPr>
            <xdr:cNvPr id="11270" name="Drop Down 6" hidden="1">
              <a:extLst>
                <a:ext uri="{63B3BB69-23CF-44E3-9099-C40C66FF867C}">
                  <a14:compatExt spid="_x0000_s11270"/>
                </a:ext>
                <a:ext uri="{FF2B5EF4-FFF2-40B4-BE49-F238E27FC236}">
                  <a16:creationId xmlns:a16="http://schemas.microsoft.com/office/drawing/2014/main" id="{00000000-0008-0000-0E00-000006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0</xdr:rowOff>
        </xdr:from>
        <xdr:to>
          <xdr:col>7</xdr:col>
          <xdr:colOff>0</xdr:colOff>
          <xdr:row>9</xdr:row>
          <xdr:rowOff>0</xdr:rowOff>
        </xdr:to>
        <xdr:sp macro="" textlink="">
          <xdr:nvSpPr>
            <xdr:cNvPr id="11271" name="Drop Down 7" hidden="1">
              <a:extLst>
                <a:ext uri="{63B3BB69-23CF-44E3-9099-C40C66FF867C}">
                  <a14:compatExt spid="_x0000_s11271"/>
                </a:ext>
                <a:ext uri="{FF2B5EF4-FFF2-40B4-BE49-F238E27FC236}">
                  <a16:creationId xmlns:a16="http://schemas.microsoft.com/office/drawing/2014/main" id="{00000000-0008-0000-0E00-000007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xdr:row>
          <xdr:rowOff>0</xdr:rowOff>
        </xdr:from>
        <xdr:to>
          <xdr:col>7</xdr:col>
          <xdr:colOff>0</xdr:colOff>
          <xdr:row>22</xdr:row>
          <xdr:rowOff>0</xdr:rowOff>
        </xdr:to>
        <xdr:sp macro="" textlink="">
          <xdr:nvSpPr>
            <xdr:cNvPr id="11273" name="Drop Down 9" hidden="1">
              <a:extLst>
                <a:ext uri="{63B3BB69-23CF-44E3-9099-C40C66FF867C}">
                  <a14:compatExt spid="_x0000_s11273"/>
                </a:ext>
                <a:ext uri="{FF2B5EF4-FFF2-40B4-BE49-F238E27FC236}">
                  <a16:creationId xmlns:a16="http://schemas.microsoft.com/office/drawing/2014/main" id="{00000000-0008-0000-0E00-000009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7</xdr:col>
          <xdr:colOff>0</xdr:colOff>
          <xdr:row>35</xdr:row>
          <xdr:rowOff>0</xdr:rowOff>
        </xdr:to>
        <xdr:sp macro="" textlink="">
          <xdr:nvSpPr>
            <xdr:cNvPr id="11275" name="Drop Down 11" hidden="1">
              <a:extLst>
                <a:ext uri="{63B3BB69-23CF-44E3-9099-C40C66FF867C}">
                  <a14:compatExt spid="_x0000_s11275"/>
                </a:ext>
                <a:ext uri="{FF2B5EF4-FFF2-40B4-BE49-F238E27FC236}">
                  <a16:creationId xmlns:a16="http://schemas.microsoft.com/office/drawing/2014/main" id="{00000000-0008-0000-0E00-00000B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47</xdr:row>
          <xdr:rowOff>0</xdr:rowOff>
        </xdr:from>
        <xdr:to>
          <xdr:col>7</xdr:col>
          <xdr:colOff>0</xdr:colOff>
          <xdr:row>48</xdr:row>
          <xdr:rowOff>0</xdr:rowOff>
        </xdr:to>
        <xdr:sp macro="" textlink="">
          <xdr:nvSpPr>
            <xdr:cNvPr id="11276" name="Drop Down 12" hidden="1">
              <a:extLst>
                <a:ext uri="{63B3BB69-23CF-44E3-9099-C40C66FF867C}">
                  <a14:compatExt spid="_x0000_s11276"/>
                </a:ext>
                <a:ext uri="{FF2B5EF4-FFF2-40B4-BE49-F238E27FC236}">
                  <a16:creationId xmlns:a16="http://schemas.microsoft.com/office/drawing/2014/main" id="{00000000-0008-0000-0E00-00000C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60</xdr:row>
          <xdr:rowOff>0</xdr:rowOff>
        </xdr:from>
        <xdr:to>
          <xdr:col>7</xdr:col>
          <xdr:colOff>0</xdr:colOff>
          <xdr:row>61</xdr:row>
          <xdr:rowOff>0</xdr:rowOff>
        </xdr:to>
        <xdr:sp macro="" textlink="">
          <xdr:nvSpPr>
            <xdr:cNvPr id="11277" name="Drop Down 13" hidden="1">
              <a:extLst>
                <a:ext uri="{63B3BB69-23CF-44E3-9099-C40C66FF867C}">
                  <a14:compatExt spid="_x0000_s11277"/>
                </a:ext>
                <a:ext uri="{FF2B5EF4-FFF2-40B4-BE49-F238E27FC236}">
                  <a16:creationId xmlns:a16="http://schemas.microsoft.com/office/drawing/2014/main" id="{00000000-0008-0000-0E00-00000D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73</xdr:row>
          <xdr:rowOff>0</xdr:rowOff>
        </xdr:from>
        <xdr:to>
          <xdr:col>7</xdr:col>
          <xdr:colOff>0</xdr:colOff>
          <xdr:row>74</xdr:row>
          <xdr:rowOff>0</xdr:rowOff>
        </xdr:to>
        <xdr:sp macro="" textlink="">
          <xdr:nvSpPr>
            <xdr:cNvPr id="11278" name="Drop Down 14" hidden="1">
              <a:extLst>
                <a:ext uri="{63B3BB69-23CF-44E3-9099-C40C66FF867C}">
                  <a14:compatExt spid="_x0000_s11278"/>
                </a:ext>
                <a:ext uri="{FF2B5EF4-FFF2-40B4-BE49-F238E27FC236}">
                  <a16:creationId xmlns:a16="http://schemas.microsoft.com/office/drawing/2014/main" id="{00000000-0008-0000-0E00-00000E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5</xdr:row>
          <xdr:rowOff>304800</xdr:rowOff>
        </xdr:from>
        <xdr:to>
          <xdr:col>7</xdr:col>
          <xdr:colOff>0</xdr:colOff>
          <xdr:row>5</xdr:row>
          <xdr:rowOff>561975</xdr:rowOff>
        </xdr:to>
        <xdr:sp macro="" textlink="">
          <xdr:nvSpPr>
            <xdr:cNvPr id="16385" name="Drop Down 1" hidden="1">
              <a:extLst>
                <a:ext uri="{63B3BB69-23CF-44E3-9099-C40C66FF867C}">
                  <a14:compatExt spid="_x0000_s16385"/>
                </a:ext>
                <a:ext uri="{FF2B5EF4-FFF2-40B4-BE49-F238E27FC236}">
                  <a16:creationId xmlns:a16="http://schemas.microsoft.com/office/drawing/2014/main" id="{00000000-0008-0000-0F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0</xdr:rowOff>
        </xdr:from>
        <xdr:to>
          <xdr:col>7</xdr:col>
          <xdr:colOff>0</xdr:colOff>
          <xdr:row>43</xdr:row>
          <xdr:rowOff>257175</xdr:rowOff>
        </xdr:to>
        <xdr:sp macro="" textlink="">
          <xdr:nvSpPr>
            <xdr:cNvPr id="16386" name="Drop Down 2" hidden="1">
              <a:extLst>
                <a:ext uri="{63B3BB69-23CF-44E3-9099-C40C66FF867C}">
                  <a14:compatExt spid="_x0000_s16386"/>
                </a:ext>
                <a:ext uri="{FF2B5EF4-FFF2-40B4-BE49-F238E27FC236}">
                  <a16:creationId xmlns:a16="http://schemas.microsoft.com/office/drawing/2014/main" id="{00000000-0008-0000-0F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xdr:row>
          <xdr:rowOff>0</xdr:rowOff>
        </xdr:from>
        <xdr:to>
          <xdr:col>7</xdr:col>
          <xdr:colOff>0</xdr:colOff>
          <xdr:row>43</xdr:row>
          <xdr:rowOff>257175</xdr:rowOff>
        </xdr:to>
        <xdr:sp macro="" textlink="">
          <xdr:nvSpPr>
            <xdr:cNvPr id="16387" name="Drop Down 3" hidden="1">
              <a:extLst>
                <a:ext uri="{63B3BB69-23CF-44E3-9099-C40C66FF867C}">
                  <a14:compatExt spid="_x0000_s16387"/>
                </a:ext>
                <a:ext uri="{FF2B5EF4-FFF2-40B4-BE49-F238E27FC236}">
                  <a16:creationId xmlns:a16="http://schemas.microsoft.com/office/drawing/2014/main" id="{00000000-0008-0000-0F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xdr:row>
          <xdr:rowOff>0</xdr:rowOff>
        </xdr:from>
        <xdr:to>
          <xdr:col>7</xdr:col>
          <xdr:colOff>0</xdr:colOff>
          <xdr:row>43</xdr:row>
          <xdr:rowOff>257175</xdr:rowOff>
        </xdr:to>
        <xdr:sp macro="" textlink="">
          <xdr:nvSpPr>
            <xdr:cNvPr id="16388" name="Drop Down 4" hidden="1">
              <a:extLst>
                <a:ext uri="{63B3BB69-23CF-44E3-9099-C40C66FF867C}">
                  <a14:compatExt spid="_x0000_s16388"/>
                </a:ext>
                <a:ext uri="{FF2B5EF4-FFF2-40B4-BE49-F238E27FC236}">
                  <a16:creationId xmlns:a16="http://schemas.microsoft.com/office/drawing/2014/main" id="{00000000-0008-0000-0F00-00000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7</xdr:col>
          <xdr:colOff>0</xdr:colOff>
          <xdr:row>43</xdr:row>
          <xdr:rowOff>257175</xdr:rowOff>
        </xdr:to>
        <xdr:sp macro="" textlink="">
          <xdr:nvSpPr>
            <xdr:cNvPr id="16389" name="Drop Down 5" hidden="1">
              <a:extLst>
                <a:ext uri="{63B3BB69-23CF-44E3-9099-C40C66FF867C}">
                  <a14:compatExt spid="_x0000_s16389"/>
                </a:ext>
                <a:ext uri="{FF2B5EF4-FFF2-40B4-BE49-F238E27FC236}">
                  <a16:creationId xmlns:a16="http://schemas.microsoft.com/office/drawing/2014/main" id="{00000000-0008-0000-0F00-000005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7</xdr:col>
          <xdr:colOff>0</xdr:colOff>
          <xdr:row>43</xdr:row>
          <xdr:rowOff>257175</xdr:rowOff>
        </xdr:to>
        <xdr:sp macro="" textlink="">
          <xdr:nvSpPr>
            <xdr:cNvPr id="16390" name="Drop Down 6" hidden="1">
              <a:extLst>
                <a:ext uri="{63B3BB69-23CF-44E3-9099-C40C66FF867C}">
                  <a14:compatExt spid="_x0000_s16390"/>
                </a:ext>
                <a:ext uri="{FF2B5EF4-FFF2-40B4-BE49-F238E27FC236}">
                  <a16:creationId xmlns:a16="http://schemas.microsoft.com/office/drawing/2014/main" id="{00000000-0008-0000-0F00-000006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0</xdr:rowOff>
        </xdr:from>
        <xdr:to>
          <xdr:col>7</xdr:col>
          <xdr:colOff>0</xdr:colOff>
          <xdr:row>43</xdr:row>
          <xdr:rowOff>257175</xdr:rowOff>
        </xdr:to>
        <xdr:sp macro="" textlink="">
          <xdr:nvSpPr>
            <xdr:cNvPr id="16391" name="Drop Down 7" hidden="1">
              <a:extLst>
                <a:ext uri="{63B3BB69-23CF-44E3-9099-C40C66FF867C}">
                  <a14:compatExt spid="_x0000_s16391"/>
                </a:ext>
                <a:ext uri="{FF2B5EF4-FFF2-40B4-BE49-F238E27FC236}">
                  <a16:creationId xmlns:a16="http://schemas.microsoft.com/office/drawing/2014/main" id="{00000000-0008-0000-0F00-000007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44</xdr:row>
          <xdr:rowOff>152400</xdr:rowOff>
        </xdr:from>
        <xdr:to>
          <xdr:col>7</xdr:col>
          <xdr:colOff>0</xdr:colOff>
          <xdr:row>44</xdr:row>
          <xdr:rowOff>409575</xdr:rowOff>
        </xdr:to>
        <xdr:sp macro="" textlink="">
          <xdr:nvSpPr>
            <xdr:cNvPr id="16392" name="Drop Down 8" hidden="1">
              <a:extLst>
                <a:ext uri="{63B3BB69-23CF-44E3-9099-C40C66FF867C}">
                  <a14:compatExt spid="_x0000_s16392"/>
                </a:ext>
                <a:ext uri="{FF2B5EF4-FFF2-40B4-BE49-F238E27FC236}">
                  <a16:creationId xmlns:a16="http://schemas.microsoft.com/office/drawing/2014/main" id="{00000000-0008-0000-0F00-000008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7</xdr:col>
          <xdr:colOff>0</xdr:colOff>
          <xdr:row>56</xdr:row>
          <xdr:rowOff>0</xdr:rowOff>
        </xdr:to>
        <xdr:sp macro="" textlink="">
          <xdr:nvSpPr>
            <xdr:cNvPr id="16393" name="Drop Down 9" hidden="1">
              <a:extLst>
                <a:ext uri="{63B3BB69-23CF-44E3-9099-C40C66FF867C}">
                  <a14:compatExt spid="_x0000_s16393"/>
                </a:ext>
                <a:ext uri="{FF2B5EF4-FFF2-40B4-BE49-F238E27FC236}">
                  <a16:creationId xmlns:a16="http://schemas.microsoft.com/office/drawing/2014/main" id="{00000000-0008-0000-0F00-000009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52</xdr:row>
          <xdr:rowOff>0</xdr:rowOff>
        </xdr:from>
        <xdr:to>
          <xdr:col>7</xdr:col>
          <xdr:colOff>0</xdr:colOff>
          <xdr:row>56</xdr:row>
          <xdr:rowOff>0</xdr:rowOff>
        </xdr:to>
        <xdr:sp macro="" textlink="">
          <xdr:nvSpPr>
            <xdr:cNvPr id="16395" name="Drop Down 11" hidden="1">
              <a:extLst>
                <a:ext uri="{63B3BB69-23CF-44E3-9099-C40C66FF867C}">
                  <a14:compatExt spid="_x0000_s16395"/>
                </a:ext>
                <a:ext uri="{FF2B5EF4-FFF2-40B4-BE49-F238E27FC236}">
                  <a16:creationId xmlns:a16="http://schemas.microsoft.com/office/drawing/2014/main" id="{00000000-0008-0000-0F00-00000B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57</xdr:row>
          <xdr:rowOff>180975</xdr:rowOff>
        </xdr:from>
        <xdr:to>
          <xdr:col>7</xdr:col>
          <xdr:colOff>0</xdr:colOff>
          <xdr:row>57</xdr:row>
          <xdr:rowOff>428625</xdr:rowOff>
        </xdr:to>
        <xdr:sp macro="" textlink="">
          <xdr:nvSpPr>
            <xdr:cNvPr id="16396" name="Drop Down 12" hidden="1">
              <a:extLst>
                <a:ext uri="{63B3BB69-23CF-44E3-9099-C40C66FF867C}">
                  <a14:compatExt spid="_x0000_s16396"/>
                </a:ext>
                <a:ext uri="{FF2B5EF4-FFF2-40B4-BE49-F238E27FC236}">
                  <a16:creationId xmlns:a16="http://schemas.microsoft.com/office/drawing/2014/main" id="{00000000-0008-0000-0F00-00000C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68</xdr:row>
          <xdr:rowOff>219075</xdr:rowOff>
        </xdr:from>
        <xdr:to>
          <xdr:col>7</xdr:col>
          <xdr:colOff>0</xdr:colOff>
          <xdr:row>68</xdr:row>
          <xdr:rowOff>466725</xdr:rowOff>
        </xdr:to>
        <xdr:sp macro="" textlink="">
          <xdr:nvSpPr>
            <xdr:cNvPr id="16399" name="Drop Down 15" hidden="1">
              <a:extLst>
                <a:ext uri="{63B3BB69-23CF-44E3-9099-C40C66FF867C}">
                  <a14:compatExt spid="_x0000_s16399"/>
                </a:ext>
                <a:ext uri="{FF2B5EF4-FFF2-40B4-BE49-F238E27FC236}">
                  <a16:creationId xmlns:a16="http://schemas.microsoft.com/office/drawing/2014/main" id="{00000000-0008-0000-0F00-00000F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79</xdr:row>
          <xdr:rowOff>228600</xdr:rowOff>
        </xdr:from>
        <xdr:to>
          <xdr:col>7</xdr:col>
          <xdr:colOff>0</xdr:colOff>
          <xdr:row>79</xdr:row>
          <xdr:rowOff>485775</xdr:rowOff>
        </xdr:to>
        <xdr:sp macro="" textlink="">
          <xdr:nvSpPr>
            <xdr:cNvPr id="16402" name="Drop Down 18" hidden="1">
              <a:extLst>
                <a:ext uri="{63B3BB69-23CF-44E3-9099-C40C66FF867C}">
                  <a14:compatExt spid="_x0000_s16402"/>
                </a:ext>
                <a:ext uri="{FF2B5EF4-FFF2-40B4-BE49-F238E27FC236}">
                  <a16:creationId xmlns:a16="http://schemas.microsoft.com/office/drawing/2014/main" id="{00000000-0008-0000-0F00-00001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91</xdr:row>
          <xdr:rowOff>866775</xdr:rowOff>
        </xdr:from>
        <xdr:to>
          <xdr:col>7</xdr:col>
          <xdr:colOff>0</xdr:colOff>
          <xdr:row>91</xdr:row>
          <xdr:rowOff>1104900</xdr:rowOff>
        </xdr:to>
        <xdr:sp macro="" textlink="">
          <xdr:nvSpPr>
            <xdr:cNvPr id="16403" name="Drop Down 19" hidden="1">
              <a:extLst>
                <a:ext uri="{63B3BB69-23CF-44E3-9099-C40C66FF867C}">
                  <a14:compatExt spid="_x0000_s16403"/>
                </a:ext>
                <a:ext uri="{FF2B5EF4-FFF2-40B4-BE49-F238E27FC236}">
                  <a16:creationId xmlns:a16="http://schemas.microsoft.com/office/drawing/2014/main" id="{00000000-0008-0000-0F00-00001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93</xdr:row>
          <xdr:rowOff>0</xdr:rowOff>
        </xdr:from>
        <xdr:to>
          <xdr:col>7</xdr:col>
          <xdr:colOff>0</xdr:colOff>
          <xdr:row>103</xdr:row>
          <xdr:rowOff>0</xdr:rowOff>
        </xdr:to>
        <xdr:sp macro="" textlink="">
          <xdr:nvSpPr>
            <xdr:cNvPr id="16404" name="Drop Down 20" hidden="1">
              <a:extLst>
                <a:ext uri="{63B3BB69-23CF-44E3-9099-C40C66FF867C}">
                  <a14:compatExt spid="_x0000_s16404"/>
                </a:ext>
                <a:ext uri="{FF2B5EF4-FFF2-40B4-BE49-F238E27FC236}">
                  <a16:creationId xmlns:a16="http://schemas.microsoft.com/office/drawing/2014/main" id="{00000000-0008-0000-0F00-00001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99</xdr:row>
          <xdr:rowOff>0</xdr:rowOff>
        </xdr:from>
        <xdr:to>
          <xdr:col>7</xdr:col>
          <xdr:colOff>0</xdr:colOff>
          <xdr:row>103</xdr:row>
          <xdr:rowOff>0</xdr:rowOff>
        </xdr:to>
        <xdr:sp macro="" textlink="">
          <xdr:nvSpPr>
            <xdr:cNvPr id="16405" name="Drop Down 21" hidden="1">
              <a:extLst>
                <a:ext uri="{63B3BB69-23CF-44E3-9099-C40C66FF867C}">
                  <a14:compatExt spid="_x0000_s16405"/>
                </a:ext>
                <a:ext uri="{FF2B5EF4-FFF2-40B4-BE49-F238E27FC236}">
                  <a16:creationId xmlns:a16="http://schemas.microsoft.com/office/drawing/2014/main" id="{00000000-0008-0000-0F00-000015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104</xdr:row>
          <xdr:rowOff>104775</xdr:rowOff>
        </xdr:from>
        <xdr:to>
          <xdr:col>7</xdr:col>
          <xdr:colOff>0</xdr:colOff>
          <xdr:row>104</xdr:row>
          <xdr:rowOff>342900</xdr:rowOff>
        </xdr:to>
        <xdr:sp macro="" textlink="">
          <xdr:nvSpPr>
            <xdr:cNvPr id="16406" name="Drop Down 22" hidden="1">
              <a:extLst>
                <a:ext uri="{63B3BB69-23CF-44E3-9099-C40C66FF867C}">
                  <a14:compatExt spid="_x0000_s16406"/>
                </a:ext>
                <a:ext uri="{FF2B5EF4-FFF2-40B4-BE49-F238E27FC236}">
                  <a16:creationId xmlns:a16="http://schemas.microsoft.com/office/drawing/2014/main" id="{00000000-0008-0000-0F00-000016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115</xdr:row>
          <xdr:rowOff>523875</xdr:rowOff>
        </xdr:from>
        <xdr:to>
          <xdr:col>7</xdr:col>
          <xdr:colOff>0</xdr:colOff>
          <xdr:row>115</xdr:row>
          <xdr:rowOff>771525</xdr:rowOff>
        </xdr:to>
        <xdr:sp macro="" textlink="">
          <xdr:nvSpPr>
            <xdr:cNvPr id="16407" name="Drop Down 23" hidden="1">
              <a:extLst>
                <a:ext uri="{63B3BB69-23CF-44E3-9099-C40C66FF867C}">
                  <a14:compatExt spid="_x0000_s16407"/>
                </a:ext>
                <a:ext uri="{FF2B5EF4-FFF2-40B4-BE49-F238E27FC236}">
                  <a16:creationId xmlns:a16="http://schemas.microsoft.com/office/drawing/2014/main" id="{00000000-0008-0000-0F00-000017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0</xdr:rowOff>
        </xdr:from>
        <xdr:to>
          <xdr:col>7</xdr:col>
          <xdr:colOff>0</xdr:colOff>
          <xdr:row>43</xdr:row>
          <xdr:rowOff>257175</xdr:rowOff>
        </xdr:to>
        <xdr:sp macro="" textlink="">
          <xdr:nvSpPr>
            <xdr:cNvPr id="16413" name="Drop Down 29" hidden="1">
              <a:extLst>
                <a:ext uri="{63B3BB69-23CF-44E3-9099-C40C66FF867C}">
                  <a14:compatExt spid="_x0000_s16413"/>
                </a:ext>
                <a:ext uri="{FF2B5EF4-FFF2-40B4-BE49-F238E27FC236}">
                  <a16:creationId xmlns:a16="http://schemas.microsoft.com/office/drawing/2014/main" id="{00000000-0008-0000-0F00-00001D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xdr:row>
          <xdr:rowOff>0</xdr:rowOff>
        </xdr:from>
        <xdr:to>
          <xdr:col>7</xdr:col>
          <xdr:colOff>0</xdr:colOff>
          <xdr:row>43</xdr:row>
          <xdr:rowOff>257175</xdr:rowOff>
        </xdr:to>
        <xdr:sp macro="" textlink="">
          <xdr:nvSpPr>
            <xdr:cNvPr id="16414" name="Drop Down 30" hidden="1">
              <a:extLst>
                <a:ext uri="{63B3BB69-23CF-44E3-9099-C40C66FF867C}">
                  <a14:compatExt spid="_x0000_s16414"/>
                </a:ext>
                <a:ext uri="{FF2B5EF4-FFF2-40B4-BE49-F238E27FC236}">
                  <a16:creationId xmlns:a16="http://schemas.microsoft.com/office/drawing/2014/main" id="{00000000-0008-0000-0F00-00001E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0</xdr:rowOff>
        </xdr:from>
        <xdr:to>
          <xdr:col>7</xdr:col>
          <xdr:colOff>0</xdr:colOff>
          <xdr:row>43</xdr:row>
          <xdr:rowOff>257175</xdr:rowOff>
        </xdr:to>
        <xdr:sp macro="" textlink="">
          <xdr:nvSpPr>
            <xdr:cNvPr id="16415" name="Drop Down 31" hidden="1">
              <a:extLst>
                <a:ext uri="{63B3BB69-23CF-44E3-9099-C40C66FF867C}">
                  <a14:compatExt spid="_x0000_s16415"/>
                </a:ext>
                <a:ext uri="{FF2B5EF4-FFF2-40B4-BE49-F238E27FC236}">
                  <a16:creationId xmlns:a16="http://schemas.microsoft.com/office/drawing/2014/main" id="{00000000-0008-0000-0F00-00001F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7</xdr:col>
          <xdr:colOff>0</xdr:colOff>
          <xdr:row>43</xdr:row>
          <xdr:rowOff>257175</xdr:rowOff>
        </xdr:to>
        <xdr:sp macro="" textlink="">
          <xdr:nvSpPr>
            <xdr:cNvPr id="16416" name="Drop Down 32" hidden="1">
              <a:extLst>
                <a:ext uri="{63B3BB69-23CF-44E3-9099-C40C66FF867C}">
                  <a14:compatExt spid="_x0000_s16416"/>
                </a:ext>
                <a:ext uri="{FF2B5EF4-FFF2-40B4-BE49-F238E27FC236}">
                  <a16:creationId xmlns:a16="http://schemas.microsoft.com/office/drawing/2014/main" id="{00000000-0008-0000-0F00-000020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7</xdr:col>
          <xdr:colOff>0</xdr:colOff>
          <xdr:row>43</xdr:row>
          <xdr:rowOff>257175</xdr:rowOff>
        </xdr:to>
        <xdr:sp macro="" textlink="">
          <xdr:nvSpPr>
            <xdr:cNvPr id="16417" name="Drop Down 33" hidden="1">
              <a:extLst>
                <a:ext uri="{63B3BB69-23CF-44E3-9099-C40C66FF867C}">
                  <a14:compatExt spid="_x0000_s16417"/>
                </a:ext>
                <a:ext uri="{FF2B5EF4-FFF2-40B4-BE49-F238E27FC236}">
                  <a16:creationId xmlns:a16="http://schemas.microsoft.com/office/drawing/2014/main" id="{00000000-0008-0000-0F00-00002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0</xdr:rowOff>
        </xdr:from>
        <xdr:to>
          <xdr:col>7</xdr:col>
          <xdr:colOff>0</xdr:colOff>
          <xdr:row>43</xdr:row>
          <xdr:rowOff>257175</xdr:rowOff>
        </xdr:to>
        <xdr:sp macro="" textlink="">
          <xdr:nvSpPr>
            <xdr:cNvPr id="16418" name="Drop Down 34" hidden="1">
              <a:extLst>
                <a:ext uri="{63B3BB69-23CF-44E3-9099-C40C66FF867C}">
                  <a14:compatExt spid="_x0000_s16418"/>
                </a:ext>
                <a:ext uri="{FF2B5EF4-FFF2-40B4-BE49-F238E27FC236}">
                  <a16:creationId xmlns:a16="http://schemas.microsoft.com/office/drawing/2014/main" id="{00000000-0008-0000-0F00-00002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93</xdr:row>
          <xdr:rowOff>0</xdr:rowOff>
        </xdr:from>
        <xdr:to>
          <xdr:col>7</xdr:col>
          <xdr:colOff>0</xdr:colOff>
          <xdr:row>103</xdr:row>
          <xdr:rowOff>0</xdr:rowOff>
        </xdr:to>
        <xdr:sp macro="" textlink="">
          <xdr:nvSpPr>
            <xdr:cNvPr id="16419" name="Drop Down 35" hidden="1">
              <a:extLst>
                <a:ext uri="{63B3BB69-23CF-44E3-9099-C40C66FF867C}">
                  <a14:compatExt spid="_x0000_s16419"/>
                </a:ext>
                <a:ext uri="{FF2B5EF4-FFF2-40B4-BE49-F238E27FC236}">
                  <a16:creationId xmlns:a16="http://schemas.microsoft.com/office/drawing/2014/main" id="{00000000-0008-0000-0F00-00002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99</xdr:row>
          <xdr:rowOff>0</xdr:rowOff>
        </xdr:from>
        <xdr:to>
          <xdr:col>7</xdr:col>
          <xdr:colOff>0</xdr:colOff>
          <xdr:row>103</xdr:row>
          <xdr:rowOff>0</xdr:rowOff>
        </xdr:to>
        <xdr:sp macro="" textlink="">
          <xdr:nvSpPr>
            <xdr:cNvPr id="16421" name="Drop Down 37" hidden="1">
              <a:extLst>
                <a:ext uri="{63B3BB69-23CF-44E3-9099-C40C66FF867C}">
                  <a14:compatExt spid="_x0000_s16421"/>
                </a:ext>
                <a:ext uri="{FF2B5EF4-FFF2-40B4-BE49-F238E27FC236}">
                  <a16:creationId xmlns:a16="http://schemas.microsoft.com/office/drawing/2014/main" id="{00000000-0008-0000-0F00-000025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51</xdr:row>
          <xdr:rowOff>0</xdr:rowOff>
        </xdr:from>
        <xdr:to>
          <xdr:col>7</xdr:col>
          <xdr:colOff>0</xdr:colOff>
          <xdr:row>56</xdr:row>
          <xdr:rowOff>0</xdr:rowOff>
        </xdr:to>
        <xdr:sp macro="" textlink="">
          <xdr:nvSpPr>
            <xdr:cNvPr id="16422" name="Drop Down 38" hidden="1">
              <a:extLst>
                <a:ext uri="{63B3BB69-23CF-44E3-9099-C40C66FF867C}">
                  <a14:compatExt spid="_x0000_s16422"/>
                </a:ext>
                <a:ext uri="{FF2B5EF4-FFF2-40B4-BE49-F238E27FC236}">
                  <a16:creationId xmlns:a16="http://schemas.microsoft.com/office/drawing/2014/main" id="{00000000-0008-0000-0F00-000026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63</xdr:row>
          <xdr:rowOff>0</xdr:rowOff>
        </xdr:from>
        <xdr:to>
          <xdr:col>7</xdr:col>
          <xdr:colOff>0</xdr:colOff>
          <xdr:row>67</xdr:row>
          <xdr:rowOff>0</xdr:rowOff>
        </xdr:to>
        <xdr:sp macro="" textlink="">
          <xdr:nvSpPr>
            <xdr:cNvPr id="16423" name="Drop Down 39" hidden="1">
              <a:extLst>
                <a:ext uri="{63B3BB69-23CF-44E3-9099-C40C66FF867C}">
                  <a14:compatExt spid="_x0000_s16423"/>
                </a:ext>
                <a:ext uri="{FF2B5EF4-FFF2-40B4-BE49-F238E27FC236}">
                  <a16:creationId xmlns:a16="http://schemas.microsoft.com/office/drawing/2014/main" id="{00000000-0008-0000-0F00-000027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74</xdr:row>
          <xdr:rowOff>0</xdr:rowOff>
        </xdr:from>
        <xdr:to>
          <xdr:col>7</xdr:col>
          <xdr:colOff>0</xdr:colOff>
          <xdr:row>78</xdr:row>
          <xdr:rowOff>0</xdr:rowOff>
        </xdr:to>
        <xdr:sp macro="" textlink="">
          <xdr:nvSpPr>
            <xdr:cNvPr id="16424" name="Drop Down 40" hidden="1">
              <a:extLst>
                <a:ext uri="{63B3BB69-23CF-44E3-9099-C40C66FF867C}">
                  <a14:compatExt spid="_x0000_s16424"/>
                </a:ext>
                <a:ext uri="{FF2B5EF4-FFF2-40B4-BE49-F238E27FC236}">
                  <a16:creationId xmlns:a16="http://schemas.microsoft.com/office/drawing/2014/main" id="{00000000-0008-0000-0F00-000028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85</xdr:row>
          <xdr:rowOff>0</xdr:rowOff>
        </xdr:from>
        <xdr:to>
          <xdr:col>7</xdr:col>
          <xdr:colOff>0</xdr:colOff>
          <xdr:row>89</xdr:row>
          <xdr:rowOff>0</xdr:rowOff>
        </xdr:to>
        <xdr:sp macro="" textlink="">
          <xdr:nvSpPr>
            <xdr:cNvPr id="16425" name="Drop Down 41" hidden="1">
              <a:extLst>
                <a:ext uri="{63B3BB69-23CF-44E3-9099-C40C66FF867C}">
                  <a14:compatExt spid="_x0000_s16425"/>
                </a:ext>
                <a:ext uri="{FF2B5EF4-FFF2-40B4-BE49-F238E27FC236}">
                  <a16:creationId xmlns:a16="http://schemas.microsoft.com/office/drawing/2014/main" id="{00000000-0008-0000-0F00-000029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92</xdr:row>
          <xdr:rowOff>0</xdr:rowOff>
        </xdr:from>
        <xdr:to>
          <xdr:col>7</xdr:col>
          <xdr:colOff>0</xdr:colOff>
          <xdr:row>103</xdr:row>
          <xdr:rowOff>0</xdr:rowOff>
        </xdr:to>
        <xdr:sp macro="" textlink="">
          <xdr:nvSpPr>
            <xdr:cNvPr id="16426" name="Drop Down 42" hidden="1">
              <a:extLst>
                <a:ext uri="{63B3BB69-23CF-44E3-9099-C40C66FF867C}">
                  <a14:compatExt spid="_x0000_s16426"/>
                </a:ext>
                <a:ext uri="{FF2B5EF4-FFF2-40B4-BE49-F238E27FC236}">
                  <a16:creationId xmlns:a16="http://schemas.microsoft.com/office/drawing/2014/main" id="{00000000-0008-0000-0F00-00002A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98</xdr:row>
          <xdr:rowOff>0</xdr:rowOff>
        </xdr:from>
        <xdr:to>
          <xdr:col>7</xdr:col>
          <xdr:colOff>0</xdr:colOff>
          <xdr:row>103</xdr:row>
          <xdr:rowOff>0</xdr:rowOff>
        </xdr:to>
        <xdr:sp macro="" textlink="">
          <xdr:nvSpPr>
            <xdr:cNvPr id="16427" name="Drop Down 43" hidden="1">
              <a:extLst>
                <a:ext uri="{63B3BB69-23CF-44E3-9099-C40C66FF867C}">
                  <a14:compatExt spid="_x0000_s16427"/>
                </a:ext>
                <a:ext uri="{FF2B5EF4-FFF2-40B4-BE49-F238E27FC236}">
                  <a16:creationId xmlns:a16="http://schemas.microsoft.com/office/drawing/2014/main" id="{00000000-0008-0000-0F00-00002B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105</xdr:row>
          <xdr:rowOff>0</xdr:rowOff>
        </xdr:from>
        <xdr:to>
          <xdr:col>7</xdr:col>
          <xdr:colOff>0</xdr:colOff>
          <xdr:row>114</xdr:row>
          <xdr:rowOff>0</xdr:rowOff>
        </xdr:to>
        <xdr:sp macro="" textlink="">
          <xdr:nvSpPr>
            <xdr:cNvPr id="16428" name="Drop Down 44" hidden="1">
              <a:extLst>
                <a:ext uri="{63B3BB69-23CF-44E3-9099-C40C66FF867C}">
                  <a14:compatExt spid="_x0000_s16428"/>
                </a:ext>
                <a:ext uri="{FF2B5EF4-FFF2-40B4-BE49-F238E27FC236}">
                  <a16:creationId xmlns:a16="http://schemas.microsoft.com/office/drawing/2014/main" id="{00000000-0008-0000-0F00-00002C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110</xdr:row>
          <xdr:rowOff>0</xdr:rowOff>
        </xdr:from>
        <xdr:to>
          <xdr:col>7</xdr:col>
          <xdr:colOff>0</xdr:colOff>
          <xdr:row>114</xdr:row>
          <xdr:rowOff>0</xdr:rowOff>
        </xdr:to>
        <xdr:sp macro="" textlink="">
          <xdr:nvSpPr>
            <xdr:cNvPr id="16429" name="Drop Down 45" hidden="1">
              <a:extLst>
                <a:ext uri="{63B3BB69-23CF-44E3-9099-C40C66FF867C}">
                  <a14:compatExt spid="_x0000_s16429"/>
                </a:ext>
                <a:ext uri="{FF2B5EF4-FFF2-40B4-BE49-F238E27FC236}">
                  <a16:creationId xmlns:a16="http://schemas.microsoft.com/office/drawing/2014/main" id="{00000000-0008-0000-0F00-00002D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121</xdr:row>
          <xdr:rowOff>0</xdr:rowOff>
        </xdr:from>
        <xdr:to>
          <xdr:col>7</xdr:col>
          <xdr:colOff>0</xdr:colOff>
          <xdr:row>125</xdr:row>
          <xdr:rowOff>66675</xdr:rowOff>
        </xdr:to>
        <xdr:sp macro="" textlink="">
          <xdr:nvSpPr>
            <xdr:cNvPr id="16431" name="dropTubeFamilyName2" hidden="1">
              <a:extLst>
                <a:ext uri="{63B3BB69-23CF-44E3-9099-C40C66FF867C}">
                  <a14:compatExt spid="_x0000_s16431"/>
                </a:ext>
                <a:ext uri="{FF2B5EF4-FFF2-40B4-BE49-F238E27FC236}">
                  <a16:creationId xmlns:a16="http://schemas.microsoft.com/office/drawing/2014/main" id="{00000000-0008-0000-0F00-00002F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116</xdr:row>
          <xdr:rowOff>0</xdr:rowOff>
        </xdr:from>
        <xdr:to>
          <xdr:col>7</xdr:col>
          <xdr:colOff>0</xdr:colOff>
          <xdr:row>125</xdr:row>
          <xdr:rowOff>66675</xdr:rowOff>
        </xdr:to>
        <xdr:sp macro="" textlink="">
          <xdr:nvSpPr>
            <xdr:cNvPr id="16432" name="dropTubeFamilyName" hidden="1">
              <a:extLst>
                <a:ext uri="{63B3BB69-23CF-44E3-9099-C40C66FF867C}">
                  <a14:compatExt spid="_x0000_s16432"/>
                </a:ext>
                <a:ext uri="{FF2B5EF4-FFF2-40B4-BE49-F238E27FC236}">
                  <a16:creationId xmlns:a16="http://schemas.microsoft.com/office/drawing/2014/main" id="{00000000-0008-0000-0F00-000030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45</xdr:row>
          <xdr:rowOff>0</xdr:rowOff>
        </xdr:from>
        <xdr:to>
          <xdr:col>7</xdr:col>
          <xdr:colOff>0</xdr:colOff>
          <xdr:row>56</xdr:row>
          <xdr:rowOff>0</xdr:rowOff>
        </xdr:to>
        <xdr:sp macro="" textlink="">
          <xdr:nvSpPr>
            <xdr:cNvPr id="16433" name="Drop Down 49" hidden="1">
              <a:extLst>
                <a:ext uri="{63B3BB69-23CF-44E3-9099-C40C66FF867C}">
                  <a14:compatExt spid="_x0000_s16433"/>
                </a:ext>
                <a:ext uri="{FF2B5EF4-FFF2-40B4-BE49-F238E27FC236}">
                  <a16:creationId xmlns:a16="http://schemas.microsoft.com/office/drawing/2014/main" id="{00000000-0008-0000-0F00-00003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58</xdr:row>
          <xdr:rowOff>0</xdr:rowOff>
        </xdr:from>
        <xdr:to>
          <xdr:col>7</xdr:col>
          <xdr:colOff>0</xdr:colOff>
          <xdr:row>67</xdr:row>
          <xdr:rowOff>0</xdr:rowOff>
        </xdr:to>
        <xdr:sp macro="" textlink="">
          <xdr:nvSpPr>
            <xdr:cNvPr id="16435" name="Drop Down 51" hidden="1">
              <a:extLst>
                <a:ext uri="{63B3BB69-23CF-44E3-9099-C40C66FF867C}">
                  <a14:compatExt spid="_x0000_s16435"/>
                </a:ext>
                <a:ext uri="{FF2B5EF4-FFF2-40B4-BE49-F238E27FC236}">
                  <a16:creationId xmlns:a16="http://schemas.microsoft.com/office/drawing/2014/main" id="{00000000-0008-0000-0F00-00003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69</xdr:row>
          <xdr:rowOff>0</xdr:rowOff>
        </xdr:from>
        <xdr:to>
          <xdr:col>7</xdr:col>
          <xdr:colOff>0</xdr:colOff>
          <xdr:row>78</xdr:row>
          <xdr:rowOff>0</xdr:rowOff>
        </xdr:to>
        <xdr:sp macro="" textlink="">
          <xdr:nvSpPr>
            <xdr:cNvPr id="16436" name="Drop Down 52" hidden="1">
              <a:extLst>
                <a:ext uri="{63B3BB69-23CF-44E3-9099-C40C66FF867C}">
                  <a14:compatExt spid="_x0000_s16436"/>
                </a:ext>
                <a:ext uri="{FF2B5EF4-FFF2-40B4-BE49-F238E27FC236}">
                  <a16:creationId xmlns:a16="http://schemas.microsoft.com/office/drawing/2014/main" id="{00000000-0008-0000-0F00-00003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80</xdr:row>
          <xdr:rowOff>0</xdr:rowOff>
        </xdr:from>
        <xdr:to>
          <xdr:col>7</xdr:col>
          <xdr:colOff>0</xdr:colOff>
          <xdr:row>89</xdr:row>
          <xdr:rowOff>0</xdr:rowOff>
        </xdr:to>
        <xdr:sp macro="" textlink="">
          <xdr:nvSpPr>
            <xdr:cNvPr id="16437" name="Drop Down 53" hidden="1">
              <a:extLst>
                <a:ext uri="{63B3BB69-23CF-44E3-9099-C40C66FF867C}">
                  <a14:compatExt spid="_x0000_s16437"/>
                </a:ext>
                <a:ext uri="{FF2B5EF4-FFF2-40B4-BE49-F238E27FC236}">
                  <a16:creationId xmlns:a16="http://schemas.microsoft.com/office/drawing/2014/main" id="{00000000-0008-0000-0F00-000035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58</xdr:row>
          <xdr:rowOff>0</xdr:rowOff>
        </xdr:from>
        <xdr:to>
          <xdr:col>7</xdr:col>
          <xdr:colOff>0</xdr:colOff>
          <xdr:row>67</xdr:row>
          <xdr:rowOff>0</xdr:rowOff>
        </xdr:to>
        <xdr:sp macro="" textlink="">
          <xdr:nvSpPr>
            <xdr:cNvPr id="16440" name="Drop Down 56" hidden="1">
              <a:extLst>
                <a:ext uri="{63B3BB69-23CF-44E3-9099-C40C66FF867C}">
                  <a14:compatExt spid="_x0000_s16440"/>
                </a:ext>
                <a:ext uri="{FF2B5EF4-FFF2-40B4-BE49-F238E27FC236}">
                  <a16:creationId xmlns:a16="http://schemas.microsoft.com/office/drawing/2014/main" id="{00000000-0008-0000-0F00-000038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69</xdr:row>
          <xdr:rowOff>0</xdr:rowOff>
        </xdr:from>
        <xdr:to>
          <xdr:col>7</xdr:col>
          <xdr:colOff>0</xdr:colOff>
          <xdr:row>78</xdr:row>
          <xdr:rowOff>0</xdr:rowOff>
        </xdr:to>
        <xdr:sp macro="" textlink="">
          <xdr:nvSpPr>
            <xdr:cNvPr id="16442" name="Drop Down 58" hidden="1">
              <a:extLst>
                <a:ext uri="{63B3BB69-23CF-44E3-9099-C40C66FF867C}">
                  <a14:compatExt spid="_x0000_s16442"/>
                </a:ext>
                <a:ext uri="{FF2B5EF4-FFF2-40B4-BE49-F238E27FC236}">
                  <a16:creationId xmlns:a16="http://schemas.microsoft.com/office/drawing/2014/main" id="{00000000-0008-0000-0F00-00003A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5</xdr:row>
          <xdr:rowOff>0</xdr:rowOff>
        </xdr:from>
        <xdr:to>
          <xdr:col>7</xdr:col>
          <xdr:colOff>0</xdr:colOff>
          <xdr:row>6</xdr:row>
          <xdr:rowOff>0</xdr:rowOff>
        </xdr:to>
        <xdr:sp macro="" textlink="">
          <xdr:nvSpPr>
            <xdr:cNvPr id="12289" name="Drop Down 1" hidden="1">
              <a:extLst>
                <a:ext uri="{63B3BB69-23CF-44E3-9099-C40C66FF867C}">
                  <a14:compatExt spid="_x0000_s12289"/>
                </a:ext>
                <a:ext uri="{FF2B5EF4-FFF2-40B4-BE49-F238E27FC236}">
                  <a16:creationId xmlns:a16="http://schemas.microsoft.com/office/drawing/2014/main" id="{00000000-0008-0000-10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xdr:row>
          <xdr:rowOff>152400</xdr:rowOff>
        </xdr:from>
        <xdr:to>
          <xdr:col>7</xdr:col>
          <xdr:colOff>0</xdr:colOff>
          <xdr:row>6</xdr:row>
          <xdr:rowOff>409575</xdr:rowOff>
        </xdr:to>
        <xdr:sp macro="" textlink="">
          <xdr:nvSpPr>
            <xdr:cNvPr id="12290" name="Drop Down 2" hidden="1">
              <a:extLst>
                <a:ext uri="{63B3BB69-23CF-44E3-9099-C40C66FF867C}">
                  <a14:compatExt spid="_x0000_s12290"/>
                </a:ext>
                <a:ext uri="{FF2B5EF4-FFF2-40B4-BE49-F238E27FC236}">
                  <a16:creationId xmlns:a16="http://schemas.microsoft.com/office/drawing/2014/main" id="{00000000-0008-0000-10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0</xdr:rowOff>
        </xdr:from>
        <xdr:to>
          <xdr:col>7</xdr:col>
          <xdr:colOff>0</xdr:colOff>
          <xdr:row>10</xdr:row>
          <xdr:rowOff>0</xdr:rowOff>
        </xdr:to>
        <xdr:sp macro="" textlink="">
          <xdr:nvSpPr>
            <xdr:cNvPr id="12291" name="Drop Down 3" hidden="1">
              <a:extLst>
                <a:ext uri="{63B3BB69-23CF-44E3-9099-C40C66FF867C}">
                  <a14:compatExt spid="_x0000_s12291"/>
                </a:ext>
                <a:ext uri="{FF2B5EF4-FFF2-40B4-BE49-F238E27FC236}">
                  <a16:creationId xmlns:a16="http://schemas.microsoft.com/office/drawing/2014/main" id="{00000000-0008-0000-10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xdr:row>
          <xdr:rowOff>0</xdr:rowOff>
        </xdr:from>
        <xdr:to>
          <xdr:col>7</xdr:col>
          <xdr:colOff>0</xdr:colOff>
          <xdr:row>18</xdr:row>
          <xdr:rowOff>0</xdr:rowOff>
        </xdr:to>
        <xdr:sp macro="" textlink="">
          <xdr:nvSpPr>
            <xdr:cNvPr id="12292" name="Drop Down 4" hidden="1">
              <a:extLst>
                <a:ext uri="{63B3BB69-23CF-44E3-9099-C40C66FF867C}">
                  <a14:compatExt spid="_x0000_s12292"/>
                </a:ext>
                <a:ext uri="{FF2B5EF4-FFF2-40B4-BE49-F238E27FC236}">
                  <a16:creationId xmlns:a16="http://schemas.microsoft.com/office/drawing/2014/main" id="{00000000-0008-0000-10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7</xdr:col>
          <xdr:colOff>0</xdr:colOff>
          <xdr:row>26</xdr:row>
          <xdr:rowOff>0</xdr:rowOff>
        </xdr:to>
        <xdr:sp macro="" textlink="">
          <xdr:nvSpPr>
            <xdr:cNvPr id="12293" name="Drop Down 5" hidden="1">
              <a:extLst>
                <a:ext uri="{63B3BB69-23CF-44E3-9099-C40C66FF867C}">
                  <a14:compatExt spid="_x0000_s12293"/>
                </a:ext>
                <a:ext uri="{FF2B5EF4-FFF2-40B4-BE49-F238E27FC236}">
                  <a16:creationId xmlns:a16="http://schemas.microsoft.com/office/drawing/2014/main" id="{00000000-0008-0000-10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7</xdr:col>
          <xdr:colOff>0</xdr:colOff>
          <xdr:row>34</xdr:row>
          <xdr:rowOff>0</xdr:rowOff>
        </xdr:to>
        <xdr:sp macro="" textlink="">
          <xdr:nvSpPr>
            <xdr:cNvPr id="12294" name="Drop Down 6" hidden="1">
              <a:extLst>
                <a:ext uri="{63B3BB69-23CF-44E3-9099-C40C66FF867C}">
                  <a14:compatExt spid="_x0000_s12294"/>
                </a:ext>
                <a:ext uri="{FF2B5EF4-FFF2-40B4-BE49-F238E27FC236}">
                  <a16:creationId xmlns:a16="http://schemas.microsoft.com/office/drawing/2014/main" id="{00000000-0008-0000-1000-000006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xdr:row>
          <xdr:rowOff>0</xdr:rowOff>
        </xdr:from>
        <xdr:to>
          <xdr:col>7</xdr:col>
          <xdr:colOff>0</xdr:colOff>
          <xdr:row>13</xdr:row>
          <xdr:rowOff>0</xdr:rowOff>
        </xdr:to>
        <xdr:sp macro="" textlink="">
          <xdr:nvSpPr>
            <xdr:cNvPr id="12295" name="Drop Down 7" hidden="1">
              <a:extLst>
                <a:ext uri="{63B3BB69-23CF-44E3-9099-C40C66FF867C}">
                  <a14:compatExt spid="_x0000_s12295"/>
                </a:ext>
                <a:ext uri="{FF2B5EF4-FFF2-40B4-BE49-F238E27FC236}">
                  <a16:creationId xmlns:a16="http://schemas.microsoft.com/office/drawing/2014/main" id="{00000000-0008-0000-1000-000007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0</xdr:rowOff>
        </xdr:from>
        <xdr:to>
          <xdr:col>7</xdr:col>
          <xdr:colOff>0</xdr:colOff>
          <xdr:row>21</xdr:row>
          <xdr:rowOff>0</xdr:rowOff>
        </xdr:to>
        <xdr:sp macro="" textlink="">
          <xdr:nvSpPr>
            <xdr:cNvPr id="12296" name="Drop Down 8" hidden="1">
              <a:extLst>
                <a:ext uri="{63B3BB69-23CF-44E3-9099-C40C66FF867C}">
                  <a14:compatExt spid="_x0000_s12296"/>
                </a:ext>
                <a:ext uri="{FF2B5EF4-FFF2-40B4-BE49-F238E27FC236}">
                  <a16:creationId xmlns:a16="http://schemas.microsoft.com/office/drawing/2014/main" id="{00000000-0008-0000-1000-000008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7</xdr:col>
          <xdr:colOff>0</xdr:colOff>
          <xdr:row>29</xdr:row>
          <xdr:rowOff>0</xdr:rowOff>
        </xdr:to>
        <xdr:sp macro="" textlink="">
          <xdr:nvSpPr>
            <xdr:cNvPr id="12297" name="Drop Down 9" hidden="1">
              <a:extLst>
                <a:ext uri="{63B3BB69-23CF-44E3-9099-C40C66FF867C}">
                  <a14:compatExt spid="_x0000_s12297"/>
                </a:ext>
                <a:ext uri="{FF2B5EF4-FFF2-40B4-BE49-F238E27FC236}">
                  <a16:creationId xmlns:a16="http://schemas.microsoft.com/office/drawing/2014/main" id="{00000000-0008-0000-1000-000009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36</xdr:row>
          <xdr:rowOff>0</xdr:rowOff>
        </xdr:from>
        <xdr:to>
          <xdr:col>7</xdr:col>
          <xdr:colOff>0</xdr:colOff>
          <xdr:row>37</xdr:row>
          <xdr:rowOff>0</xdr:rowOff>
        </xdr:to>
        <xdr:sp macro="" textlink="">
          <xdr:nvSpPr>
            <xdr:cNvPr id="12298" name="Drop Down 10" hidden="1">
              <a:extLst>
                <a:ext uri="{63B3BB69-23CF-44E3-9099-C40C66FF867C}">
                  <a14:compatExt spid="_x0000_s12298"/>
                </a:ext>
                <a:ext uri="{FF2B5EF4-FFF2-40B4-BE49-F238E27FC236}">
                  <a16:creationId xmlns:a16="http://schemas.microsoft.com/office/drawing/2014/main" id="{00000000-0008-0000-1000-00000A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0</xdr:rowOff>
        </xdr:from>
        <xdr:to>
          <xdr:col>7</xdr:col>
          <xdr:colOff>0</xdr:colOff>
          <xdr:row>10</xdr:row>
          <xdr:rowOff>0</xdr:rowOff>
        </xdr:to>
        <xdr:sp macro="" textlink="">
          <xdr:nvSpPr>
            <xdr:cNvPr id="12299" name="Drop Down 11" hidden="1">
              <a:extLst>
                <a:ext uri="{63B3BB69-23CF-44E3-9099-C40C66FF867C}">
                  <a14:compatExt spid="_x0000_s12299"/>
                </a:ext>
                <a:ext uri="{FF2B5EF4-FFF2-40B4-BE49-F238E27FC236}">
                  <a16:creationId xmlns:a16="http://schemas.microsoft.com/office/drawing/2014/main" id="{00000000-0008-0000-1000-00000B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xdr:row>
          <xdr:rowOff>0</xdr:rowOff>
        </xdr:from>
        <xdr:to>
          <xdr:col>7</xdr:col>
          <xdr:colOff>0</xdr:colOff>
          <xdr:row>13</xdr:row>
          <xdr:rowOff>0</xdr:rowOff>
        </xdr:to>
        <xdr:sp macro="" textlink="">
          <xdr:nvSpPr>
            <xdr:cNvPr id="12300" name="Drop Down 12" hidden="1">
              <a:extLst>
                <a:ext uri="{63B3BB69-23CF-44E3-9099-C40C66FF867C}">
                  <a14:compatExt spid="_x0000_s12300"/>
                </a:ext>
                <a:ext uri="{FF2B5EF4-FFF2-40B4-BE49-F238E27FC236}">
                  <a16:creationId xmlns:a16="http://schemas.microsoft.com/office/drawing/2014/main" id="{00000000-0008-0000-1000-00000C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xdr:row>
          <xdr:rowOff>0</xdr:rowOff>
        </xdr:from>
        <xdr:to>
          <xdr:col>7</xdr:col>
          <xdr:colOff>0</xdr:colOff>
          <xdr:row>18</xdr:row>
          <xdr:rowOff>0</xdr:rowOff>
        </xdr:to>
        <xdr:sp macro="" textlink="">
          <xdr:nvSpPr>
            <xdr:cNvPr id="12301" name="Drop Down 13" hidden="1">
              <a:extLst>
                <a:ext uri="{63B3BB69-23CF-44E3-9099-C40C66FF867C}">
                  <a14:compatExt spid="_x0000_s12301"/>
                </a:ext>
                <a:ext uri="{FF2B5EF4-FFF2-40B4-BE49-F238E27FC236}">
                  <a16:creationId xmlns:a16="http://schemas.microsoft.com/office/drawing/2014/main" id="{00000000-0008-0000-1000-00000D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0</xdr:rowOff>
        </xdr:from>
        <xdr:to>
          <xdr:col>7</xdr:col>
          <xdr:colOff>0</xdr:colOff>
          <xdr:row>21</xdr:row>
          <xdr:rowOff>0</xdr:rowOff>
        </xdr:to>
        <xdr:sp macro="" textlink="">
          <xdr:nvSpPr>
            <xdr:cNvPr id="12302" name="Drop Down 14" hidden="1">
              <a:extLst>
                <a:ext uri="{63B3BB69-23CF-44E3-9099-C40C66FF867C}">
                  <a14:compatExt spid="_x0000_s12302"/>
                </a:ext>
                <a:ext uri="{FF2B5EF4-FFF2-40B4-BE49-F238E27FC236}">
                  <a16:creationId xmlns:a16="http://schemas.microsoft.com/office/drawing/2014/main" id="{00000000-0008-0000-1000-00000E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7</xdr:col>
          <xdr:colOff>0</xdr:colOff>
          <xdr:row>26</xdr:row>
          <xdr:rowOff>0</xdr:rowOff>
        </xdr:to>
        <xdr:sp macro="" textlink="">
          <xdr:nvSpPr>
            <xdr:cNvPr id="12303" name="Drop Down 15" hidden="1">
              <a:extLst>
                <a:ext uri="{63B3BB69-23CF-44E3-9099-C40C66FF867C}">
                  <a14:compatExt spid="_x0000_s12303"/>
                </a:ext>
                <a:ext uri="{FF2B5EF4-FFF2-40B4-BE49-F238E27FC236}">
                  <a16:creationId xmlns:a16="http://schemas.microsoft.com/office/drawing/2014/main" id="{00000000-0008-0000-1000-00000F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7</xdr:col>
          <xdr:colOff>0</xdr:colOff>
          <xdr:row>29</xdr:row>
          <xdr:rowOff>0</xdr:rowOff>
        </xdr:to>
        <xdr:sp macro="" textlink="">
          <xdr:nvSpPr>
            <xdr:cNvPr id="12304" name="Drop Down 16" hidden="1">
              <a:extLst>
                <a:ext uri="{63B3BB69-23CF-44E3-9099-C40C66FF867C}">
                  <a14:compatExt spid="_x0000_s12304"/>
                </a:ext>
                <a:ext uri="{FF2B5EF4-FFF2-40B4-BE49-F238E27FC236}">
                  <a16:creationId xmlns:a16="http://schemas.microsoft.com/office/drawing/2014/main" id="{00000000-0008-0000-1000-000010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7</xdr:col>
          <xdr:colOff>0</xdr:colOff>
          <xdr:row>34</xdr:row>
          <xdr:rowOff>0</xdr:rowOff>
        </xdr:to>
        <xdr:sp macro="" textlink="">
          <xdr:nvSpPr>
            <xdr:cNvPr id="12305" name="Drop Down 17" hidden="1">
              <a:extLst>
                <a:ext uri="{63B3BB69-23CF-44E3-9099-C40C66FF867C}">
                  <a14:compatExt spid="_x0000_s12305"/>
                </a:ext>
                <a:ext uri="{FF2B5EF4-FFF2-40B4-BE49-F238E27FC236}">
                  <a16:creationId xmlns:a16="http://schemas.microsoft.com/office/drawing/2014/main" id="{00000000-0008-0000-1000-00001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36</xdr:row>
          <xdr:rowOff>0</xdr:rowOff>
        </xdr:from>
        <xdr:to>
          <xdr:col>7</xdr:col>
          <xdr:colOff>0</xdr:colOff>
          <xdr:row>37</xdr:row>
          <xdr:rowOff>0</xdr:rowOff>
        </xdr:to>
        <xdr:sp macro="" textlink="">
          <xdr:nvSpPr>
            <xdr:cNvPr id="12306" name="Drop Down 18" hidden="1">
              <a:extLst>
                <a:ext uri="{63B3BB69-23CF-44E3-9099-C40C66FF867C}">
                  <a14:compatExt spid="_x0000_s12306"/>
                </a:ext>
                <a:ext uri="{FF2B5EF4-FFF2-40B4-BE49-F238E27FC236}">
                  <a16:creationId xmlns:a16="http://schemas.microsoft.com/office/drawing/2014/main" id="{00000000-0008-0000-1000-00001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6</xdr:row>
          <xdr:rowOff>0</xdr:rowOff>
        </xdr:from>
        <xdr:to>
          <xdr:col>7</xdr:col>
          <xdr:colOff>0</xdr:colOff>
          <xdr:row>7</xdr:row>
          <xdr:rowOff>0</xdr:rowOff>
        </xdr:to>
        <xdr:sp macro="" textlink="">
          <xdr:nvSpPr>
            <xdr:cNvPr id="14337" name="Drop Down 1" hidden="1">
              <a:extLst>
                <a:ext uri="{63B3BB69-23CF-44E3-9099-C40C66FF867C}">
                  <a14:compatExt spid="_x0000_s14337"/>
                </a:ext>
                <a:ext uri="{FF2B5EF4-FFF2-40B4-BE49-F238E27FC236}">
                  <a16:creationId xmlns:a16="http://schemas.microsoft.com/office/drawing/2014/main" id="{00000000-0008-0000-11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0</xdr:rowOff>
        </xdr:from>
        <xdr:to>
          <xdr:col>7</xdr:col>
          <xdr:colOff>0</xdr:colOff>
          <xdr:row>8</xdr:row>
          <xdr:rowOff>9525</xdr:rowOff>
        </xdr:to>
        <xdr:sp macro="" textlink="">
          <xdr:nvSpPr>
            <xdr:cNvPr id="14338" name="Drop Down 2" hidden="1">
              <a:extLst>
                <a:ext uri="{63B3BB69-23CF-44E3-9099-C40C66FF867C}">
                  <a14:compatExt spid="_x0000_s14338"/>
                </a:ext>
                <a:ext uri="{FF2B5EF4-FFF2-40B4-BE49-F238E27FC236}">
                  <a16:creationId xmlns:a16="http://schemas.microsoft.com/office/drawing/2014/main" id="{00000000-0008-0000-11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xdr:row>
          <xdr:rowOff>66675</xdr:rowOff>
        </xdr:from>
        <xdr:to>
          <xdr:col>7</xdr:col>
          <xdr:colOff>0</xdr:colOff>
          <xdr:row>13</xdr:row>
          <xdr:rowOff>323850</xdr:rowOff>
        </xdr:to>
        <xdr:sp macro="" textlink="">
          <xdr:nvSpPr>
            <xdr:cNvPr id="14339" name="Drop Down 3" hidden="1">
              <a:extLst>
                <a:ext uri="{63B3BB69-23CF-44E3-9099-C40C66FF867C}">
                  <a14:compatExt spid="_x0000_s14339"/>
                </a:ext>
                <a:ext uri="{FF2B5EF4-FFF2-40B4-BE49-F238E27FC236}">
                  <a16:creationId xmlns:a16="http://schemas.microsoft.com/office/drawing/2014/main" id="{00000000-0008-0000-11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xdr:row>
          <xdr:rowOff>0</xdr:rowOff>
        </xdr:from>
        <xdr:to>
          <xdr:col>7</xdr:col>
          <xdr:colOff>0</xdr:colOff>
          <xdr:row>20</xdr:row>
          <xdr:rowOff>9525</xdr:rowOff>
        </xdr:to>
        <xdr:sp macro="" textlink="">
          <xdr:nvSpPr>
            <xdr:cNvPr id="14340" name="Drop Down 4" hidden="1">
              <a:extLst>
                <a:ext uri="{63B3BB69-23CF-44E3-9099-C40C66FF867C}">
                  <a14:compatExt spid="_x0000_s14340"/>
                </a:ext>
                <a:ext uri="{FF2B5EF4-FFF2-40B4-BE49-F238E27FC236}">
                  <a16:creationId xmlns:a16="http://schemas.microsoft.com/office/drawing/2014/main" id="{00000000-0008-0000-1100-000004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xdr:row>
          <xdr:rowOff>0</xdr:rowOff>
        </xdr:from>
        <xdr:to>
          <xdr:col>7</xdr:col>
          <xdr:colOff>0</xdr:colOff>
          <xdr:row>17</xdr:row>
          <xdr:rowOff>9525</xdr:rowOff>
        </xdr:to>
        <xdr:sp macro="" textlink="">
          <xdr:nvSpPr>
            <xdr:cNvPr id="14341" name="Drop Down 5" hidden="1">
              <a:extLst>
                <a:ext uri="{63B3BB69-23CF-44E3-9099-C40C66FF867C}">
                  <a14:compatExt spid="_x0000_s14341"/>
                </a:ext>
                <a:ext uri="{FF2B5EF4-FFF2-40B4-BE49-F238E27FC236}">
                  <a16:creationId xmlns:a16="http://schemas.microsoft.com/office/drawing/2014/main" id="{00000000-0008-0000-1100-000005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66675</xdr:rowOff>
        </xdr:from>
        <xdr:to>
          <xdr:col>7</xdr:col>
          <xdr:colOff>0</xdr:colOff>
          <xdr:row>10</xdr:row>
          <xdr:rowOff>323850</xdr:rowOff>
        </xdr:to>
        <xdr:sp macro="" textlink="">
          <xdr:nvSpPr>
            <xdr:cNvPr id="14342" name="Drop Down 6" hidden="1">
              <a:extLst>
                <a:ext uri="{63B3BB69-23CF-44E3-9099-C40C66FF867C}">
                  <a14:compatExt spid="_x0000_s14342"/>
                </a:ext>
                <a:ext uri="{FF2B5EF4-FFF2-40B4-BE49-F238E27FC236}">
                  <a16:creationId xmlns:a16="http://schemas.microsoft.com/office/drawing/2014/main" id="{00000000-0008-0000-1100-000006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0</xdr:rowOff>
        </xdr:from>
        <xdr:to>
          <xdr:col>7</xdr:col>
          <xdr:colOff>0</xdr:colOff>
          <xdr:row>8</xdr:row>
          <xdr:rowOff>9525</xdr:rowOff>
        </xdr:to>
        <xdr:sp macro="" textlink="">
          <xdr:nvSpPr>
            <xdr:cNvPr id="14345" name="Drop Down 9" hidden="1">
              <a:extLst>
                <a:ext uri="{63B3BB69-23CF-44E3-9099-C40C66FF867C}">
                  <a14:compatExt spid="_x0000_s14345"/>
                </a:ext>
                <a:ext uri="{FF2B5EF4-FFF2-40B4-BE49-F238E27FC236}">
                  <a16:creationId xmlns:a16="http://schemas.microsoft.com/office/drawing/2014/main" id="{00000000-0008-0000-1100-000009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xdr:row>
          <xdr:rowOff>0</xdr:rowOff>
        </xdr:from>
        <xdr:to>
          <xdr:col>7</xdr:col>
          <xdr:colOff>0</xdr:colOff>
          <xdr:row>17</xdr:row>
          <xdr:rowOff>9525</xdr:rowOff>
        </xdr:to>
        <xdr:sp macro="" textlink="">
          <xdr:nvSpPr>
            <xdr:cNvPr id="14347" name="Drop Down 11" hidden="1">
              <a:extLst>
                <a:ext uri="{63B3BB69-23CF-44E3-9099-C40C66FF867C}">
                  <a14:compatExt spid="_x0000_s14347"/>
                </a:ext>
                <a:ext uri="{FF2B5EF4-FFF2-40B4-BE49-F238E27FC236}">
                  <a16:creationId xmlns:a16="http://schemas.microsoft.com/office/drawing/2014/main" id="{00000000-0008-0000-1100-00000B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xdr:row>
          <xdr:rowOff>0</xdr:rowOff>
        </xdr:from>
        <xdr:to>
          <xdr:col>7</xdr:col>
          <xdr:colOff>0</xdr:colOff>
          <xdr:row>20</xdr:row>
          <xdr:rowOff>9525</xdr:rowOff>
        </xdr:to>
        <xdr:sp macro="" textlink="">
          <xdr:nvSpPr>
            <xdr:cNvPr id="14349" name="Drop Down 13" hidden="1">
              <a:extLst>
                <a:ext uri="{63B3BB69-23CF-44E3-9099-C40C66FF867C}">
                  <a14:compatExt spid="_x0000_s14349"/>
                </a:ext>
                <a:ext uri="{FF2B5EF4-FFF2-40B4-BE49-F238E27FC236}">
                  <a16:creationId xmlns:a16="http://schemas.microsoft.com/office/drawing/2014/main" id="{00000000-0008-0000-1100-00000D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66675</xdr:rowOff>
        </xdr:from>
        <xdr:to>
          <xdr:col>7</xdr:col>
          <xdr:colOff>0</xdr:colOff>
          <xdr:row>10</xdr:row>
          <xdr:rowOff>314325</xdr:rowOff>
        </xdr:to>
        <xdr:sp macro="" textlink="">
          <xdr:nvSpPr>
            <xdr:cNvPr id="14350" name="Drop Down 14" hidden="1">
              <a:extLst>
                <a:ext uri="{63B3BB69-23CF-44E3-9099-C40C66FF867C}">
                  <a14:compatExt spid="_x0000_s14350"/>
                </a:ext>
                <a:ext uri="{FF2B5EF4-FFF2-40B4-BE49-F238E27FC236}">
                  <a16:creationId xmlns:a16="http://schemas.microsoft.com/office/drawing/2014/main" id="{00000000-0008-0000-1100-00000E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xdr:row>
          <xdr:rowOff>66675</xdr:rowOff>
        </xdr:from>
        <xdr:to>
          <xdr:col>7</xdr:col>
          <xdr:colOff>0</xdr:colOff>
          <xdr:row>13</xdr:row>
          <xdr:rowOff>314325</xdr:rowOff>
        </xdr:to>
        <xdr:sp macro="" textlink="">
          <xdr:nvSpPr>
            <xdr:cNvPr id="14351" name="Drop Down 15" hidden="1">
              <a:extLst>
                <a:ext uri="{63B3BB69-23CF-44E3-9099-C40C66FF867C}">
                  <a14:compatExt spid="_x0000_s14351"/>
                </a:ext>
                <a:ext uri="{FF2B5EF4-FFF2-40B4-BE49-F238E27FC236}">
                  <a16:creationId xmlns:a16="http://schemas.microsoft.com/office/drawing/2014/main" id="{00000000-0008-0000-1100-00000F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0</xdr:rowOff>
        </xdr:from>
        <xdr:to>
          <xdr:col>7</xdr:col>
          <xdr:colOff>0</xdr:colOff>
          <xdr:row>8</xdr:row>
          <xdr:rowOff>0</xdr:rowOff>
        </xdr:to>
        <xdr:sp macro="" textlink="">
          <xdr:nvSpPr>
            <xdr:cNvPr id="14352" name="Drop Down 16" hidden="1">
              <a:extLst>
                <a:ext uri="{63B3BB69-23CF-44E3-9099-C40C66FF867C}">
                  <a14:compatExt spid="_x0000_s14352"/>
                </a:ext>
                <a:ext uri="{FF2B5EF4-FFF2-40B4-BE49-F238E27FC236}">
                  <a16:creationId xmlns:a16="http://schemas.microsoft.com/office/drawing/2014/main" id="{00000000-0008-0000-1100-000010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5</xdr:row>
          <xdr:rowOff>66675</xdr:rowOff>
        </xdr:from>
        <xdr:to>
          <xdr:col>7</xdr:col>
          <xdr:colOff>0</xdr:colOff>
          <xdr:row>5</xdr:row>
          <xdr:rowOff>314325</xdr:rowOff>
        </xdr:to>
        <xdr:sp macro="" textlink="">
          <xdr:nvSpPr>
            <xdr:cNvPr id="13313" name="Drop Down 1" hidden="1">
              <a:extLst>
                <a:ext uri="{63B3BB69-23CF-44E3-9099-C40C66FF867C}">
                  <a14:compatExt spid="_x0000_s13313"/>
                </a:ext>
                <a:ext uri="{FF2B5EF4-FFF2-40B4-BE49-F238E27FC236}">
                  <a16:creationId xmlns:a16="http://schemas.microsoft.com/office/drawing/2014/main" id="{00000000-0008-0000-12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142875</xdr:rowOff>
        </xdr:from>
        <xdr:to>
          <xdr:col>7</xdr:col>
          <xdr:colOff>0</xdr:colOff>
          <xdr:row>12</xdr:row>
          <xdr:rowOff>0</xdr:rowOff>
        </xdr:to>
        <xdr:sp macro="" textlink="">
          <xdr:nvSpPr>
            <xdr:cNvPr id="13314" name="Drop Down 2" hidden="1">
              <a:extLst>
                <a:ext uri="{63B3BB69-23CF-44E3-9099-C40C66FF867C}">
                  <a14:compatExt spid="_x0000_s13314"/>
                </a:ext>
                <a:ext uri="{FF2B5EF4-FFF2-40B4-BE49-F238E27FC236}">
                  <a16:creationId xmlns:a16="http://schemas.microsoft.com/office/drawing/2014/main" id="{00000000-0008-0000-12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7</xdr:row>
          <xdr:rowOff>66675</xdr:rowOff>
        </xdr:from>
        <xdr:to>
          <xdr:col>7</xdr:col>
          <xdr:colOff>0</xdr:colOff>
          <xdr:row>7</xdr:row>
          <xdr:rowOff>314325</xdr:rowOff>
        </xdr:to>
        <xdr:sp macro="" textlink="">
          <xdr:nvSpPr>
            <xdr:cNvPr id="15361" name="Drop Down 1" hidden="1">
              <a:extLst>
                <a:ext uri="{63B3BB69-23CF-44E3-9099-C40C66FF867C}">
                  <a14:compatExt spid="_x0000_s15361"/>
                </a:ext>
                <a:ext uri="{FF2B5EF4-FFF2-40B4-BE49-F238E27FC236}">
                  <a16:creationId xmlns:a16="http://schemas.microsoft.com/office/drawing/2014/main" id="{00000000-0008-0000-1300-000001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0</xdr:rowOff>
        </xdr:from>
        <xdr:to>
          <xdr:col>7</xdr:col>
          <xdr:colOff>0</xdr:colOff>
          <xdr:row>11</xdr:row>
          <xdr:rowOff>9525</xdr:rowOff>
        </xdr:to>
        <xdr:sp macro="" textlink="">
          <xdr:nvSpPr>
            <xdr:cNvPr id="15362" name="Drop Down 2" hidden="1">
              <a:extLst>
                <a:ext uri="{63B3BB69-23CF-44E3-9099-C40C66FF867C}">
                  <a14:compatExt spid="_x0000_s15362"/>
                </a:ext>
                <a:ext uri="{FF2B5EF4-FFF2-40B4-BE49-F238E27FC236}">
                  <a16:creationId xmlns:a16="http://schemas.microsoft.com/office/drawing/2014/main" id="{00000000-0008-0000-13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xdr:row>
          <xdr:rowOff>0</xdr:rowOff>
        </xdr:from>
        <xdr:to>
          <xdr:col>7</xdr:col>
          <xdr:colOff>0</xdr:colOff>
          <xdr:row>13</xdr:row>
          <xdr:rowOff>9525</xdr:rowOff>
        </xdr:to>
        <xdr:sp macro="" textlink="">
          <xdr:nvSpPr>
            <xdr:cNvPr id="15363" name="Drop Down 3" hidden="1">
              <a:extLst>
                <a:ext uri="{63B3BB69-23CF-44E3-9099-C40C66FF867C}">
                  <a14:compatExt spid="_x0000_s15363"/>
                </a:ext>
                <a:ext uri="{FF2B5EF4-FFF2-40B4-BE49-F238E27FC236}">
                  <a16:creationId xmlns:a16="http://schemas.microsoft.com/office/drawing/2014/main" id="{00000000-0008-0000-13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xdr:row>
          <xdr:rowOff>0</xdr:rowOff>
        </xdr:from>
        <xdr:to>
          <xdr:col>7</xdr:col>
          <xdr:colOff>0</xdr:colOff>
          <xdr:row>15</xdr:row>
          <xdr:rowOff>9525</xdr:rowOff>
        </xdr:to>
        <xdr:sp macro="" textlink="">
          <xdr:nvSpPr>
            <xdr:cNvPr id="15364" name="Drop Down 4" hidden="1">
              <a:extLst>
                <a:ext uri="{63B3BB69-23CF-44E3-9099-C40C66FF867C}">
                  <a14:compatExt spid="_x0000_s15364"/>
                </a:ext>
                <a:ext uri="{FF2B5EF4-FFF2-40B4-BE49-F238E27FC236}">
                  <a16:creationId xmlns:a16="http://schemas.microsoft.com/office/drawing/2014/main" id="{00000000-0008-0000-13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xdr:row>
          <xdr:rowOff>66675</xdr:rowOff>
        </xdr:from>
        <xdr:to>
          <xdr:col>7</xdr:col>
          <xdr:colOff>0</xdr:colOff>
          <xdr:row>18</xdr:row>
          <xdr:rowOff>323850</xdr:rowOff>
        </xdr:to>
        <xdr:sp macro="" textlink="">
          <xdr:nvSpPr>
            <xdr:cNvPr id="15365" name="Drop Down 5" hidden="1">
              <a:extLst>
                <a:ext uri="{63B3BB69-23CF-44E3-9099-C40C66FF867C}">
                  <a14:compatExt spid="_x0000_s15365"/>
                </a:ext>
                <a:ext uri="{FF2B5EF4-FFF2-40B4-BE49-F238E27FC236}">
                  <a16:creationId xmlns:a16="http://schemas.microsoft.com/office/drawing/2014/main" id="{00000000-0008-0000-13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xdr:row>
          <xdr:rowOff>0</xdr:rowOff>
        </xdr:from>
        <xdr:to>
          <xdr:col>7</xdr:col>
          <xdr:colOff>0</xdr:colOff>
          <xdr:row>23</xdr:row>
          <xdr:rowOff>9525</xdr:rowOff>
        </xdr:to>
        <xdr:sp macro="" textlink="">
          <xdr:nvSpPr>
            <xdr:cNvPr id="15366" name="Drop Down 6" hidden="1">
              <a:extLst>
                <a:ext uri="{63B3BB69-23CF-44E3-9099-C40C66FF867C}">
                  <a14:compatExt spid="_x0000_s15366"/>
                </a:ext>
                <a:ext uri="{FF2B5EF4-FFF2-40B4-BE49-F238E27FC236}">
                  <a16:creationId xmlns:a16="http://schemas.microsoft.com/office/drawing/2014/main" id="{00000000-0008-0000-1300-000006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7</xdr:col>
          <xdr:colOff>0</xdr:colOff>
          <xdr:row>25</xdr:row>
          <xdr:rowOff>9525</xdr:rowOff>
        </xdr:to>
        <xdr:sp macro="" textlink="">
          <xdr:nvSpPr>
            <xdr:cNvPr id="15367" name="Drop Down 7" hidden="1">
              <a:extLst>
                <a:ext uri="{63B3BB69-23CF-44E3-9099-C40C66FF867C}">
                  <a14:compatExt spid="_x0000_s15367"/>
                </a:ext>
                <a:ext uri="{FF2B5EF4-FFF2-40B4-BE49-F238E27FC236}">
                  <a16:creationId xmlns:a16="http://schemas.microsoft.com/office/drawing/2014/main" id="{00000000-0008-0000-1300-000007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7</xdr:col>
          <xdr:colOff>0</xdr:colOff>
          <xdr:row>27</xdr:row>
          <xdr:rowOff>9525</xdr:rowOff>
        </xdr:to>
        <xdr:sp macro="" textlink="">
          <xdr:nvSpPr>
            <xdr:cNvPr id="15368" name="Drop Down 8" hidden="1">
              <a:extLst>
                <a:ext uri="{63B3BB69-23CF-44E3-9099-C40C66FF867C}">
                  <a14:compatExt spid="_x0000_s15368"/>
                </a:ext>
                <a:ext uri="{FF2B5EF4-FFF2-40B4-BE49-F238E27FC236}">
                  <a16:creationId xmlns:a16="http://schemas.microsoft.com/office/drawing/2014/main" id="{00000000-0008-0000-1300-000008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76200</xdr:rowOff>
        </xdr:from>
        <xdr:to>
          <xdr:col>7</xdr:col>
          <xdr:colOff>0</xdr:colOff>
          <xdr:row>30</xdr:row>
          <xdr:rowOff>333375</xdr:rowOff>
        </xdr:to>
        <xdr:sp macro="" textlink="">
          <xdr:nvSpPr>
            <xdr:cNvPr id="15369" name="Drop Down 9" hidden="1">
              <a:extLst>
                <a:ext uri="{63B3BB69-23CF-44E3-9099-C40C66FF867C}">
                  <a14:compatExt spid="_x0000_s15369"/>
                </a:ext>
                <a:ext uri="{FF2B5EF4-FFF2-40B4-BE49-F238E27FC236}">
                  <a16:creationId xmlns:a16="http://schemas.microsoft.com/office/drawing/2014/main" id="{00000000-0008-0000-1300-000009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7</xdr:col>
          <xdr:colOff>0</xdr:colOff>
          <xdr:row>34</xdr:row>
          <xdr:rowOff>9525</xdr:rowOff>
        </xdr:to>
        <xdr:sp macro="" textlink="">
          <xdr:nvSpPr>
            <xdr:cNvPr id="15370" name="Drop Down 10" hidden="1">
              <a:extLst>
                <a:ext uri="{63B3BB69-23CF-44E3-9099-C40C66FF867C}">
                  <a14:compatExt spid="_x0000_s15370"/>
                </a:ext>
                <a:ext uri="{FF2B5EF4-FFF2-40B4-BE49-F238E27FC236}">
                  <a16:creationId xmlns:a16="http://schemas.microsoft.com/office/drawing/2014/main" id="{00000000-0008-0000-1300-00000A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7</xdr:col>
          <xdr:colOff>0</xdr:colOff>
          <xdr:row>36</xdr:row>
          <xdr:rowOff>9525</xdr:rowOff>
        </xdr:to>
        <xdr:sp macro="" textlink="">
          <xdr:nvSpPr>
            <xdr:cNvPr id="15371" name="Drop Down 11" hidden="1">
              <a:extLst>
                <a:ext uri="{63B3BB69-23CF-44E3-9099-C40C66FF867C}">
                  <a14:compatExt spid="_x0000_s15371"/>
                </a:ext>
                <a:ext uri="{FF2B5EF4-FFF2-40B4-BE49-F238E27FC236}">
                  <a16:creationId xmlns:a16="http://schemas.microsoft.com/office/drawing/2014/main" id="{00000000-0008-0000-1300-00000B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0</xdr:rowOff>
        </xdr:from>
        <xdr:to>
          <xdr:col>7</xdr:col>
          <xdr:colOff>0</xdr:colOff>
          <xdr:row>38</xdr:row>
          <xdr:rowOff>9525</xdr:rowOff>
        </xdr:to>
        <xdr:sp macro="" textlink="">
          <xdr:nvSpPr>
            <xdr:cNvPr id="15372" name="Drop Down 12" hidden="1">
              <a:extLst>
                <a:ext uri="{63B3BB69-23CF-44E3-9099-C40C66FF867C}">
                  <a14:compatExt spid="_x0000_s15372"/>
                </a:ext>
                <a:ext uri="{FF2B5EF4-FFF2-40B4-BE49-F238E27FC236}">
                  <a16:creationId xmlns:a16="http://schemas.microsoft.com/office/drawing/2014/main" id="{00000000-0008-0000-1300-00000C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41</xdr:row>
          <xdr:rowOff>47625</xdr:rowOff>
        </xdr:from>
        <xdr:to>
          <xdr:col>7</xdr:col>
          <xdr:colOff>0</xdr:colOff>
          <xdr:row>41</xdr:row>
          <xdr:rowOff>304800</xdr:rowOff>
        </xdr:to>
        <xdr:sp macro="" textlink="">
          <xdr:nvSpPr>
            <xdr:cNvPr id="15373" name="Drop Down 13" hidden="1">
              <a:extLst>
                <a:ext uri="{63B3BB69-23CF-44E3-9099-C40C66FF867C}">
                  <a14:compatExt spid="_x0000_s15373"/>
                </a:ext>
                <a:ext uri="{FF2B5EF4-FFF2-40B4-BE49-F238E27FC236}">
                  <a16:creationId xmlns:a16="http://schemas.microsoft.com/office/drawing/2014/main" id="{00000000-0008-0000-1300-00000D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44</xdr:row>
          <xdr:rowOff>0</xdr:rowOff>
        </xdr:from>
        <xdr:to>
          <xdr:col>7</xdr:col>
          <xdr:colOff>0</xdr:colOff>
          <xdr:row>45</xdr:row>
          <xdr:rowOff>9525</xdr:rowOff>
        </xdr:to>
        <xdr:sp macro="" textlink="">
          <xdr:nvSpPr>
            <xdr:cNvPr id="15374" name="Drop Down 14" hidden="1">
              <a:extLst>
                <a:ext uri="{63B3BB69-23CF-44E3-9099-C40C66FF867C}">
                  <a14:compatExt spid="_x0000_s15374"/>
                </a:ext>
                <a:ext uri="{FF2B5EF4-FFF2-40B4-BE49-F238E27FC236}">
                  <a16:creationId xmlns:a16="http://schemas.microsoft.com/office/drawing/2014/main" id="{00000000-0008-0000-1300-00000E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7</xdr:col>
          <xdr:colOff>0</xdr:colOff>
          <xdr:row>47</xdr:row>
          <xdr:rowOff>9525</xdr:rowOff>
        </xdr:to>
        <xdr:sp macro="" textlink="">
          <xdr:nvSpPr>
            <xdr:cNvPr id="15375" name="Drop Down 15" hidden="1">
              <a:extLst>
                <a:ext uri="{63B3BB69-23CF-44E3-9099-C40C66FF867C}">
                  <a14:compatExt spid="_x0000_s15375"/>
                </a:ext>
                <a:ext uri="{FF2B5EF4-FFF2-40B4-BE49-F238E27FC236}">
                  <a16:creationId xmlns:a16="http://schemas.microsoft.com/office/drawing/2014/main" id="{00000000-0008-0000-1300-00000F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48</xdr:row>
          <xdr:rowOff>0</xdr:rowOff>
        </xdr:from>
        <xdr:to>
          <xdr:col>7</xdr:col>
          <xdr:colOff>0</xdr:colOff>
          <xdr:row>49</xdr:row>
          <xdr:rowOff>9525</xdr:rowOff>
        </xdr:to>
        <xdr:sp macro="" textlink="">
          <xdr:nvSpPr>
            <xdr:cNvPr id="15376" name="Drop Down 16" hidden="1">
              <a:extLst>
                <a:ext uri="{63B3BB69-23CF-44E3-9099-C40C66FF867C}">
                  <a14:compatExt spid="_x0000_s15376"/>
                </a:ext>
                <a:ext uri="{FF2B5EF4-FFF2-40B4-BE49-F238E27FC236}">
                  <a16:creationId xmlns:a16="http://schemas.microsoft.com/office/drawing/2014/main" id="{00000000-0008-0000-1300-000010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52</xdr:row>
          <xdr:rowOff>47625</xdr:rowOff>
        </xdr:from>
        <xdr:to>
          <xdr:col>7</xdr:col>
          <xdr:colOff>0</xdr:colOff>
          <xdr:row>52</xdr:row>
          <xdr:rowOff>304800</xdr:rowOff>
        </xdr:to>
        <xdr:sp macro="" textlink="">
          <xdr:nvSpPr>
            <xdr:cNvPr id="15377" name="Drop Down 17" hidden="1">
              <a:extLst>
                <a:ext uri="{63B3BB69-23CF-44E3-9099-C40C66FF867C}">
                  <a14:compatExt spid="_x0000_s15377"/>
                </a:ext>
                <a:ext uri="{FF2B5EF4-FFF2-40B4-BE49-F238E27FC236}">
                  <a16:creationId xmlns:a16="http://schemas.microsoft.com/office/drawing/2014/main" id="{00000000-0008-0000-1300-000011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55</xdr:row>
          <xdr:rowOff>266700</xdr:rowOff>
        </xdr:from>
        <xdr:to>
          <xdr:col>7</xdr:col>
          <xdr:colOff>0</xdr:colOff>
          <xdr:row>55</xdr:row>
          <xdr:rowOff>561975</xdr:rowOff>
        </xdr:to>
        <xdr:sp macro="" textlink="">
          <xdr:nvSpPr>
            <xdr:cNvPr id="15378" name="Drop Down 18" hidden="1">
              <a:extLst>
                <a:ext uri="{63B3BB69-23CF-44E3-9099-C40C66FF867C}">
                  <a14:compatExt spid="_x0000_s15378"/>
                </a:ext>
                <a:ext uri="{FF2B5EF4-FFF2-40B4-BE49-F238E27FC236}">
                  <a16:creationId xmlns:a16="http://schemas.microsoft.com/office/drawing/2014/main" id="{00000000-0008-0000-1300-00001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xdr:row>
          <xdr:rowOff>0</xdr:rowOff>
        </xdr:from>
        <xdr:to>
          <xdr:col>7</xdr:col>
          <xdr:colOff>0</xdr:colOff>
          <xdr:row>20</xdr:row>
          <xdr:rowOff>9525</xdr:rowOff>
        </xdr:to>
        <xdr:sp macro="" textlink="">
          <xdr:nvSpPr>
            <xdr:cNvPr id="15385" name="Drop Down 25" hidden="1">
              <a:extLst>
                <a:ext uri="{63B3BB69-23CF-44E3-9099-C40C66FF867C}">
                  <a14:compatExt spid="_x0000_s15385"/>
                </a:ext>
                <a:ext uri="{FF2B5EF4-FFF2-40B4-BE49-F238E27FC236}">
                  <a16:creationId xmlns:a16="http://schemas.microsoft.com/office/drawing/2014/main" id="{00000000-0008-0000-1300-000019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5</xdr:row>
          <xdr:rowOff>200025</xdr:rowOff>
        </xdr:from>
        <xdr:to>
          <xdr:col>7</xdr:col>
          <xdr:colOff>0</xdr:colOff>
          <xdr:row>5</xdr:row>
          <xdr:rowOff>447675</xdr:rowOff>
        </xdr:to>
        <xdr:sp macro="" textlink="">
          <xdr:nvSpPr>
            <xdr:cNvPr id="17409" name="Drop Down 1" hidden="1">
              <a:extLst>
                <a:ext uri="{63B3BB69-23CF-44E3-9099-C40C66FF867C}">
                  <a14:compatExt spid="_x0000_s17409"/>
                </a:ext>
                <a:ext uri="{FF2B5EF4-FFF2-40B4-BE49-F238E27FC236}">
                  <a16:creationId xmlns:a16="http://schemas.microsoft.com/office/drawing/2014/main" id="{00000000-0008-0000-14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xdr:row>
          <xdr:rowOff>257175</xdr:rowOff>
        </xdr:from>
        <xdr:to>
          <xdr:col>7</xdr:col>
          <xdr:colOff>0</xdr:colOff>
          <xdr:row>12</xdr:row>
          <xdr:rowOff>504825</xdr:rowOff>
        </xdr:to>
        <xdr:sp macro="" textlink="">
          <xdr:nvSpPr>
            <xdr:cNvPr id="17410" name="Drop Down 2" hidden="1">
              <a:extLst>
                <a:ext uri="{63B3BB69-23CF-44E3-9099-C40C66FF867C}">
                  <a14:compatExt spid="_x0000_s17410"/>
                </a:ext>
                <a:ext uri="{FF2B5EF4-FFF2-40B4-BE49-F238E27FC236}">
                  <a16:creationId xmlns:a16="http://schemas.microsoft.com/office/drawing/2014/main" id="{00000000-0008-0000-1400-000002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152400</xdr:rowOff>
        </xdr:from>
        <xdr:to>
          <xdr:col>7</xdr:col>
          <xdr:colOff>0</xdr:colOff>
          <xdr:row>25</xdr:row>
          <xdr:rowOff>409575</xdr:rowOff>
        </xdr:to>
        <xdr:sp macro="" textlink="">
          <xdr:nvSpPr>
            <xdr:cNvPr id="17411" name="Drop Down 3" hidden="1">
              <a:extLst>
                <a:ext uri="{63B3BB69-23CF-44E3-9099-C40C66FF867C}">
                  <a14:compatExt spid="_x0000_s17411"/>
                </a:ext>
                <a:ext uri="{FF2B5EF4-FFF2-40B4-BE49-F238E27FC236}">
                  <a16:creationId xmlns:a16="http://schemas.microsoft.com/office/drawing/2014/main" id="{00000000-0008-0000-14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266700</xdr:rowOff>
        </xdr:from>
        <xdr:to>
          <xdr:col>7</xdr:col>
          <xdr:colOff>0</xdr:colOff>
          <xdr:row>28</xdr:row>
          <xdr:rowOff>523875</xdr:rowOff>
        </xdr:to>
        <xdr:sp macro="" textlink="">
          <xdr:nvSpPr>
            <xdr:cNvPr id="17412" name="Drop Down 4" hidden="1">
              <a:extLst>
                <a:ext uri="{63B3BB69-23CF-44E3-9099-C40C66FF867C}">
                  <a14:compatExt spid="_x0000_s17412"/>
                </a:ext>
                <a:ext uri="{FF2B5EF4-FFF2-40B4-BE49-F238E27FC236}">
                  <a16:creationId xmlns:a16="http://schemas.microsoft.com/office/drawing/2014/main" id="{00000000-0008-0000-14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76200</xdr:rowOff>
        </xdr:from>
        <xdr:to>
          <xdr:col>7</xdr:col>
          <xdr:colOff>0</xdr:colOff>
          <xdr:row>31</xdr:row>
          <xdr:rowOff>333375</xdr:rowOff>
        </xdr:to>
        <xdr:sp macro="" textlink="">
          <xdr:nvSpPr>
            <xdr:cNvPr id="17413" name="Drop Down 5" hidden="1">
              <a:extLst>
                <a:ext uri="{63B3BB69-23CF-44E3-9099-C40C66FF867C}">
                  <a14:compatExt spid="_x0000_s17413"/>
                </a:ext>
                <a:ext uri="{FF2B5EF4-FFF2-40B4-BE49-F238E27FC236}">
                  <a16:creationId xmlns:a16="http://schemas.microsoft.com/office/drawing/2014/main" id="{00000000-0008-0000-1400-000005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190500</xdr:rowOff>
        </xdr:from>
        <xdr:to>
          <xdr:col>7</xdr:col>
          <xdr:colOff>0</xdr:colOff>
          <xdr:row>34</xdr:row>
          <xdr:rowOff>447675</xdr:rowOff>
        </xdr:to>
        <xdr:sp macro="" textlink="">
          <xdr:nvSpPr>
            <xdr:cNvPr id="17414" name="Drop Down 6" hidden="1">
              <a:extLst>
                <a:ext uri="{63B3BB69-23CF-44E3-9099-C40C66FF867C}">
                  <a14:compatExt spid="_x0000_s17414"/>
                </a:ext>
                <a:ext uri="{FF2B5EF4-FFF2-40B4-BE49-F238E27FC236}">
                  <a16:creationId xmlns:a16="http://schemas.microsoft.com/office/drawing/2014/main" id="{00000000-0008-0000-1400-000006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76200</xdr:rowOff>
        </xdr:from>
        <xdr:to>
          <xdr:col>7</xdr:col>
          <xdr:colOff>0</xdr:colOff>
          <xdr:row>37</xdr:row>
          <xdr:rowOff>333375</xdr:rowOff>
        </xdr:to>
        <xdr:sp macro="" textlink="">
          <xdr:nvSpPr>
            <xdr:cNvPr id="17415" name="Drop Down 7" hidden="1">
              <a:extLst>
                <a:ext uri="{63B3BB69-23CF-44E3-9099-C40C66FF867C}">
                  <a14:compatExt spid="_x0000_s17415"/>
                </a:ext>
                <a:ext uri="{FF2B5EF4-FFF2-40B4-BE49-F238E27FC236}">
                  <a16:creationId xmlns:a16="http://schemas.microsoft.com/office/drawing/2014/main" id="{00000000-0008-0000-1400-000007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257175</xdr:rowOff>
        </xdr:from>
        <xdr:to>
          <xdr:col>7</xdr:col>
          <xdr:colOff>0</xdr:colOff>
          <xdr:row>40</xdr:row>
          <xdr:rowOff>504825</xdr:rowOff>
        </xdr:to>
        <xdr:sp macro="" textlink="">
          <xdr:nvSpPr>
            <xdr:cNvPr id="17416" name="Drop Down 8" hidden="1">
              <a:extLst>
                <a:ext uri="{63B3BB69-23CF-44E3-9099-C40C66FF867C}">
                  <a14:compatExt spid="_x0000_s17416"/>
                </a:ext>
                <a:ext uri="{FF2B5EF4-FFF2-40B4-BE49-F238E27FC236}">
                  <a16:creationId xmlns:a16="http://schemas.microsoft.com/office/drawing/2014/main" id="{00000000-0008-0000-1400-000008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43</xdr:row>
          <xdr:rowOff>419100</xdr:rowOff>
        </xdr:from>
        <xdr:to>
          <xdr:col>7</xdr:col>
          <xdr:colOff>0</xdr:colOff>
          <xdr:row>43</xdr:row>
          <xdr:rowOff>676275</xdr:rowOff>
        </xdr:to>
        <xdr:sp macro="" textlink="">
          <xdr:nvSpPr>
            <xdr:cNvPr id="17417" name="Drop Down 9" hidden="1">
              <a:extLst>
                <a:ext uri="{63B3BB69-23CF-44E3-9099-C40C66FF867C}">
                  <a14:compatExt spid="_x0000_s17417"/>
                </a:ext>
                <a:ext uri="{FF2B5EF4-FFF2-40B4-BE49-F238E27FC236}">
                  <a16:creationId xmlns:a16="http://schemas.microsoft.com/office/drawing/2014/main" id="{00000000-0008-0000-1400-000009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257175</xdr:rowOff>
        </xdr:from>
        <xdr:to>
          <xdr:col>7</xdr:col>
          <xdr:colOff>0</xdr:colOff>
          <xdr:row>46</xdr:row>
          <xdr:rowOff>504825</xdr:rowOff>
        </xdr:to>
        <xdr:sp macro="" textlink="">
          <xdr:nvSpPr>
            <xdr:cNvPr id="17418" name="Drop Down 10" hidden="1">
              <a:extLst>
                <a:ext uri="{63B3BB69-23CF-44E3-9099-C40C66FF867C}">
                  <a14:compatExt spid="_x0000_s17418"/>
                </a:ext>
                <a:ext uri="{FF2B5EF4-FFF2-40B4-BE49-F238E27FC236}">
                  <a16:creationId xmlns:a16="http://schemas.microsoft.com/office/drawing/2014/main" id="{00000000-0008-0000-1400-00000A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49</xdr:row>
          <xdr:rowOff>419100</xdr:rowOff>
        </xdr:from>
        <xdr:to>
          <xdr:col>7</xdr:col>
          <xdr:colOff>0</xdr:colOff>
          <xdr:row>49</xdr:row>
          <xdr:rowOff>676275</xdr:rowOff>
        </xdr:to>
        <xdr:sp macro="" textlink="">
          <xdr:nvSpPr>
            <xdr:cNvPr id="17419" name="Drop Down 11" hidden="1">
              <a:extLst>
                <a:ext uri="{63B3BB69-23CF-44E3-9099-C40C66FF867C}">
                  <a14:compatExt spid="_x0000_s17419"/>
                </a:ext>
                <a:ext uri="{FF2B5EF4-FFF2-40B4-BE49-F238E27FC236}">
                  <a16:creationId xmlns:a16="http://schemas.microsoft.com/office/drawing/2014/main" id="{00000000-0008-0000-1400-00000B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52</xdr:row>
          <xdr:rowOff>333375</xdr:rowOff>
        </xdr:from>
        <xdr:to>
          <xdr:col>7</xdr:col>
          <xdr:colOff>0</xdr:colOff>
          <xdr:row>52</xdr:row>
          <xdr:rowOff>581025</xdr:rowOff>
        </xdr:to>
        <xdr:sp macro="" textlink="">
          <xdr:nvSpPr>
            <xdr:cNvPr id="17420" name="Drop Down 12" hidden="1">
              <a:extLst>
                <a:ext uri="{63B3BB69-23CF-44E3-9099-C40C66FF867C}">
                  <a14:compatExt spid="_x0000_s17420"/>
                </a:ext>
                <a:ext uri="{FF2B5EF4-FFF2-40B4-BE49-F238E27FC236}">
                  <a16:creationId xmlns:a16="http://schemas.microsoft.com/office/drawing/2014/main" id="{00000000-0008-0000-1400-00000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59</xdr:row>
          <xdr:rowOff>266700</xdr:rowOff>
        </xdr:from>
        <xdr:to>
          <xdr:col>7</xdr:col>
          <xdr:colOff>0</xdr:colOff>
          <xdr:row>59</xdr:row>
          <xdr:rowOff>523875</xdr:rowOff>
        </xdr:to>
        <xdr:sp macro="" textlink="">
          <xdr:nvSpPr>
            <xdr:cNvPr id="17421" name="Drop Down 13" hidden="1">
              <a:extLst>
                <a:ext uri="{63B3BB69-23CF-44E3-9099-C40C66FF867C}">
                  <a14:compatExt spid="_x0000_s17421"/>
                </a:ext>
                <a:ext uri="{FF2B5EF4-FFF2-40B4-BE49-F238E27FC236}">
                  <a16:creationId xmlns:a16="http://schemas.microsoft.com/office/drawing/2014/main" id="{00000000-0008-0000-1400-00000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66</xdr:row>
          <xdr:rowOff>180975</xdr:rowOff>
        </xdr:from>
        <xdr:to>
          <xdr:col>7</xdr:col>
          <xdr:colOff>0</xdr:colOff>
          <xdr:row>66</xdr:row>
          <xdr:rowOff>419100</xdr:rowOff>
        </xdr:to>
        <xdr:sp macro="" textlink="">
          <xdr:nvSpPr>
            <xdr:cNvPr id="17422" name="Drop Down 14" hidden="1">
              <a:extLst>
                <a:ext uri="{63B3BB69-23CF-44E3-9099-C40C66FF867C}">
                  <a14:compatExt spid="_x0000_s17422"/>
                </a:ext>
                <a:ext uri="{FF2B5EF4-FFF2-40B4-BE49-F238E27FC236}">
                  <a16:creationId xmlns:a16="http://schemas.microsoft.com/office/drawing/2014/main" id="{00000000-0008-0000-1400-00000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69</xdr:row>
          <xdr:rowOff>295275</xdr:rowOff>
        </xdr:from>
        <xdr:to>
          <xdr:col>7</xdr:col>
          <xdr:colOff>0</xdr:colOff>
          <xdr:row>69</xdr:row>
          <xdr:rowOff>533400</xdr:rowOff>
        </xdr:to>
        <xdr:sp macro="" textlink="">
          <xdr:nvSpPr>
            <xdr:cNvPr id="17423" name="Drop Down 15" hidden="1">
              <a:extLst>
                <a:ext uri="{63B3BB69-23CF-44E3-9099-C40C66FF867C}">
                  <a14:compatExt spid="_x0000_s17423"/>
                </a:ext>
                <a:ext uri="{FF2B5EF4-FFF2-40B4-BE49-F238E27FC236}">
                  <a16:creationId xmlns:a16="http://schemas.microsoft.com/office/drawing/2014/main" id="{00000000-0008-0000-1400-00000F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72</xdr:row>
          <xdr:rowOff>180975</xdr:rowOff>
        </xdr:from>
        <xdr:to>
          <xdr:col>7</xdr:col>
          <xdr:colOff>0</xdr:colOff>
          <xdr:row>72</xdr:row>
          <xdr:rowOff>419100</xdr:rowOff>
        </xdr:to>
        <xdr:sp macro="" textlink="">
          <xdr:nvSpPr>
            <xdr:cNvPr id="17424" name="Drop Down 16" hidden="1">
              <a:extLst>
                <a:ext uri="{63B3BB69-23CF-44E3-9099-C40C66FF867C}">
                  <a14:compatExt spid="_x0000_s17424"/>
                </a:ext>
                <a:ext uri="{FF2B5EF4-FFF2-40B4-BE49-F238E27FC236}">
                  <a16:creationId xmlns:a16="http://schemas.microsoft.com/office/drawing/2014/main" id="{00000000-0008-0000-1400-00001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75</xdr:row>
          <xdr:rowOff>219075</xdr:rowOff>
        </xdr:from>
        <xdr:to>
          <xdr:col>7</xdr:col>
          <xdr:colOff>0</xdr:colOff>
          <xdr:row>75</xdr:row>
          <xdr:rowOff>457200</xdr:rowOff>
        </xdr:to>
        <xdr:sp macro="" textlink="">
          <xdr:nvSpPr>
            <xdr:cNvPr id="17425" name="Drop Down 17" hidden="1">
              <a:extLst>
                <a:ext uri="{63B3BB69-23CF-44E3-9099-C40C66FF867C}">
                  <a14:compatExt spid="_x0000_s17425"/>
                </a:ext>
                <a:ext uri="{FF2B5EF4-FFF2-40B4-BE49-F238E27FC236}">
                  <a16:creationId xmlns:a16="http://schemas.microsoft.com/office/drawing/2014/main" id="{00000000-0008-0000-1400-00001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61</xdr:row>
          <xdr:rowOff>0</xdr:rowOff>
        </xdr:from>
        <xdr:to>
          <xdr:col>7</xdr:col>
          <xdr:colOff>0</xdr:colOff>
          <xdr:row>66</xdr:row>
          <xdr:rowOff>247650</xdr:rowOff>
        </xdr:to>
        <xdr:sp macro="" textlink="">
          <xdr:nvSpPr>
            <xdr:cNvPr id="17426" name="Drop Down 18" hidden="1">
              <a:extLst>
                <a:ext uri="{63B3BB69-23CF-44E3-9099-C40C66FF867C}">
                  <a14:compatExt spid="_x0000_s17426"/>
                </a:ext>
                <a:ext uri="{FF2B5EF4-FFF2-40B4-BE49-F238E27FC236}">
                  <a16:creationId xmlns:a16="http://schemas.microsoft.com/office/drawing/2014/main" id="{00000000-0008-0000-1400-000012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54</xdr:row>
          <xdr:rowOff>0</xdr:rowOff>
        </xdr:from>
        <xdr:to>
          <xdr:col>7</xdr:col>
          <xdr:colOff>0</xdr:colOff>
          <xdr:row>59</xdr:row>
          <xdr:rowOff>247650</xdr:rowOff>
        </xdr:to>
        <xdr:sp macro="" textlink="">
          <xdr:nvSpPr>
            <xdr:cNvPr id="17427" name="Drop Down 19" hidden="1">
              <a:extLst>
                <a:ext uri="{63B3BB69-23CF-44E3-9099-C40C66FF867C}">
                  <a14:compatExt spid="_x0000_s17427"/>
                </a:ext>
                <a:ext uri="{FF2B5EF4-FFF2-40B4-BE49-F238E27FC236}">
                  <a16:creationId xmlns:a16="http://schemas.microsoft.com/office/drawing/2014/main" id="{00000000-0008-0000-1400-00001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53</xdr:row>
          <xdr:rowOff>0</xdr:rowOff>
        </xdr:from>
        <xdr:to>
          <xdr:col>7</xdr:col>
          <xdr:colOff>0</xdr:colOff>
          <xdr:row>59</xdr:row>
          <xdr:rowOff>247650</xdr:rowOff>
        </xdr:to>
        <xdr:sp macro="" textlink="">
          <xdr:nvSpPr>
            <xdr:cNvPr id="17429" name="Drop Down 21" hidden="1">
              <a:extLst>
                <a:ext uri="{63B3BB69-23CF-44E3-9099-C40C66FF867C}">
                  <a14:compatExt spid="_x0000_s17429"/>
                </a:ext>
                <a:ext uri="{FF2B5EF4-FFF2-40B4-BE49-F238E27FC236}">
                  <a16:creationId xmlns:a16="http://schemas.microsoft.com/office/drawing/2014/main" id="{00000000-0008-0000-1400-000015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60</xdr:row>
          <xdr:rowOff>0</xdr:rowOff>
        </xdr:from>
        <xdr:to>
          <xdr:col>7</xdr:col>
          <xdr:colOff>0</xdr:colOff>
          <xdr:row>66</xdr:row>
          <xdr:rowOff>247650</xdr:rowOff>
        </xdr:to>
        <xdr:sp macro="" textlink="">
          <xdr:nvSpPr>
            <xdr:cNvPr id="17430" name="Drop Down 22" hidden="1">
              <a:extLst>
                <a:ext uri="{63B3BB69-23CF-44E3-9099-C40C66FF867C}">
                  <a14:compatExt spid="_x0000_s17430"/>
                </a:ext>
                <a:ext uri="{FF2B5EF4-FFF2-40B4-BE49-F238E27FC236}">
                  <a16:creationId xmlns:a16="http://schemas.microsoft.com/office/drawing/2014/main" id="{00000000-0008-0000-1400-000016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0</xdr:rowOff>
        </xdr:from>
        <xdr:to>
          <xdr:col>7</xdr:col>
          <xdr:colOff>0</xdr:colOff>
          <xdr:row>12</xdr:row>
          <xdr:rowOff>247650</xdr:rowOff>
        </xdr:to>
        <xdr:sp macro="" textlink="">
          <xdr:nvSpPr>
            <xdr:cNvPr id="17431" name="Drop Down 23" hidden="1">
              <a:extLst>
                <a:ext uri="{63B3BB69-23CF-44E3-9099-C40C66FF867C}">
                  <a14:compatExt spid="_x0000_s17431"/>
                </a:ext>
                <a:ext uri="{FF2B5EF4-FFF2-40B4-BE49-F238E27FC236}">
                  <a16:creationId xmlns:a16="http://schemas.microsoft.com/office/drawing/2014/main" id="{00000000-0008-0000-1400-000017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0</xdr:rowOff>
        </xdr:from>
        <xdr:to>
          <xdr:col>7</xdr:col>
          <xdr:colOff>0</xdr:colOff>
          <xdr:row>12</xdr:row>
          <xdr:rowOff>247650</xdr:rowOff>
        </xdr:to>
        <xdr:sp macro="" textlink="">
          <xdr:nvSpPr>
            <xdr:cNvPr id="17432" name="Drop Down 24" hidden="1">
              <a:extLst>
                <a:ext uri="{63B3BB69-23CF-44E3-9099-C40C66FF867C}">
                  <a14:compatExt spid="_x0000_s17432"/>
                </a:ext>
                <a:ext uri="{FF2B5EF4-FFF2-40B4-BE49-F238E27FC236}">
                  <a16:creationId xmlns:a16="http://schemas.microsoft.com/office/drawing/2014/main" id="{00000000-0008-0000-1400-000018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xdr:row>
          <xdr:rowOff>0</xdr:rowOff>
        </xdr:from>
        <xdr:to>
          <xdr:col>7</xdr:col>
          <xdr:colOff>0</xdr:colOff>
          <xdr:row>19</xdr:row>
          <xdr:rowOff>247650</xdr:rowOff>
        </xdr:to>
        <xdr:sp macro="" textlink="">
          <xdr:nvSpPr>
            <xdr:cNvPr id="17433" name="Drop Down 25" hidden="1">
              <a:extLst>
                <a:ext uri="{63B3BB69-23CF-44E3-9099-C40C66FF867C}">
                  <a14:compatExt spid="_x0000_s17433"/>
                </a:ext>
                <a:ext uri="{FF2B5EF4-FFF2-40B4-BE49-F238E27FC236}">
                  <a16:creationId xmlns:a16="http://schemas.microsoft.com/office/drawing/2014/main" id="{00000000-0008-0000-1400-000019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xdr:row>
          <xdr:rowOff>0</xdr:rowOff>
        </xdr:from>
        <xdr:to>
          <xdr:col>7</xdr:col>
          <xdr:colOff>0</xdr:colOff>
          <xdr:row>19</xdr:row>
          <xdr:rowOff>247650</xdr:rowOff>
        </xdr:to>
        <xdr:sp macro="" textlink="">
          <xdr:nvSpPr>
            <xdr:cNvPr id="17434" name="Drop Down 26" hidden="1">
              <a:extLst>
                <a:ext uri="{63B3BB69-23CF-44E3-9099-C40C66FF867C}">
                  <a14:compatExt spid="_x0000_s17434"/>
                </a:ext>
                <a:ext uri="{FF2B5EF4-FFF2-40B4-BE49-F238E27FC236}">
                  <a16:creationId xmlns:a16="http://schemas.microsoft.com/office/drawing/2014/main" id="{00000000-0008-0000-1400-00001A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xdr:row>
          <xdr:rowOff>0</xdr:rowOff>
        </xdr:from>
        <xdr:to>
          <xdr:col>7</xdr:col>
          <xdr:colOff>0</xdr:colOff>
          <xdr:row>25</xdr:row>
          <xdr:rowOff>247650</xdr:rowOff>
        </xdr:to>
        <xdr:sp macro="" textlink="">
          <xdr:nvSpPr>
            <xdr:cNvPr id="17437" name="Drop Down 29" hidden="1">
              <a:extLst>
                <a:ext uri="{63B3BB69-23CF-44E3-9099-C40C66FF867C}">
                  <a14:compatExt spid="_x0000_s17437"/>
                </a:ext>
                <a:ext uri="{FF2B5EF4-FFF2-40B4-BE49-F238E27FC236}">
                  <a16:creationId xmlns:a16="http://schemas.microsoft.com/office/drawing/2014/main" id="{00000000-0008-0000-1400-00001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xdr:row>
          <xdr:rowOff>381000</xdr:rowOff>
        </xdr:from>
        <xdr:to>
          <xdr:col>7</xdr:col>
          <xdr:colOff>0</xdr:colOff>
          <xdr:row>19</xdr:row>
          <xdr:rowOff>628650</xdr:rowOff>
        </xdr:to>
        <xdr:sp macro="" textlink="">
          <xdr:nvSpPr>
            <xdr:cNvPr id="17438" name="Drop Down 30" hidden="1">
              <a:extLst>
                <a:ext uri="{63B3BB69-23CF-44E3-9099-C40C66FF867C}">
                  <a14:compatExt spid="_x0000_s17438"/>
                </a:ext>
                <a:ext uri="{FF2B5EF4-FFF2-40B4-BE49-F238E27FC236}">
                  <a16:creationId xmlns:a16="http://schemas.microsoft.com/office/drawing/2014/main" id="{00000000-0008-0000-1400-00001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2333625</xdr:colOff>
          <xdr:row>6</xdr:row>
          <xdr:rowOff>257175</xdr:rowOff>
        </xdr:from>
        <xdr:to>
          <xdr:col>7</xdr:col>
          <xdr:colOff>0</xdr:colOff>
          <xdr:row>7</xdr:row>
          <xdr:rowOff>257175</xdr:rowOff>
        </xdr:to>
        <xdr:sp macro="" textlink="">
          <xdr:nvSpPr>
            <xdr:cNvPr id="18433" name="Drop Down 1" hidden="1">
              <a:extLst>
                <a:ext uri="{63B3BB69-23CF-44E3-9099-C40C66FF867C}">
                  <a14:compatExt spid="_x0000_s18433"/>
                </a:ext>
                <a:ext uri="{FF2B5EF4-FFF2-40B4-BE49-F238E27FC236}">
                  <a16:creationId xmlns:a16="http://schemas.microsoft.com/office/drawing/2014/main" id="{00000000-0008-0000-16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8</xdr:row>
          <xdr:rowOff>104775</xdr:rowOff>
        </xdr:from>
        <xdr:to>
          <xdr:col>7</xdr:col>
          <xdr:colOff>0</xdr:colOff>
          <xdr:row>8</xdr:row>
          <xdr:rowOff>342900</xdr:rowOff>
        </xdr:to>
        <xdr:sp macro="" textlink="">
          <xdr:nvSpPr>
            <xdr:cNvPr id="18434" name="Drop Down 2" hidden="1">
              <a:extLst>
                <a:ext uri="{63B3BB69-23CF-44E3-9099-C40C66FF867C}">
                  <a14:compatExt spid="_x0000_s18434"/>
                </a:ext>
                <a:ext uri="{FF2B5EF4-FFF2-40B4-BE49-F238E27FC236}">
                  <a16:creationId xmlns:a16="http://schemas.microsoft.com/office/drawing/2014/main" id="{00000000-0008-0000-1600-000002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9</xdr:row>
          <xdr:rowOff>333375</xdr:rowOff>
        </xdr:from>
        <xdr:to>
          <xdr:col>7</xdr:col>
          <xdr:colOff>0</xdr:colOff>
          <xdr:row>9</xdr:row>
          <xdr:rowOff>571500</xdr:rowOff>
        </xdr:to>
        <xdr:sp macro="" textlink="">
          <xdr:nvSpPr>
            <xdr:cNvPr id="18435" name="Drop Down 3" hidden="1">
              <a:extLst>
                <a:ext uri="{63B3BB69-23CF-44E3-9099-C40C66FF867C}">
                  <a14:compatExt spid="_x0000_s18435"/>
                </a:ext>
                <a:ext uri="{FF2B5EF4-FFF2-40B4-BE49-F238E27FC236}">
                  <a16:creationId xmlns:a16="http://schemas.microsoft.com/office/drawing/2014/main" id="{00000000-0008-0000-1600-000003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10</xdr:row>
          <xdr:rowOff>142875</xdr:rowOff>
        </xdr:from>
        <xdr:to>
          <xdr:col>7</xdr:col>
          <xdr:colOff>0</xdr:colOff>
          <xdr:row>10</xdr:row>
          <xdr:rowOff>409575</xdr:rowOff>
        </xdr:to>
        <xdr:sp macro="" textlink="">
          <xdr:nvSpPr>
            <xdr:cNvPr id="18436" name="Drop Down 4" hidden="1">
              <a:extLst>
                <a:ext uri="{63B3BB69-23CF-44E3-9099-C40C66FF867C}">
                  <a14:compatExt spid="_x0000_s18436"/>
                </a:ext>
                <a:ext uri="{FF2B5EF4-FFF2-40B4-BE49-F238E27FC236}">
                  <a16:creationId xmlns:a16="http://schemas.microsoft.com/office/drawing/2014/main" id="{00000000-0008-0000-1600-000004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11</xdr:row>
          <xdr:rowOff>142875</xdr:rowOff>
        </xdr:from>
        <xdr:to>
          <xdr:col>7</xdr:col>
          <xdr:colOff>0</xdr:colOff>
          <xdr:row>11</xdr:row>
          <xdr:rowOff>390525</xdr:rowOff>
        </xdr:to>
        <xdr:sp macro="" textlink="">
          <xdr:nvSpPr>
            <xdr:cNvPr id="18437" name="Drop Down 5" hidden="1">
              <a:extLst>
                <a:ext uri="{63B3BB69-23CF-44E3-9099-C40C66FF867C}">
                  <a14:compatExt spid="_x0000_s18437"/>
                </a:ext>
                <a:ext uri="{FF2B5EF4-FFF2-40B4-BE49-F238E27FC236}">
                  <a16:creationId xmlns:a16="http://schemas.microsoft.com/office/drawing/2014/main" id="{00000000-0008-0000-16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12</xdr:row>
          <xdr:rowOff>219075</xdr:rowOff>
        </xdr:from>
        <xdr:to>
          <xdr:col>7</xdr:col>
          <xdr:colOff>0</xdr:colOff>
          <xdr:row>12</xdr:row>
          <xdr:rowOff>466725</xdr:rowOff>
        </xdr:to>
        <xdr:sp macro="" textlink="">
          <xdr:nvSpPr>
            <xdr:cNvPr id="18438" name="Drop Down 6" hidden="1">
              <a:extLst>
                <a:ext uri="{63B3BB69-23CF-44E3-9099-C40C66FF867C}">
                  <a14:compatExt spid="_x0000_s18438"/>
                </a:ext>
                <a:ext uri="{FF2B5EF4-FFF2-40B4-BE49-F238E27FC236}">
                  <a16:creationId xmlns:a16="http://schemas.microsoft.com/office/drawing/2014/main" id="{00000000-0008-0000-16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13</xdr:row>
          <xdr:rowOff>0</xdr:rowOff>
        </xdr:from>
        <xdr:to>
          <xdr:col>7</xdr:col>
          <xdr:colOff>0</xdr:colOff>
          <xdr:row>14</xdr:row>
          <xdr:rowOff>0</xdr:rowOff>
        </xdr:to>
        <xdr:sp macro="" textlink="">
          <xdr:nvSpPr>
            <xdr:cNvPr id="18439" name="Drop Down 7" hidden="1">
              <a:extLst>
                <a:ext uri="{63B3BB69-23CF-44E3-9099-C40C66FF867C}">
                  <a14:compatExt spid="_x0000_s18439"/>
                </a:ext>
                <a:ext uri="{FF2B5EF4-FFF2-40B4-BE49-F238E27FC236}">
                  <a16:creationId xmlns:a16="http://schemas.microsoft.com/office/drawing/2014/main" id="{00000000-0008-0000-1600-000007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14</xdr:row>
          <xdr:rowOff>200025</xdr:rowOff>
        </xdr:from>
        <xdr:to>
          <xdr:col>7</xdr:col>
          <xdr:colOff>0</xdr:colOff>
          <xdr:row>14</xdr:row>
          <xdr:rowOff>447675</xdr:rowOff>
        </xdr:to>
        <xdr:sp macro="" textlink="">
          <xdr:nvSpPr>
            <xdr:cNvPr id="18440" name="Drop Down 8" hidden="1">
              <a:extLst>
                <a:ext uri="{63B3BB69-23CF-44E3-9099-C40C66FF867C}">
                  <a14:compatExt spid="_x0000_s18440"/>
                </a:ext>
                <a:ext uri="{FF2B5EF4-FFF2-40B4-BE49-F238E27FC236}">
                  <a16:creationId xmlns:a16="http://schemas.microsoft.com/office/drawing/2014/main" id="{00000000-0008-0000-1600-000008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14</xdr:row>
          <xdr:rowOff>657225</xdr:rowOff>
        </xdr:from>
        <xdr:to>
          <xdr:col>7</xdr:col>
          <xdr:colOff>0</xdr:colOff>
          <xdr:row>16</xdr:row>
          <xdr:rowOff>0</xdr:rowOff>
        </xdr:to>
        <xdr:sp macro="" textlink="">
          <xdr:nvSpPr>
            <xdr:cNvPr id="18441" name="Drop Down 9" hidden="1">
              <a:extLst>
                <a:ext uri="{63B3BB69-23CF-44E3-9099-C40C66FF867C}">
                  <a14:compatExt spid="_x0000_s18441"/>
                </a:ext>
                <a:ext uri="{FF2B5EF4-FFF2-40B4-BE49-F238E27FC236}">
                  <a16:creationId xmlns:a16="http://schemas.microsoft.com/office/drawing/2014/main" id="{00000000-0008-0000-1600-000009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16</xdr:row>
          <xdr:rowOff>123825</xdr:rowOff>
        </xdr:from>
        <xdr:to>
          <xdr:col>7</xdr:col>
          <xdr:colOff>0</xdr:colOff>
          <xdr:row>16</xdr:row>
          <xdr:rowOff>371475</xdr:rowOff>
        </xdr:to>
        <xdr:sp macro="" textlink="">
          <xdr:nvSpPr>
            <xdr:cNvPr id="18442" name="Drop Down 10" hidden="1">
              <a:extLst>
                <a:ext uri="{63B3BB69-23CF-44E3-9099-C40C66FF867C}">
                  <a14:compatExt spid="_x0000_s18442"/>
                </a:ext>
                <a:ext uri="{FF2B5EF4-FFF2-40B4-BE49-F238E27FC236}">
                  <a16:creationId xmlns:a16="http://schemas.microsoft.com/office/drawing/2014/main" id="{00000000-0008-0000-1600-00000A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66675</xdr:rowOff>
        </xdr:from>
        <xdr:to>
          <xdr:col>7</xdr:col>
          <xdr:colOff>0</xdr:colOff>
          <xdr:row>17</xdr:row>
          <xdr:rowOff>314325</xdr:rowOff>
        </xdr:to>
        <xdr:sp macro="" textlink="">
          <xdr:nvSpPr>
            <xdr:cNvPr id="18443" name="Drop Down 11" hidden="1">
              <a:extLst>
                <a:ext uri="{63B3BB69-23CF-44E3-9099-C40C66FF867C}">
                  <a14:compatExt spid="_x0000_s18443"/>
                </a:ext>
                <a:ext uri="{FF2B5EF4-FFF2-40B4-BE49-F238E27FC236}">
                  <a16:creationId xmlns:a16="http://schemas.microsoft.com/office/drawing/2014/main" id="{00000000-0008-0000-1600-00000B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xdr:row>
          <xdr:rowOff>342900</xdr:rowOff>
        </xdr:from>
        <xdr:to>
          <xdr:col>7</xdr:col>
          <xdr:colOff>0</xdr:colOff>
          <xdr:row>18</xdr:row>
          <xdr:rowOff>600075</xdr:rowOff>
        </xdr:to>
        <xdr:sp macro="" textlink="">
          <xdr:nvSpPr>
            <xdr:cNvPr id="18444" name="Drop Down 12" hidden="1">
              <a:extLst>
                <a:ext uri="{63B3BB69-23CF-44E3-9099-C40C66FF867C}">
                  <a14:compatExt spid="_x0000_s18444"/>
                </a:ext>
                <a:ext uri="{FF2B5EF4-FFF2-40B4-BE49-F238E27FC236}">
                  <a16:creationId xmlns:a16="http://schemas.microsoft.com/office/drawing/2014/main" id="{00000000-0008-0000-1600-00000C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19</xdr:row>
          <xdr:rowOff>228600</xdr:rowOff>
        </xdr:from>
        <xdr:to>
          <xdr:col>7</xdr:col>
          <xdr:colOff>0</xdr:colOff>
          <xdr:row>19</xdr:row>
          <xdr:rowOff>485775</xdr:rowOff>
        </xdr:to>
        <xdr:sp macro="" textlink="">
          <xdr:nvSpPr>
            <xdr:cNvPr id="18445" name="Drop Down 13" hidden="1">
              <a:extLst>
                <a:ext uri="{63B3BB69-23CF-44E3-9099-C40C66FF867C}">
                  <a14:compatExt spid="_x0000_s18445"/>
                </a:ext>
                <a:ext uri="{FF2B5EF4-FFF2-40B4-BE49-F238E27FC236}">
                  <a16:creationId xmlns:a16="http://schemas.microsoft.com/office/drawing/2014/main" id="{00000000-0008-0000-1600-00000D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161925</xdr:rowOff>
        </xdr:from>
        <xdr:to>
          <xdr:col>7</xdr:col>
          <xdr:colOff>0</xdr:colOff>
          <xdr:row>20</xdr:row>
          <xdr:rowOff>409575</xdr:rowOff>
        </xdr:to>
        <xdr:sp macro="" textlink="">
          <xdr:nvSpPr>
            <xdr:cNvPr id="18446" name="Drop Down 14" hidden="1">
              <a:extLst>
                <a:ext uri="{63B3BB69-23CF-44E3-9099-C40C66FF867C}">
                  <a14:compatExt spid="_x0000_s18446"/>
                </a:ext>
                <a:ext uri="{FF2B5EF4-FFF2-40B4-BE49-F238E27FC236}">
                  <a16:creationId xmlns:a16="http://schemas.microsoft.com/office/drawing/2014/main" id="{00000000-0008-0000-1600-00000E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21</xdr:row>
          <xdr:rowOff>85725</xdr:rowOff>
        </xdr:from>
        <xdr:to>
          <xdr:col>7</xdr:col>
          <xdr:colOff>0</xdr:colOff>
          <xdr:row>21</xdr:row>
          <xdr:rowOff>333375</xdr:rowOff>
        </xdr:to>
        <xdr:sp macro="" textlink="">
          <xdr:nvSpPr>
            <xdr:cNvPr id="18447" name="Drop Down 15" hidden="1">
              <a:extLst>
                <a:ext uri="{63B3BB69-23CF-44E3-9099-C40C66FF867C}">
                  <a14:compatExt spid="_x0000_s18447"/>
                </a:ext>
                <a:ext uri="{FF2B5EF4-FFF2-40B4-BE49-F238E27FC236}">
                  <a16:creationId xmlns:a16="http://schemas.microsoft.com/office/drawing/2014/main" id="{00000000-0008-0000-1600-00000F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180975</xdr:rowOff>
        </xdr:from>
        <xdr:to>
          <xdr:col>7</xdr:col>
          <xdr:colOff>0</xdr:colOff>
          <xdr:row>23</xdr:row>
          <xdr:rowOff>419100</xdr:rowOff>
        </xdr:to>
        <xdr:sp macro="" textlink="">
          <xdr:nvSpPr>
            <xdr:cNvPr id="18448" name="Drop Down 16" hidden="1">
              <a:extLst>
                <a:ext uri="{63B3BB69-23CF-44E3-9099-C40C66FF867C}">
                  <a14:compatExt spid="_x0000_s18448"/>
                </a:ext>
                <a:ext uri="{FF2B5EF4-FFF2-40B4-BE49-F238E27FC236}">
                  <a16:creationId xmlns:a16="http://schemas.microsoft.com/office/drawing/2014/main" id="{00000000-0008-0000-1600-000010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152400</xdr:rowOff>
        </xdr:from>
        <xdr:to>
          <xdr:col>7</xdr:col>
          <xdr:colOff>0</xdr:colOff>
          <xdr:row>24</xdr:row>
          <xdr:rowOff>409575</xdr:rowOff>
        </xdr:to>
        <xdr:sp macro="" textlink="">
          <xdr:nvSpPr>
            <xdr:cNvPr id="18449" name="Drop Down 17" hidden="1">
              <a:extLst>
                <a:ext uri="{63B3BB69-23CF-44E3-9099-C40C66FF867C}">
                  <a14:compatExt spid="_x0000_s18449"/>
                </a:ext>
                <a:ext uri="{FF2B5EF4-FFF2-40B4-BE49-F238E27FC236}">
                  <a16:creationId xmlns:a16="http://schemas.microsoft.com/office/drawing/2014/main" id="{00000000-0008-0000-1600-00001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22</xdr:row>
          <xdr:rowOff>304800</xdr:rowOff>
        </xdr:from>
        <xdr:to>
          <xdr:col>7</xdr:col>
          <xdr:colOff>0</xdr:colOff>
          <xdr:row>22</xdr:row>
          <xdr:rowOff>552450</xdr:rowOff>
        </xdr:to>
        <xdr:sp macro="" textlink="">
          <xdr:nvSpPr>
            <xdr:cNvPr id="18450" name="Drop Down 18" hidden="1">
              <a:extLst>
                <a:ext uri="{63B3BB69-23CF-44E3-9099-C40C66FF867C}">
                  <a14:compatExt spid="_x0000_s18450"/>
                </a:ext>
                <a:ext uri="{FF2B5EF4-FFF2-40B4-BE49-F238E27FC236}">
                  <a16:creationId xmlns:a16="http://schemas.microsoft.com/office/drawing/2014/main" id="{00000000-0008-0000-1600-000012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2.xml"/><Relationship Id="rId13" Type="http://schemas.openxmlformats.org/officeDocument/2006/relationships/ctrlProp" Target="../ctrlProps/ctrlProp17.xml"/><Relationship Id="rId18" Type="http://schemas.openxmlformats.org/officeDocument/2006/relationships/ctrlProp" Target="../ctrlProps/ctrlProp22.xml"/><Relationship Id="rId26" Type="http://schemas.openxmlformats.org/officeDocument/2006/relationships/ctrlProp" Target="../ctrlProps/ctrlProp30.xml"/><Relationship Id="rId3" Type="http://schemas.openxmlformats.org/officeDocument/2006/relationships/vmlDrawing" Target="../drawings/vmlDrawing3.vml"/><Relationship Id="rId21" Type="http://schemas.openxmlformats.org/officeDocument/2006/relationships/ctrlProp" Target="../ctrlProps/ctrlProp25.xml"/><Relationship Id="rId7" Type="http://schemas.openxmlformats.org/officeDocument/2006/relationships/ctrlProp" Target="../ctrlProps/ctrlProp11.xml"/><Relationship Id="rId12" Type="http://schemas.openxmlformats.org/officeDocument/2006/relationships/ctrlProp" Target="../ctrlProps/ctrlProp16.xml"/><Relationship Id="rId17" Type="http://schemas.openxmlformats.org/officeDocument/2006/relationships/ctrlProp" Target="../ctrlProps/ctrlProp21.xml"/><Relationship Id="rId25" Type="http://schemas.openxmlformats.org/officeDocument/2006/relationships/ctrlProp" Target="../ctrlProps/ctrlProp29.xml"/><Relationship Id="rId2" Type="http://schemas.openxmlformats.org/officeDocument/2006/relationships/drawing" Target="../drawings/drawing5.xml"/><Relationship Id="rId16" Type="http://schemas.openxmlformats.org/officeDocument/2006/relationships/ctrlProp" Target="../ctrlProps/ctrlProp20.xml"/><Relationship Id="rId20" Type="http://schemas.openxmlformats.org/officeDocument/2006/relationships/ctrlProp" Target="../ctrlProps/ctrlProp24.xml"/><Relationship Id="rId1" Type="http://schemas.openxmlformats.org/officeDocument/2006/relationships/printerSettings" Target="../printerSettings/printerSettings8.bin"/><Relationship Id="rId6" Type="http://schemas.openxmlformats.org/officeDocument/2006/relationships/ctrlProp" Target="../ctrlProps/ctrlProp10.xml"/><Relationship Id="rId11" Type="http://schemas.openxmlformats.org/officeDocument/2006/relationships/ctrlProp" Target="../ctrlProps/ctrlProp15.xml"/><Relationship Id="rId24" Type="http://schemas.openxmlformats.org/officeDocument/2006/relationships/ctrlProp" Target="../ctrlProps/ctrlProp28.xml"/><Relationship Id="rId5" Type="http://schemas.openxmlformats.org/officeDocument/2006/relationships/ctrlProp" Target="../ctrlProps/ctrlProp9.xml"/><Relationship Id="rId15" Type="http://schemas.openxmlformats.org/officeDocument/2006/relationships/ctrlProp" Target="../ctrlProps/ctrlProp19.xml"/><Relationship Id="rId23" Type="http://schemas.openxmlformats.org/officeDocument/2006/relationships/ctrlProp" Target="../ctrlProps/ctrlProp27.xml"/><Relationship Id="rId10" Type="http://schemas.openxmlformats.org/officeDocument/2006/relationships/ctrlProp" Target="../ctrlProps/ctrlProp14.xml"/><Relationship Id="rId19" Type="http://schemas.openxmlformats.org/officeDocument/2006/relationships/ctrlProp" Target="../ctrlProps/ctrlProp23.xml"/><Relationship Id="rId4" Type="http://schemas.openxmlformats.org/officeDocument/2006/relationships/ctrlProp" Target="../ctrlProps/ctrlProp8.xml"/><Relationship Id="rId9" Type="http://schemas.openxmlformats.org/officeDocument/2006/relationships/ctrlProp" Target="../ctrlProps/ctrlProp13.xml"/><Relationship Id="rId14" Type="http://schemas.openxmlformats.org/officeDocument/2006/relationships/ctrlProp" Target="../ctrlProps/ctrlProp18.xml"/><Relationship Id="rId22" Type="http://schemas.openxmlformats.org/officeDocument/2006/relationships/ctrlProp" Target="../ctrlProps/ctrlProp26.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35.xml"/><Relationship Id="rId13" Type="http://schemas.openxmlformats.org/officeDocument/2006/relationships/ctrlProp" Target="../ctrlProps/ctrlProp40.xml"/><Relationship Id="rId18" Type="http://schemas.openxmlformats.org/officeDocument/2006/relationships/ctrlProp" Target="../ctrlProps/ctrlProp45.xml"/><Relationship Id="rId26" Type="http://schemas.openxmlformats.org/officeDocument/2006/relationships/ctrlProp" Target="../ctrlProps/ctrlProp53.xml"/><Relationship Id="rId3" Type="http://schemas.openxmlformats.org/officeDocument/2006/relationships/vmlDrawing" Target="../drawings/vmlDrawing4.vml"/><Relationship Id="rId21" Type="http://schemas.openxmlformats.org/officeDocument/2006/relationships/ctrlProp" Target="../ctrlProps/ctrlProp48.xml"/><Relationship Id="rId7" Type="http://schemas.openxmlformats.org/officeDocument/2006/relationships/ctrlProp" Target="../ctrlProps/ctrlProp34.xml"/><Relationship Id="rId12" Type="http://schemas.openxmlformats.org/officeDocument/2006/relationships/ctrlProp" Target="../ctrlProps/ctrlProp39.xml"/><Relationship Id="rId17" Type="http://schemas.openxmlformats.org/officeDocument/2006/relationships/ctrlProp" Target="../ctrlProps/ctrlProp44.xml"/><Relationship Id="rId25" Type="http://schemas.openxmlformats.org/officeDocument/2006/relationships/ctrlProp" Target="../ctrlProps/ctrlProp52.xml"/><Relationship Id="rId2" Type="http://schemas.openxmlformats.org/officeDocument/2006/relationships/drawing" Target="../drawings/drawing6.xml"/><Relationship Id="rId16" Type="http://schemas.openxmlformats.org/officeDocument/2006/relationships/ctrlProp" Target="../ctrlProps/ctrlProp43.xml"/><Relationship Id="rId20" Type="http://schemas.openxmlformats.org/officeDocument/2006/relationships/ctrlProp" Target="../ctrlProps/ctrlProp47.xml"/><Relationship Id="rId29" Type="http://schemas.openxmlformats.org/officeDocument/2006/relationships/ctrlProp" Target="../ctrlProps/ctrlProp56.xml"/><Relationship Id="rId1" Type="http://schemas.openxmlformats.org/officeDocument/2006/relationships/printerSettings" Target="../printerSettings/printerSettings9.bin"/><Relationship Id="rId6" Type="http://schemas.openxmlformats.org/officeDocument/2006/relationships/ctrlProp" Target="../ctrlProps/ctrlProp33.xml"/><Relationship Id="rId11" Type="http://schemas.openxmlformats.org/officeDocument/2006/relationships/ctrlProp" Target="../ctrlProps/ctrlProp38.xml"/><Relationship Id="rId24" Type="http://schemas.openxmlformats.org/officeDocument/2006/relationships/ctrlProp" Target="../ctrlProps/ctrlProp51.xml"/><Relationship Id="rId5" Type="http://schemas.openxmlformats.org/officeDocument/2006/relationships/ctrlProp" Target="../ctrlProps/ctrlProp32.xml"/><Relationship Id="rId15" Type="http://schemas.openxmlformats.org/officeDocument/2006/relationships/ctrlProp" Target="../ctrlProps/ctrlProp42.xml"/><Relationship Id="rId23" Type="http://schemas.openxmlformats.org/officeDocument/2006/relationships/ctrlProp" Target="../ctrlProps/ctrlProp50.xml"/><Relationship Id="rId28" Type="http://schemas.openxmlformats.org/officeDocument/2006/relationships/ctrlProp" Target="../ctrlProps/ctrlProp55.xml"/><Relationship Id="rId10" Type="http://schemas.openxmlformats.org/officeDocument/2006/relationships/ctrlProp" Target="../ctrlProps/ctrlProp37.xml"/><Relationship Id="rId19" Type="http://schemas.openxmlformats.org/officeDocument/2006/relationships/ctrlProp" Target="../ctrlProps/ctrlProp46.xml"/><Relationship Id="rId4" Type="http://schemas.openxmlformats.org/officeDocument/2006/relationships/ctrlProp" Target="../ctrlProps/ctrlProp31.xml"/><Relationship Id="rId9" Type="http://schemas.openxmlformats.org/officeDocument/2006/relationships/ctrlProp" Target="../ctrlProps/ctrlProp36.xml"/><Relationship Id="rId14" Type="http://schemas.openxmlformats.org/officeDocument/2006/relationships/ctrlProp" Target="../ctrlProps/ctrlProp41.xml"/><Relationship Id="rId22" Type="http://schemas.openxmlformats.org/officeDocument/2006/relationships/ctrlProp" Target="../ctrlProps/ctrlProp49.xml"/><Relationship Id="rId27" Type="http://schemas.openxmlformats.org/officeDocument/2006/relationships/ctrlProp" Target="../ctrlProps/ctrlProp54.xml"/></Relationships>
</file>

<file path=xl/worksheets/_rels/sheet10.xml.rels><?xml version="1.0" encoding="UTF-8" standalone="yes"?>
<Relationships xmlns="http://schemas.openxmlformats.org/package/2006/relationships"><Relationship Id="rId13" Type="http://schemas.openxmlformats.org/officeDocument/2006/relationships/ctrlProp" Target="../ctrlProps/ctrlProp66.xml"/><Relationship Id="rId18" Type="http://schemas.openxmlformats.org/officeDocument/2006/relationships/ctrlProp" Target="../ctrlProps/ctrlProp71.xml"/><Relationship Id="rId26" Type="http://schemas.openxmlformats.org/officeDocument/2006/relationships/ctrlProp" Target="../ctrlProps/ctrlProp79.xml"/><Relationship Id="rId21" Type="http://schemas.openxmlformats.org/officeDocument/2006/relationships/ctrlProp" Target="../ctrlProps/ctrlProp74.xml"/><Relationship Id="rId34" Type="http://schemas.openxmlformats.org/officeDocument/2006/relationships/ctrlProp" Target="../ctrlProps/ctrlProp87.xml"/><Relationship Id="rId7" Type="http://schemas.openxmlformats.org/officeDocument/2006/relationships/ctrlProp" Target="../ctrlProps/ctrlProp60.xml"/><Relationship Id="rId12" Type="http://schemas.openxmlformats.org/officeDocument/2006/relationships/ctrlProp" Target="../ctrlProps/ctrlProp65.xml"/><Relationship Id="rId17" Type="http://schemas.openxmlformats.org/officeDocument/2006/relationships/ctrlProp" Target="../ctrlProps/ctrlProp70.xml"/><Relationship Id="rId25" Type="http://schemas.openxmlformats.org/officeDocument/2006/relationships/ctrlProp" Target="../ctrlProps/ctrlProp78.xml"/><Relationship Id="rId33" Type="http://schemas.openxmlformats.org/officeDocument/2006/relationships/ctrlProp" Target="../ctrlProps/ctrlProp86.xml"/><Relationship Id="rId2" Type="http://schemas.openxmlformats.org/officeDocument/2006/relationships/drawing" Target="../drawings/drawing7.xml"/><Relationship Id="rId16" Type="http://schemas.openxmlformats.org/officeDocument/2006/relationships/ctrlProp" Target="../ctrlProps/ctrlProp69.xml"/><Relationship Id="rId20" Type="http://schemas.openxmlformats.org/officeDocument/2006/relationships/ctrlProp" Target="../ctrlProps/ctrlProp73.xml"/><Relationship Id="rId29" Type="http://schemas.openxmlformats.org/officeDocument/2006/relationships/ctrlProp" Target="../ctrlProps/ctrlProp82.xml"/><Relationship Id="rId1" Type="http://schemas.openxmlformats.org/officeDocument/2006/relationships/printerSettings" Target="../printerSettings/printerSettings10.bin"/><Relationship Id="rId6" Type="http://schemas.openxmlformats.org/officeDocument/2006/relationships/ctrlProp" Target="../ctrlProps/ctrlProp59.xml"/><Relationship Id="rId11" Type="http://schemas.openxmlformats.org/officeDocument/2006/relationships/ctrlProp" Target="../ctrlProps/ctrlProp64.xml"/><Relationship Id="rId24" Type="http://schemas.openxmlformats.org/officeDocument/2006/relationships/ctrlProp" Target="../ctrlProps/ctrlProp77.xml"/><Relationship Id="rId32" Type="http://schemas.openxmlformats.org/officeDocument/2006/relationships/ctrlProp" Target="../ctrlProps/ctrlProp85.xml"/><Relationship Id="rId37" Type="http://schemas.openxmlformats.org/officeDocument/2006/relationships/ctrlProp" Target="../ctrlProps/ctrlProp90.xml"/><Relationship Id="rId5" Type="http://schemas.openxmlformats.org/officeDocument/2006/relationships/ctrlProp" Target="../ctrlProps/ctrlProp58.xml"/><Relationship Id="rId15" Type="http://schemas.openxmlformats.org/officeDocument/2006/relationships/ctrlProp" Target="../ctrlProps/ctrlProp68.xml"/><Relationship Id="rId23" Type="http://schemas.openxmlformats.org/officeDocument/2006/relationships/ctrlProp" Target="../ctrlProps/ctrlProp76.xml"/><Relationship Id="rId28" Type="http://schemas.openxmlformats.org/officeDocument/2006/relationships/ctrlProp" Target="../ctrlProps/ctrlProp81.xml"/><Relationship Id="rId36" Type="http://schemas.openxmlformats.org/officeDocument/2006/relationships/ctrlProp" Target="../ctrlProps/ctrlProp89.xml"/><Relationship Id="rId10" Type="http://schemas.openxmlformats.org/officeDocument/2006/relationships/ctrlProp" Target="../ctrlProps/ctrlProp63.xml"/><Relationship Id="rId19" Type="http://schemas.openxmlformats.org/officeDocument/2006/relationships/ctrlProp" Target="../ctrlProps/ctrlProp72.xml"/><Relationship Id="rId31" Type="http://schemas.openxmlformats.org/officeDocument/2006/relationships/ctrlProp" Target="../ctrlProps/ctrlProp84.xml"/><Relationship Id="rId4" Type="http://schemas.openxmlformats.org/officeDocument/2006/relationships/ctrlProp" Target="../ctrlProps/ctrlProp57.xml"/><Relationship Id="rId9" Type="http://schemas.openxmlformats.org/officeDocument/2006/relationships/ctrlProp" Target="../ctrlProps/ctrlProp62.xml"/><Relationship Id="rId14" Type="http://schemas.openxmlformats.org/officeDocument/2006/relationships/ctrlProp" Target="../ctrlProps/ctrlProp67.xml"/><Relationship Id="rId22" Type="http://schemas.openxmlformats.org/officeDocument/2006/relationships/ctrlProp" Target="../ctrlProps/ctrlProp75.xml"/><Relationship Id="rId27" Type="http://schemas.openxmlformats.org/officeDocument/2006/relationships/ctrlProp" Target="../ctrlProps/ctrlProp80.xml"/><Relationship Id="rId30" Type="http://schemas.openxmlformats.org/officeDocument/2006/relationships/ctrlProp" Target="../ctrlProps/ctrlProp83.xml"/><Relationship Id="rId35" Type="http://schemas.openxmlformats.org/officeDocument/2006/relationships/ctrlProp" Target="../ctrlProps/ctrlProp88.xml"/><Relationship Id="rId8" Type="http://schemas.openxmlformats.org/officeDocument/2006/relationships/ctrlProp" Target="../ctrlProps/ctrlProp61.xml"/><Relationship Id="rId3" Type="http://schemas.openxmlformats.org/officeDocument/2006/relationships/vmlDrawing" Target="../drawings/vmlDrawing5.vml"/></Relationships>
</file>

<file path=xl/worksheets/_rels/sheet11.xml.rels><?xml version="1.0" encoding="UTF-8" standalone="yes"?>
<Relationships xmlns="http://schemas.openxmlformats.org/package/2006/relationships"><Relationship Id="rId13" Type="http://schemas.openxmlformats.org/officeDocument/2006/relationships/ctrlProp" Target="../ctrlProps/ctrlProp100.xml"/><Relationship Id="rId18" Type="http://schemas.openxmlformats.org/officeDocument/2006/relationships/ctrlProp" Target="../ctrlProps/ctrlProp105.xml"/><Relationship Id="rId26" Type="http://schemas.openxmlformats.org/officeDocument/2006/relationships/ctrlProp" Target="../ctrlProps/ctrlProp113.xml"/><Relationship Id="rId21" Type="http://schemas.openxmlformats.org/officeDocument/2006/relationships/ctrlProp" Target="../ctrlProps/ctrlProp108.xml"/><Relationship Id="rId34" Type="http://schemas.openxmlformats.org/officeDocument/2006/relationships/ctrlProp" Target="../ctrlProps/ctrlProp121.xml"/><Relationship Id="rId7" Type="http://schemas.openxmlformats.org/officeDocument/2006/relationships/ctrlProp" Target="../ctrlProps/ctrlProp94.xml"/><Relationship Id="rId12" Type="http://schemas.openxmlformats.org/officeDocument/2006/relationships/ctrlProp" Target="../ctrlProps/ctrlProp99.xml"/><Relationship Id="rId17" Type="http://schemas.openxmlformats.org/officeDocument/2006/relationships/ctrlProp" Target="../ctrlProps/ctrlProp104.xml"/><Relationship Id="rId25" Type="http://schemas.openxmlformats.org/officeDocument/2006/relationships/ctrlProp" Target="../ctrlProps/ctrlProp112.xml"/><Relationship Id="rId33" Type="http://schemas.openxmlformats.org/officeDocument/2006/relationships/ctrlProp" Target="../ctrlProps/ctrlProp120.xml"/><Relationship Id="rId38" Type="http://schemas.openxmlformats.org/officeDocument/2006/relationships/ctrlProp" Target="../ctrlProps/ctrlProp125.xml"/><Relationship Id="rId2" Type="http://schemas.openxmlformats.org/officeDocument/2006/relationships/drawing" Target="../drawings/drawing8.xml"/><Relationship Id="rId16" Type="http://schemas.openxmlformats.org/officeDocument/2006/relationships/ctrlProp" Target="../ctrlProps/ctrlProp103.xml"/><Relationship Id="rId20" Type="http://schemas.openxmlformats.org/officeDocument/2006/relationships/ctrlProp" Target="../ctrlProps/ctrlProp107.xml"/><Relationship Id="rId29" Type="http://schemas.openxmlformats.org/officeDocument/2006/relationships/ctrlProp" Target="../ctrlProps/ctrlProp116.xml"/><Relationship Id="rId1" Type="http://schemas.openxmlformats.org/officeDocument/2006/relationships/printerSettings" Target="../printerSettings/printerSettings11.bin"/><Relationship Id="rId6" Type="http://schemas.openxmlformats.org/officeDocument/2006/relationships/ctrlProp" Target="../ctrlProps/ctrlProp93.xml"/><Relationship Id="rId11" Type="http://schemas.openxmlformats.org/officeDocument/2006/relationships/ctrlProp" Target="../ctrlProps/ctrlProp98.xml"/><Relationship Id="rId24" Type="http://schemas.openxmlformats.org/officeDocument/2006/relationships/ctrlProp" Target="../ctrlProps/ctrlProp111.xml"/><Relationship Id="rId32" Type="http://schemas.openxmlformats.org/officeDocument/2006/relationships/ctrlProp" Target="../ctrlProps/ctrlProp119.xml"/><Relationship Id="rId37" Type="http://schemas.openxmlformats.org/officeDocument/2006/relationships/ctrlProp" Target="../ctrlProps/ctrlProp124.xml"/><Relationship Id="rId5" Type="http://schemas.openxmlformats.org/officeDocument/2006/relationships/ctrlProp" Target="../ctrlProps/ctrlProp92.xml"/><Relationship Id="rId15" Type="http://schemas.openxmlformats.org/officeDocument/2006/relationships/ctrlProp" Target="../ctrlProps/ctrlProp102.xml"/><Relationship Id="rId23" Type="http://schemas.openxmlformats.org/officeDocument/2006/relationships/ctrlProp" Target="../ctrlProps/ctrlProp110.xml"/><Relationship Id="rId28" Type="http://schemas.openxmlformats.org/officeDocument/2006/relationships/ctrlProp" Target="../ctrlProps/ctrlProp115.xml"/><Relationship Id="rId36" Type="http://schemas.openxmlformats.org/officeDocument/2006/relationships/ctrlProp" Target="../ctrlProps/ctrlProp123.xml"/><Relationship Id="rId10" Type="http://schemas.openxmlformats.org/officeDocument/2006/relationships/ctrlProp" Target="../ctrlProps/ctrlProp97.xml"/><Relationship Id="rId19" Type="http://schemas.openxmlformats.org/officeDocument/2006/relationships/ctrlProp" Target="../ctrlProps/ctrlProp106.xml"/><Relationship Id="rId31" Type="http://schemas.openxmlformats.org/officeDocument/2006/relationships/ctrlProp" Target="../ctrlProps/ctrlProp118.xml"/><Relationship Id="rId4" Type="http://schemas.openxmlformats.org/officeDocument/2006/relationships/ctrlProp" Target="../ctrlProps/ctrlProp91.xml"/><Relationship Id="rId9" Type="http://schemas.openxmlformats.org/officeDocument/2006/relationships/ctrlProp" Target="../ctrlProps/ctrlProp96.xml"/><Relationship Id="rId14" Type="http://schemas.openxmlformats.org/officeDocument/2006/relationships/ctrlProp" Target="../ctrlProps/ctrlProp101.xml"/><Relationship Id="rId22" Type="http://schemas.openxmlformats.org/officeDocument/2006/relationships/ctrlProp" Target="../ctrlProps/ctrlProp109.xml"/><Relationship Id="rId27" Type="http://schemas.openxmlformats.org/officeDocument/2006/relationships/ctrlProp" Target="../ctrlProps/ctrlProp114.xml"/><Relationship Id="rId30" Type="http://schemas.openxmlformats.org/officeDocument/2006/relationships/ctrlProp" Target="../ctrlProps/ctrlProp117.xml"/><Relationship Id="rId35" Type="http://schemas.openxmlformats.org/officeDocument/2006/relationships/ctrlProp" Target="../ctrlProps/ctrlProp122.xml"/><Relationship Id="rId8" Type="http://schemas.openxmlformats.org/officeDocument/2006/relationships/ctrlProp" Target="../ctrlProps/ctrlProp95.xml"/><Relationship Id="rId3" Type="http://schemas.openxmlformats.org/officeDocument/2006/relationships/vmlDrawing" Target="../drawings/vmlDrawing6.vml"/></Relationships>
</file>

<file path=xl/worksheets/_rels/sheet12.xml.rels><?xml version="1.0" encoding="UTF-8" standalone="yes"?>
<Relationships xmlns="http://schemas.openxmlformats.org/package/2006/relationships"><Relationship Id="rId13" Type="http://schemas.openxmlformats.org/officeDocument/2006/relationships/ctrlProp" Target="../ctrlProps/ctrlProp135.xml"/><Relationship Id="rId18" Type="http://schemas.openxmlformats.org/officeDocument/2006/relationships/ctrlProp" Target="../ctrlProps/ctrlProp140.xml"/><Relationship Id="rId26" Type="http://schemas.openxmlformats.org/officeDocument/2006/relationships/ctrlProp" Target="../ctrlProps/ctrlProp148.xml"/><Relationship Id="rId39" Type="http://schemas.openxmlformats.org/officeDocument/2006/relationships/ctrlProp" Target="../ctrlProps/ctrlProp161.xml"/><Relationship Id="rId21" Type="http://schemas.openxmlformats.org/officeDocument/2006/relationships/ctrlProp" Target="../ctrlProps/ctrlProp143.xml"/><Relationship Id="rId34" Type="http://schemas.openxmlformats.org/officeDocument/2006/relationships/ctrlProp" Target="../ctrlProps/ctrlProp156.xml"/><Relationship Id="rId7" Type="http://schemas.openxmlformats.org/officeDocument/2006/relationships/ctrlProp" Target="../ctrlProps/ctrlProp129.xml"/><Relationship Id="rId12" Type="http://schemas.openxmlformats.org/officeDocument/2006/relationships/ctrlProp" Target="../ctrlProps/ctrlProp134.xml"/><Relationship Id="rId17" Type="http://schemas.openxmlformats.org/officeDocument/2006/relationships/ctrlProp" Target="../ctrlProps/ctrlProp139.xml"/><Relationship Id="rId25" Type="http://schemas.openxmlformats.org/officeDocument/2006/relationships/ctrlProp" Target="../ctrlProps/ctrlProp147.xml"/><Relationship Id="rId33" Type="http://schemas.openxmlformats.org/officeDocument/2006/relationships/ctrlProp" Target="../ctrlProps/ctrlProp155.xml"/><Relationship Id="rId38" Type="http://schemas.openxmlformats.org/officeDocument/2006/relationships/ctrlProp" Target="../ctrlProps/ctrlProp160.xml"/><Relationship Id="rId2" Type="http://schemas.openxmlformats.org/officeDocument/2006/relationships/drawing" Target="../drawings/drawing9.xml"/><Relationship Id="rId16" Type="http://schemas.openxmlformats.org/officeDocument/2006/relationships/ctrlProp" Target="../ctrlProps/ctrlProp138.xml"/><Relationship Id="rId20" Type="http://schemas.openxmlformats.org/officeDocument/2006/relationships/ctrlProp" Target="../ctrlProps/ctrlProp142.xml"/><Relationship Id="rId29" Type="http://schemas.openxmlformats.org/officeDocument/2006/relationships/ctrlProp" Target="../ctrlProps/ctrlProp151.xml"/><Relationship Id="rId1" Type="http://schemas.openxmlformats.org/officeDocument/2006/relationships/printerSettings" Target="../printerSettings/printerSettings12.bin"/><Relationship Id="rId6" Type="http://schemas.openxmlformats.org/officeDocument/2006/relationships/ctrlProp" Target="../ctrlProps/ctrlProp128.xml"/><Relationship Id="rId11" Type="http://schemas.openxmlformats.org/officeDocument/2006/relationships/ctrlProp" Target="../ctrlProps/ctrlProp133.xml"/><Relationship Id="rId24" Type="http://schemas.openxmlformats.org/officeDocument/2006/relationships/ctrlProp" Target="../ctrlProps/ctrlProp146.xml"/><Relationship Id="rId32" Type="http://schemas.openxmlformats.org/officeDocument/2006/relationships/ctrlProp" Target="../ctrlProps/ctrlProp154.xml"/><Relationship Id="rId37" Type="http://schemas.openxmlformats.org/officeDocument/2006/relationships/ctrlProp" Target="../ctrlProps/ctrlProp159.xml"/><Relationship Id="rId40" Type="http://schemas.openxmlformats.org/officeDocument/2006/relationships/ctrlProp" Target="../ctrlProps/ctrlProp162.xml"/><Relationship Id="rId5" Type="http://schemas.openxmlformats.org/officeDocument/2006/relationships/ctrlProp" Target="../ctrlProps/ctrlProp127.xml"/><Relationship Id="rId15" Type="http://schemas.openxmlformats.org/officeDocument/2006/relationships/ctrlProp" Target="../ctrlProps/ctrlProp137.xml"/><Relationship Id="rId23" Type="http://schemas.openxmlformats.org/officeDocument/2006/relationships/ctrlProp" Target="../ctrlProps/ctrlProp145.xml"/><Relationship Id="rId28" Type="http://schemas.openxmlformats.org/officeDocument/2006/relationships/ctrlProp" Target="../ctrlProps/ctrlProp150.xml"/><Relationship Id="rId36" Type="http://schemas.openxmlformats.org/officeDocument/2006/relationships/ctrlProp" Target="../ctrlProps/ctrlProp158.xml"/><Relationship Id="rId10" Type="http://schemas.openxmlformats.org/officeDocument/2006/relationships/ctrlProp" Target="../ctrlProps/ctrlProp132.xml"/><Relationship Id="rId19" Type="http://schemas.openxmlformats.org/officeDocument/2006/relationships/ctrlProp" Target="../ctrlProps/ctrlProp141.xml"/><Relationship Id="rId31" Type="http://schemas.openxmlformats.org/officeDocument/2006/relationships/ctrlProp" Target="../ctrlProps/ctrlProp153.xml"/><Relationship Id="rId4" Type="http://schemas.openxmlformats.org/officeDocument/2006/relationships/ctrlProp" Target="../ctrlProps/ctrlProp126.xml"/><Relationship Id="rId9" Type="http://schemas.openxmlformats.org/officeDocument/2006/relationships/ctrlProp" Target="../ctrlProps/ctrlProp131.xml"/><Relationship Id="rId14" Type="http://schemas.openxmlformats.org/officeDocument/2006/relationships/ctrlProp" Target="../ctrlProps/ctrlProp136.xml"/><Relationship Id="rId22" Type="http://schemas.openxmlformats.org/officeDocument/2006/relationships/ctrlProp" Target="../ctrlProps/ctrlProp144.xml"/><Relationship Id="rId27" Type="http://schemas.openxmlformats.org/officeDocument/2006/relationships/ctrlProp" Target="../ctrlProps/ctrlProp149.xml"/><Relationship Id="rId30" Type="http://schemas.openxmlformats.org/officeDocument/2006/relationships/ctrlProp" Target="../ctrlProps/ctrlProp152.xml"/><Relationship Id="rId35" Type="http://schemas.openxmlformats.org/officeDocument/2006/relationships/ctrlProp" Target="../ctrlProps/ctrlProp157.xml"/><Relationship Id="rId8" Type="http://schemas.openxmlformats.org/officeDocument/2006/relationships/ctrlProp" Target="../ctrlProps/ctrlProp130.xml"/><Relationship Id="rId3" Type="http://schemas.openxmlformats.org/officeDocument/2006/relationships/vmlDrawing" Target="../drawings/vmlDrawing7.vml"/></Relationships>
</file>

<file path=xl/worksheets/_rels/sheet13.xml.rels><?xml version="1.0" encoding="UTF-8" standalone="yes"?>
<Relationships xmlns="http://schemas.openxmlformats.org/package/2006/relationships"><Relationship Id="rId13" Type="http://schemas.openxmlformats.org/officeDocument/2006/relationships/ctrlProp" Target="../ctrlProps/ctrlProp172.xml"/><Relationship Id="rId18" Type="http://schemas.openxmlformats.org/officeDocument/2006/relationships/ctrlProp" Target="../ctrlProps/ctrlProp177.xml"/><Relationship Id="rId26" Type="http://schemas.openxmlformats.org/officeDocument/2006/relationships/ctrlProp" Target="../ctrlProps/ctrlProp185.xml"/><Relationship Id="rId21" Type="http://schemas.openxmlformats.org/officeDocument/2006/relationships/ctrlProp" Target="../ctrlProps/ctrlProp180.xml"/><Relationship Id="rId34" Type="http://schemas.openxmlformats.org/officeDocument/2006/relationships/ctrlProp" Target="../ctrlProps/ctrlProp193.xml"/><Relationship Id="rId7" Type="http://schemas.openxmlformats.org/officeDocument/2006/relationships/ctrlProp" Target="../ctrlProps/ctrlProp166.xml"/><Relationship Id="rId12" Type="http://schemas.openxmlformats.org/officeDocument/2006/relationships/ctrlProp" Target="../ctrlProps/ctrlProp171.xml"/><Relationship Id="rId17" Type="http://schemas.openxmlformats.org/officeDocument/2006/relationships/ctrlProp" Target="../ctrlProps/ctrlProp176.xml"/><Relationship Id="rId25" Type="http://schemas.openxmlformats.org/officeDocument/2006/relationships/ctrlProp" Target="../ctrlProps/ctrlProp184.xml"/><Relationship Id="rId33" Type="http://schemas.openxmlformats.org/officeDocument/2006/relationships/ctrlProp" Target="../ctrlProps/ctrlProp192.xml"/><Relationship Id="rId38" Type="http://schemas.openxmlformats.org/officeDocument/2006/relationships/ctrlProp" Target="../ctrlProps/ctrlProp197.xml"/><Relationship Id="rId2" Type="http://schemas.openxmlformats.org/officeDocument/2006/relationships/drawing" Target="../drawings/drawing10.xml"/><Relationship Id="rId16" Type="http://schemas.openxmlformats.org/officeDocument/2006/relationships/ctrlProp" Target="../ctrlProps/ctrlProp175.xml"/><Relationship Id="rId20" Type="http://schemas.openxmlformats.org/officeDocument/2006/relationships/ctrlProp" Target="../ctrlProps/ctrlProp179.xml"/><Relationship Id="rId29" Type="http://schemas.openxmlformats.org/officeDocument/2006/relationships/ctrlProp" Target="../ctrlProps/ctrlProp188.xml"/><Relationship Id="rId1" Type="http://schemas.openxmlformats.org/officeDocument/2006/relationships/printerSettings" Target="../printerSettings/printerSettings13.bin"/><Relationship Id="rId6" Type="http://schemas.openxmlformats.org/officeDocument/2006/relationships/ctrlProp" Target="../ctrlProps/ctrlProp165.xml"/><Relationship Id="rId11" Type="http://schemas.openxmlformats.org/officeDocument/2006/relationships/ctrlProp" Target="../ctrlProps/ctrlProp170.xml"/><Relationship Id="rId24" Type="http://schemas.openxmlformats.org/officeDocument/2006/relationships/ctrlProp" Target="../ctrlProps/ctrlProp183.xml"/><Relationship Id="rId32" Type="http://schemas.openxmlformats.org/officeDocument/2006/relationships/ctrlProp" Target="../ctrlProps/ctrlProp191.xml"/><Relationship Id="rId37" Type="http://schemas.openxmlformats.org/officeDocument/2006/relationships/ctrlProp" Target="../ctrlProps/ctrlProp196.xml"/><Relationship Id="rId5" Type="http://schemas.openxmlformats.org/officeDocument/2006/relationships/ctrlProp" Target="../ctrlProps/ctrlProp164.xml"/><Relationship Id="rId15" Type="http://schemas.openxmlformats.org/officeDocument/2006/relationships/ctrlProp" Target="../ctrlProps/ctrlProp174.xml"/><Relationship Id="rId23" Type="http://schemas.openxmlformats.org/officeDocument/2006/relationships/ctrlProp" Target="../ctrlProps/ctrlProp182.xml"/><Relationship Id="rId28" Type="http://schemas.openxmlformats.org/officeDocument/2006/relationships/ctrlProp" Target="../ctrlProps/ctrlProp187.xml"/><Relationship Id="rId36" Type="http://schemas.openxmlformats.org/officeDocument/2006/relationships/ctrlProp" Target="../ctrlProps/ctrlProp195.xml"/><Relationship Id="rId10" Type="http://schemas.openxmlformats.org/officeDocument/2006/relationships/ctrlProp" Target="../ctrlProps/ctrlProp169.xml"/><Relationship Id="rId19" Type="http://schemas.openxmlformats.org/officeDocument/2006/relationships/ctrlProp" Target="../ctrlProps/ctrlProp178.xml"/><Relationship Id="rId31" Type="http://schemas.openxmlformats.org/officeDocument/2006/relationships/ctrlProp" Target="../ctrlProps/ctrlProp190.xml"/><Relationship Id="rId4" Type="http://schemas.openxmlformats.org/officeDocument/2006/relationships/ctrlProp" Target="../ctrlProps/ctrlProp163.xml"/><Relationship Id="rId9" Type="http://schemas.openxmlformats.org/officeDocument/2006/relationships/ctrlProp" Target="../ctrlProps/ctrlProp168.xml"/><Relationship Id="rId14" Type="http://schemas.openxmlformats.org/officeDocument/2006/relationships/ctrlProp" Target="../ctrlProps/ctrlProp173.xml"/><Relationship Id="rId22" Type="http://schemas.openxmlformats.org/officeDocument/2006/relationships/ctrlProp" Target="../ctrlProps/ctrlProp181.xml"/><Relationship Id="rId27" Type="http://schemas.openxmlformats.org/officeDocument/2006/relationships/ctrlProp" Target="../ctrlProps/ctrlProp186.xml"/><Relationship Id="rId30" Type="http://schemas.openxmlformats.org/officeDocument/2006/relationships/ctrlProp" Target="../ctrlProps/ctrlProp189.xml"/><Relationship Id="rId35" Type="http://schemas.openxmlformats.org/officeDocument/2006/relationships/ctrlProp" Target="../ctrlProps/ctrlProp194.xml"/><Relationship Id="rId8" Type="http://schemas.openxmlformats.org/officeDocument/2006/relationships/ctrlProp" Target="../ctrlProps/ctrlProp167.xml"/><Relationship Id="rId3" Type="http://schemas.openxmlformats.org/officeDocument/2006/relationships/vmlDrawing" Target="../drawings/vmlDrawing8.v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201.xml"/><Relationship Id="rId2" Type="http://schemas.openxmlformats.org/officeDocument/2006/relationships/drawing" Target="../drawings/drawing11.xml"/><Relationship Id="rId1" Type="http://schemas.openxmlformats.org/officeDocument/2006/relationships/printerSettings" Target="../printerSettings/printerSettings14.bin"/><Relationship Id="rId6" Type="http://schemas.openxmlformats.org/officeDocument/2006/relationships/ctrlProp" Target="../ctrlProps/ctrlProp200.xml"/><Relationship Id="rId5" Type="http://schemas.openxmlformats.org/officeDocument/2006/relationships/ctrlProp" Target="../ctrlProps/ctrlProp199.xml"/><Relationship Id="rId4" Type="http://schemas.openxmlformats.org/officeDocument/2006/relationships/ctrlProp" Target="../ctrlProps/ctrlProp19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206.xml"/><Relationship Id="rId13" Type="http://schemas.openxmlformats.org/officeDocument/2006/relationships/ctrlProp" Target="../ctrlProps/ctrlProp211.xml"/><Relationship Id="rId3" Type="http://schemas.openxmlformats.org/officeDocument/2006/relationships/vmlDrawing" Target="../drawings/vmlDrawing10.vml"/><Relationship Id="rId7" Type="http://schemas.openxmlformats.org/officeDocument/2006/relationships/ctrlProp" Target="../ctrlProps/ctrlProp205.xml"/><Relationship Id="rId12" Type="http://schemas.openxmlformats.org/officeDocument/2006/relationships/ctrlProp" Target="../ctrlProps/ctrlProp210.xml"/><Relationship Id="rId2" Type="http://schemas.openxmlformats.org/officeDocument/2006/relationships/drawing" Target="../drawings/drawing12.xml"/><Relationship Id="rId1" Type="http://schemas.openxmlformats.org/officeDocument/2006/relationships/printerSettings" Target="../printerSettings/printerSettings15.bin"/><Relationship Id="rId6" Type="http://schemas.openxmlformats.org/officeDocument/2006/relationships/ctrlProp" Target="../ctrlProps/ctrlProp204.xml"/><Relationship Id="rId11" Type="http://schemas.openxmlformats.org/officeDocument/2006/relationships/ctrlProp" Target="../ctrlProps/ctrlProp209.xml"/><Relationship Id="rId5" Type="http://schemas.openxmlformats.org/officeDocument/2006/relationships/ctrlProp" Target="../ctrlProps/ctrlProp203.xml"/><Relationship Id="rId15" Type="http://schemas.openxmlformats.org/officeDocument/2006/relationships/ctrlProp" Target="../ctrlProps/ctrlProp213.xml"/><Relationship Id="rId10" Type="http://schemas.openxmlformats.org/officeDocument/2006/relationships/ctrlProp" Target="../ctrlProps/ctrlProp208.xml"/><Relationship Id="rId4" Type="http://schemas.openxmlformats.org/officeDocument/2006/relationships/ctrlProp" Target="../ctrlProps/ctrlProp202.xml"/><Relationship Id="rId9" Type="http://schemas.openxmlformats.org/officeDocument/2006/relationships/ctrlProp" Target="../ctrlProps/ctrlProp207.xml"/><Relationship Id="rId14" Type="http://schemas.openxmlformats.org/officeDocument/2006/relationships/ctrlProp" Target="../ctrlProps/ctrlProp212.xml"/></Relationships>
</file>

<file path=xl/worksheets/_rels/sheet16.xml.rels><?xml version="1.0" encoding="UTF-8" standalone="yes"?>
<Relationships xmlns="http://schemas.openxmlformats.org/package/2006/relationships"><Relationship Id="rId13" Type="http://schemas.openxmlformats.org/officeDocument/2006/relationships/ctrlProp" Target="../ctrlProps/ctrlProp223.xml"/><Relationship Id="rId18" Type="http://schemas.openxmlformats.org/officeDocument/2006/relationships/ctrlProp" Target="../ctrlProps/ctrlProp228.xml"/><Relationship Id="rId26" Type="http://schemas.openxmlformats.org/officeDocument/2006/relationships/ctrlProp" Target="../ctrlProps/ctrlProp236.xml"/><Relationship Id="rId39" Type="http://schemas.openxmlformats.org/officeDocument/2006/relationships/ctrlProp" Target="../ctrlProps/ctrlProp249.xml"/><Relationship Id="rId21" Type="http://schemas.openxmlformats.org/officeDocument/2006/relationships/ctrlProp" Target="../ctrlProps/ctrlProp231.xml"/><Relationship Id="rId34" Type="http://schemas.openxmlformats.org/officeDocument/2006/relationships/ctrlProp" Target="../ctrlProps/ctrlProp244.xml"/><Relationship Id="rId42" Type="http://schemas.openxmlformats.org/officeDocument/2006/relationships/ctrlProp" Target="../ctrlProps/ctrlProp252.xml"/><Relationship Id="rId7" Type="http://schemas.openxmlformats.org/officeDocument/2006/relationships/ctrlProp" Target="../ctrlProps/ctrlProp217.xml"/><Relationship Id="rId2" Type="http://schemas.openxmlformats.org/officeDocument/2006/relationships/drawing" Target="../drawings/drawing13.xml"/><Relationship Id="rId16" Type="http://schemas.openxmlformats.org/officeDocument/2006/relationships/ctrlProp" Target="../ctrlProps/ctrlProp226.xml"/><Relationship Id="rId29" Type="http://schemas.openxmlformats.org/officeDocument/2006/relationships/ctrlProp" Target="../ctrlProps/ctrlProp239.xml"/><Relationship Id="rId1" Type="http://schemas.openxmlformats.org/officeDocument/2006/relationships/printerSettings" Target="../printerSettings/printerSettings16.bin"/><Relationship Id="rId6" Type="http://schemas.openxmlformats.org/officeDocument/2006/relationships/ctrlProp" Target="../ctrlProps/ctrlProp216.xml"/><Relationship Id="rId11" Type="http://schemas.openxmlformats.org/officeDocument/2006/relationships/ctrlProp" Target="../ctrlProps/ctrlProp221.xml"/><Relationship Id="rId24" Type="http://schemas.openxmlformats.org/officeDocument/2006/relationships/ctrlProp" Target="../ctrlProps/ctrlProp234.xml"/><Relationship Id="rId32" Type="http://schemas.openxmlformats.org/officeDocument/2006/relationships/ctrlProp" Target="../ctrlProps/ctrlProp242.xml"/><Relationship Id="rId37" Type="http://schemas.openxmlformats.org/officeDocument/2006/relationships/ctrlProp" Target="../ctrlProps/ctrlProp247.xml"/><Relationship Id="rId40" Type="http://schemas.openxmlformats.org/officeDocument/2006/relationships/ctrlProp" Target="../ctrlProps/ctrlProp250.xml"/><Relationship Id="rId45" Type="http://schemas.openxmlformats.org/officeDocument/2006/relationships/ctrlProp" Target="../ctrlProps/ctrlProp255.xml"/><Relationship Id="rId5" Type="http://schemas.openxmlformats.org/officeDocument/2006/relationships/ctrlProp" Target="../ctrlProps/ctrlProp215.xml"/><Relationship Id="rId15" Type="http://schemas.openxmlformats.org/officeDocument/2006/relationships/ctrlProp" Target="../ctrlProps/ctrlProp225.xml"/><Relationship Id="rId23" Type="http://schemas.openxmlformats.org/officeDocument/2006/relationships/ctrlProp" Target="../ctrlProps/ctrlProp233.xml"/><Relationship Id="rId28" Type="http://schemas.openxmlformats.org/officeDocument/2006/relationships/ctrlProp" Target="../ctrlProps/ctrlProp238.xml"/><Relationship Id="rId36" Type="http://schemas.openxmlformats.org/officeDocument/2006/relationships/ctrlProp" Target="../ctrlProps/ctrlProp246.xml"/><Relationship Id="rId10" Type="http://schemas.openxmlformats.org/officeDocument/2006/relationships/ctrlProp" Target="../ctrlProps/ctrlProp220.xml"/><Relationship Id="rId19" Type="http://schemas.openxmlformats.org/officeDocument/2006/relationships/ctrlProp" Target="../ctrlProps/ctrlProp229.xml"/><Relationship Id="rId31" Type="http://schemas.openxmlformats.org/officeDocument/2006/relationships/ctrlProp" Target="../ctrlProps/ctrlProp241.xml"/><Relationship Id="rId44" Type="http://schemas.openxmlformats.org/officeDocument/2006/relationships/ctrlProp" Target="../ctrlProps/ctrlProp254.xml"/><Relationship Id="rId4" Type="http://schemas.openxmlformats.org/officeDocument/2006/relationships/ctrlProp" Target="../ctrlProps/ctrlProp214.xml"/><Relationship Id="rId9" Type="http://schemas.openxmlformats.org/officeDocument/2006/relationships/ctrlProp" Target="../ctrlProps/ctrlProp219.xml"/><Relationship Id="rId14" Type="http://schemas.openxmlformats.org/officeDocument/2006/relationships/ctrlProp" Target="../ctrlProps/ctrlProp224.xml"/><Relationship Id="rId22" Type="http://schemas.openxmlformats.org/officeDocument/2006/relationships/ctrlProp" Target="../ctrlProps/ctrlProp232.xml"/><Relationship Id="rId27" Type="http://schemas.openxmlformats.org/officeDocument/2006/relationships/ctrlProp" Target="../ctrlProps/ctrlProp237.xml"/><Relationship Id="rId30" Type="http://schemas.openxmlformats.org/officeDocument/2006/relationships/ctrlProp" Target="../ctrlProps/ctrlProp240.xml"/><Relationship Id="rId35" Type="http://schemas.openxmlformats.org/officeDocument/2006/relationships/ctrlProp" Target="../ctrlProps/ctrlProp245.xml"/><Relationship Id="rId43" Type="http://schemas.openxmlformats.org/officeDocument/2006/relationships/ctrlProp" Target="../ctrlProps/ctrlProp253.xml"/><Relationship Id="rId8" Type="http://schemas.openxmlformats.org/officeDocument/2006/relationships/ctrlProp" Target="../ctrlProps/ctrlProp218.xml"/><Relationship Id="rId3" Type="http://schemas.openxmlformats.org/officeDocument/2006/relationships/vmlDrawing" Target="../drawings/vmlDrawing11.vml"/><Relationship Id="rId12" Type="http://schemas.openxmlformats.org/officeDocument/2006/relationships/ctrlProp" Target="../ctrlProps/ctrlProp222.xml"/><Relationship Id="rId17" Type="http://schemas.openxmlformats.org/officeDocument/2006/relationships/ctrlProp" Target="../ctrlProps/ctrlProp227.xml"/><Relationship Id="rId25" Type="http://schemas.openxmlformats.org/officeDocument/2006/relationships/ctrlProp" Target="../ctrlProps/ctrlProp235.xml"/><Relationship Id="rId33" Type="http://schemas.openxmlformats.org/officeDocument/2006/relationships/ctrlProp" Target="../ctrlProps/ctrlProp243.xml"/><Relationship Id="rId38" Type="http://schemas.openxmlformats.org/officeDocument/2006/relationships/ctrlProp" Target="../ctrlProps/ctrlProp248.xml"/><Relationship Id="rId20" Type="http://schemas.openxmlformats.org/officeDocument/2006/relationships/ctrlProp" Target="../ctrlProps/ctrlProp230.xml"/><Relationship Id="rId41" Type="http://schemas.openxmlformats.org/officeDocument/2006/relationships/ctrlProp" Target="../ctrlProps/ctrlProp251.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260.xml"/><Relationship Id="rId13" Type="http://schemas.openxmlformats.org/officeDocument/2006/relationships/ctrlProp" Target="../ctrlProps/ctrlProp265.xml"/><Relationship Id="rId18" Type="http://schemas.openxmlformats.org/officeDocument/2006/relationships/ctrlProp" Target="../ctrlProps/ctrlProp270.xml"/><Relationship Id="rId3" Type="http://schemas.openxmlformats.org/officeDocument/2006/relationships/vmlDrawing" Target="../drawings/vmlDrawing12.vml"/><Relationship Id="rId21" Type="http://schemas.openxmlformats.org/officeDocument/2006/relationships/ctrlProp" Target="../ctrlProps/ctrlProp273.xml"/><Relationship Id="rId7" Type="http://schemas.openxmlformats.org/officeDocument/2006/relationships/ctrlProp" Target="../ctrlProps/ctrlProp259.xml"/><Relationship Id="rId12" Type="http://schemas.openxmlformats.org/officeDocument/2006/relationships/ctrlProp" Target="../ctrlProps/ctrlProp264.xml"/><Relationship Id="rId17" Type="http://schemas.openxmlformats.org/officeDocument/2006/relationships/ctrlProp" Target="../ctrlProps/ctrlProp269.xml"/><Relationship Id="rId2" Type="http://schemas.openxmlformats.org/officeDocument/2006/relationships/drawing" Target="../drawings/drawing14.xml"/><Relationship Id="rId16" Type="http://schemas.openxmlformats.org/officeDocument/2006/relationships/ctrlProp" Target="../ctrlProps/ctrlProp268.xml"/><Relationship Id="rId20" Type="http://schemas.openxmlformats.org/officeDocument/2006/relationships/ctrlProp" Target="../ctrlProps/ctrlProp272.xml"/><Relationship Id="rId1" Type="http://schemas.openxmlformats.org/officeDocument/2006/relationships/printerSettings" Target="../printerSettings/printerSettings17.bin"/><Relationship Id="rId6" Type="http://schemas.openxmlformats.org/officeDocument/2006/relationships/ctrlProp" Target="../ctrlProps/ctrlProp258.xml"/><Relationship Id="rId11" Type="http://schemas.openxmlformats.org/officeDocument/2006/relationships/ctrlProp" Target="../ctrlProps/ctrlProp263.xml"/><Relationship Id="rId5" Type="http://schemas.openxmlformats.org/officeDocument/2006/relationships/ctrlProp" Target="../ctrlProps/ctrlProp257.xml"/><Relationship Id="rId15" Type="http://schemas.openxmlformats.org/officeDocument/2006/relationships/ctrlProp" Target="../ctrlProps/ctrlProp267.xml"/><Relationship Id="rId10" Type="http://schemas.openxmlformats.org/officeDocument/2006/relationships/ctrlProp" Target="../ctrlProps/ctrlProp262.xml"/><Relationship Id="rId19" Type="http://schemas.openxmlformats.org/officeDocument/2006/relationships/ctrlProp" Target="../ctrlProps/ctrlProp271.xml"/><Relationship Id="rId4" Type="http://schemas.openxmlformats.org/officeDocument/2006/relationships/ctrlProp" Target="../ctrlProps/ctrlProp256.xml"/><Relationship Id="rId9" Type="http://schemas.openxmlformats.org/officeDocument/2006/relationships/ctrlProp" Target="../ctrlProps/ctrlProp261.xml"/><Relationship Id="rId14" Type="http://schemas.openxmlformats.org/officeDocument/2006/relationships/ctrlProp" Target="../ctrlProps/ctrlProp266.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278.xml"/><Relationship Id="rId13" Type="http://schemas.openxmlformats.org/officeDocument/2006/relationships/ctrlProp" Target="../ctrlProps/ctrlProp283.xml"/><Relationship Id="rId3" Type="http://schemas.openxmlformats.org/officeDocument/2006/relationships/vmlDrawing" Target="../drawings/vmlDrawing13.vml"/><Relationship Id="rId7" Type="http://schemas.openxmlformats.org/officeDocument/2006/relationships/ctrlProp" Target="../ctrlProps/ctrlProp277.xml"/><Relationship Id="rId12" Type="http://schemas.openxmlformats.org/officeDocument/2006/relationships/ctrlProp" Target="../ctrlProps/ctrlProp282.xml"/><Relationship Id="rId2" Type="http://schemas.openxmlformats.org/officeDocument/2006/relationships/drawing" Target="../drawings/drawing15.xml"/><Relationship Id="rId1" Type="http://schemas.openxmlformats.org/officeDocument/2006/relationships/printerSettings" Target="../printerSettings/printerSettings18.bin"/><Relationship Id="rId6" Type="http://schemas.openxmlformats.org/officeDocument/2006/relationships/ctrlProp" Target="../ctrlProps/ctrlProp276.xml"/><Relationship Id="rId11" Type="http://schemas.openxmlformats.org/officeDocument/2006/relationships/ctrlProp" Target="../ctrlProps/ctrlProp281.xml"/><Relationship Id="rId5" Type="http://schemas.openxmlformats.org/officeDocument/2006/relationships/ctrlProp" Target="../ctrlProps/ctrlProp275.xml"/><Relationship Id="rId15" Type="http://schemas.openxmlformats.org/officeDocument/2006/relationships/ctrlProp" Target="../ctrlProps/ctrlProp285.xml"/><Relationship Id="rId10" Type="http://schemas.openxmlformats.org/officeDocument/2006/relationships/ctrlProp" Target="../ctrlProps/ctrlProp280.xml"/><Relationship Id="rId4" Type="http://schemas.openxmlformats.org/officeDocument/2006/relationships/ctrlProp" Target="../ctrlProps/ctrlProp274.xml"/><Relationship Id="rId9" Type="http://schemas.openxmlformats.org/officeDocument/2006/relationships/ctrlProp" Target="../ctrlProps/ctrlProp279.xml"/><Relationship Id="rId14" Type="http://schemas.openxmlformats.org/officeDocument/2006/relationships/ctrlProp" Target="../ctrlProps/ctrlProp284.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6.xml"/><Relationship Id="rId1" Type="http://schemas.openxmlformats.org/officeDocument/2006/relationships/printerSettings" Target="../printerSettings/printerSettings19.bin"/><Relationship Id="rId5" Type="http://schemas.openxmlformats.org/officeDocument/2006/relationships/ctrlProp" Target="../ctrlProps/ctrlProp287.xml"/><Relationship Id="rId4" Type="http://schemas.openxmlformats.org/officeDocument/2006/relationships/ctrlProp" Target="../ctrlProps/ctrlProp286.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292.xml"/><Relationship Id="rId13" Type="http://schemas.openxmlformats.org/officeDocument/2006/relationships/ctrlProp" Target="../ctrlProps/ctrlProp297.xml"/><Relationship Id="rId18" Type="http://schemas.openxmlformats.org/officeDocument/2006/relationships/ctrlProp" Target="../ctrlProps/ctrlProp302.xml"/><Relationship Id="rId3" Type="http://schemas.openxmlformats.org/officeDocument/2006/relationships/vmlDrawing" Target="../drawings/vmlDrawing15.vml"/><Relationship Id="rId21" Type="http://schemas.openxmlformats.org/officeDocument/2006/relationships/ctrlProp" Target="../ctrlProps/ctrlProp305.xml"/><Relationship Id="rId7" Type="http://schemas.openxmlformats.org/officeDocument/2006/relationships/ctrlProp" Target="../ctrlProps/ctrlProp291.xml"/><Relationship Id="rId12" Type="http://schemas.openxmlformats.org/officeDocument/2006/relationships/ctrlProp" Target="../ctrlProps/ctrlProp296.xml"/><Relationship Id="rId17" Type="http://schemas.openxmlformats.org/officeDocument/2006/relationships/ctrlProp" Target="../ctrlProps/ctrlProp301.xml"/><Relationship Id="rId2" Type="http://schemas.openxmlformats.org/officeDocument/2006/relationships/drawing" Target="../drawings/drawing17.xml"/><Relationship Id="rId16" Type="http://schemas.openxmlformats.org/officeDocument/2006/relationships/ctrlProp" Target="../ctrlProps/ctrlProp300.xml"/><Relationship Id="rId20" Type="http://schemas.openxmlformats.org/officeDocument/2006/relationships/ctrlProp" Target="../ctrlProps/ctrlProp304.xml"/><Relationship Id="rId1" Type="http://schemas.openxmlformats.org/officeDocument/2006/relationships/printerSettings" Target="../printerSettings/printerSettings20.bin"/><Relationship Id="rId6" Type="http://schemas.openxmlformats.org/officeDocument/2006/relationships/ctrlProp" Target="../ctrlProps/ctrlProp290.xml"/><Relationship Id="rId11" Type="http://schemas.openxmlformats.org/officeDocument/2006/relationships/ctrlProp" Target="../ctrlProps/ctrlProp295.xml"/><Relationship Id="rId5" Type="http://schemas.openxmlformats.org/officeDocument/2006/relationships/ctrlProp" Target="../ctrlProps/ctrlProp289.xml"/><Relationship Id="rId15" Type="http://schemas.openxmlformats.org/officeDocument/2006/relationships/ctrlProp" Target="../ctrlProps/ctrlProp299.xml"/><Relationship Id="rId10" Type="http://schemas.openxmlformats.org/officeDocument/2006/relationships/ctrlProp" Target="../ctrlProps/ctrlProp294.xml"/><Relationship Id="rId19" Type="http://schemas.openxmlformats.org/officeDocument/2006/relationships/ctrlProp" Target="../ctrlProps/ctrlProp303.xml"/><Relationship Id="rId4" Type="http://schemas.openxmlformats.org/officeDocument/2006/relationships/ctrlProp" Target="../ctrlProps/ctrlProp288.xml"/><Relationship Id="rId9" Type="http://schemas.openxmlformats.org/officeDocument/2006/relationships/ctrlProp" Target="../ctrlProps/ctrlProp293.xml"/><Relationship Id="rId14" Type="http://schemas.openxmlformats.org/officeDocument/2006/relationships/ctrlProp" Target="../ctrlProps/ctrlProp298.xml"/><Relationship Id="rId22" Type="http://schemas.openxmlformats.org/officeDocument/2006/relationships/ctrlProp" Target="../ctrlProps/ctrlProp306.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311.xml"/><Relationship Id="rId13" Type="http://schemas.openxmlformats.org/officeDocument/2006/relationships/ctrlProp" Target="../ctrlProps/ctrlProp316.xml"/><Relationship Id="rId18" Type="http://schemas.openxmlformats.org/officeDocument/2006/relationships/ctrlProp" Target="../ctrlProps/ctrlProp321.xml"/><Relationship Id="rId26" Type="http://schemas.openxmlformats.org/officeDocument/2006/relationships/ctrlProp" Target="../ctrlProps/ctrlProp329.xml"/><Relationship Id="rId3" Type="http://schemas.openxmlformats.org/officeDocument/2006/relationships/vmlDrawing" Target="../drawings/vmlDrawing16.vml"/><Relationship Id="rId21" Type="http://schemas.openxmlformats.org/officeDocument/2006/relationships/ctrlProp" Target="../ctrlProps/ctrlProp324.xml"/><Relationship Id="rId7" Type="http://schemas.openxmlformats.org/officeDocument/2006/relationships/ctrlProp" Target="../ctrlProps/ctrlProp310.xml"/><Relationship Id="rId12" Type="http://schemas.openxmlformats.org/officeDocument/2006/relationships/ctrlProp" Target="../ctrlProps/ctrlProp315.xml"/><Relationship Id="rId17" Type="http://schemas.openxmlformats.org/officeDocument/2006/relationships/ctrlProp" Target="../ctrlProps/ctrlProp320.xml"/><Relationship Id="rId25" Type="http://schemas.openxmlformats.org/officeDocument/2006/relationships/ctrlProp" Target="../ctrlProps/ctrlProp328.xml"/><Relationship Id="rId2" Type="http://schemas.openxmlformats.org/officeDocument/2006/relationships/drawing" Target="../drawings/drawing18.xml"/><Relationship Id="rId16" Type="http://schemas.openxmlformats.org/officeDocument/2006/relationships/ctrlProp" Target="../ctrlProps/ctrlProp319.xml"/><Relationship Id="rId20" Type="http://schemas.openxmlformats.org/officeDocument/2006/relationships/ctrlProp" Target="../ctrlProps/ctrlProp323.xml"/><Relationship Id="rId29" Type="http://schemas.openxmlformats.org/officeDocument/2006/relationships/ctrlProp" Target="../ctrlProps/ctrlProp332.xml"/><Relationship Id="rId1" Type="http://schemas.openxmlformats.org/officeDocument/2006/relationships/printerSettings" Target="../printerSettings/printerSettings21.bin"/><Relationship Id="rId6" Type="http://schemas.openxmlformats.org/officeDocument/2006/relationships/ctrlProp" Target="../ctrlProps/ctrlProp309.xml"/><Relationship Id="rId11" Type="http://schemas.openxmlformats.org/officeDocument/2006/relationships/ctrlProp" Target="../ctrlProps/ctrlProp314.xml"/><Relationship Id="rId24" Type="http://schemas.openxmlformats.org/officeDocument/2006/relationships/ctrlProp" Target="../ctrlProps/ctrlProp327.xml"/><Relationship Id="rId5" Type="http://schemas.openxmlformats.org/officeDocument/2006/relationships/ctrlProp" Target="../ctrlProps/ctrlProp308.xml"/><Relationship Id="rId15" Type="http://schemas.openxmlformats.org/officeDocument/2006/relationships/ctrlProp" Target="../ctrlProps/ctrlProp318.xml"/><Relationship Id="rId23" Type="http://schemas.openxmlformats.org/officeDocument/2006/relationships/ctrlProp" Target="../ctrlProps/ctrlProp326.xml"/><Relationship Id="rId28" Type="http://schemas.openxmlformats.org/officeDocument/2006/relationships/ctrlProp" Target="../ctrlProps/ctrlProp331.xml"/><Relationship Id="rId10" Type="http://schemas.openxmlformats.org/officeDocument/2006/relationships/ctrlProp" Target="../ctrlProps/ctrlProp313.xml"/><Relationship Id="rId19" Type="http://schemas.openxmlformats.org/officeDocument/2006/relationships/ctrlProp" Target="../ctrlProps/ctrlProp322.xml"/><Relationship Id="rId4" Type="http://schemas.openxmlformats.org/officeDocument/2006/relationships/ctrlProp" Target="../ctrlProps/ctrlProp307.xml"/><Relationship Id="rId9" Type="http://schemas.openxmlformats.org/officeDocument/2006/relationships/ctrlProp" Target="../ctrlProps/ctrlProp312.xml"/><Relationship Id="rId14" Type="http://schemas.openxmlformats.org/officeDocument/2006/relationships/ctrlProp" Target="../ctrlProps/ctrlProp317.xml"/><Relationship Id="rId22" Type="http://schemas.openxmlformats.org/officeDocument/2006/relationships/ctrlProp" Target="../ctrlProps/ctrlProp325.xml"/><Relationship Id="rId27" Type="http://schemas.openxmlformats.org/officeDocument/2006/relationships/ctrlProp" Target="../ctrlProps/ctrlProp330.xml"/><Relationship Id="rId30" Type="http://schemas.openxmlformats.org/officeDocument/2006/relationships/ctrlProp" Target="../ctrlProps/ctrlProp333.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338.xml"/><Relationship Id="rId13" Type="http://schemas.openxmlformats.org/officeDocument/2006/relationships/ctrlProp" Target="../ctrlProps/ctrlProp343.xml"/><Relationship Id="rId18" Type="http://schemas.openxmlformats.org/officeDocument/2006/relationships/ctrlProp" Target="../ctrlProps/ctrlProp348.xml"/><Relationship Id="rId3" Type="http://schemas.openxmlformats.org/officeDocument/2006/relationships/vmlDrawing" Target="../drawings/vmlDrawing17.vml"/><Relationship Id="rId21" Type="http://schemas.openxmlformats.org/officeDocument/2006/relationships/ctrlProp" Target="../ctrlProps/ctrlProp351.xml"/><Relationship Id="rId7" Type="http://schemas.openxmlformats.org/officeDocument/2006/relationships/ctrlProp" Target="../ctrlProps/ctrlProp337.xml"/><Relationship Id="rId12" Type="http://schemas.openxmlformats.org/officeDocument/2006/relationships/ctrlProp" Target="../ctrlProps/ctrlProp342.xml"/><Relationship Id="rId17" Type="http://schemas.openxmlformats.org/officeDocument/2006/relationships/ctrlProp" Target="../ctrlProps/ctrlProp347.xml"/><Relationship Id="rId2" Type="http://schemas.openxmlformats.org/officeDocument/2006/relationships/drawing" Target="../drawings/drawing19.xml"/><Relationship Id="rId16" Type="http://schemas.openxmlformats.org/officeDocument/2006/relationships/ctrlProp" Target="../ctrlProps/ctrlProp346.xml"/><Relationship Id="rId20" Type="http://schemas.openxmlformats.org/officeDocument/2006/relationships/ctrlProp" Target="../ctrlProps/ctrlProp350.xml"/><Relationship Id="rId1" Type="http://schemas.openxmlformats.org/officeDocument/2006/relationships/printerSettings" Target="../printerSettings/printerSettings23.bin"/><Relationship Id="rId6" Type="http://schemas.openxmlformats.org/officeDocument/2006/relationships/ctrlProp" Target="../ctrlProps/ctrlProp336.xml"/><Relationship Id="rId11" Type="http://schemas.openxmlformats.org/officeDocument/2006/relationships/ctrlProp" Target="../ctrlProps/ctrlProp341.xml"/><Relationship Id="rId5" Type="http://schemas.openxmlformats.org/officeDocument/2006/relationships/ctrlProp" Target="../ctrlProps/ctrlProp335.xml"/><Relationship Id="rId15" Type="http://schemas.openxmlformats.org/officeDocument/2006/relationships/ctrlProp" Target="../ctrlProps/ctrlProp345.xml"/><Relationship Id="rId10" Type="http://schemas.openxmlformats.org/officeDocument/2006/relationships/ctrlProp" Target="../ctrlProps/ctrlProp340.xml"/><Relationship Id="rId19" Type="http://schemas.openxmlformats.org/officeDocument/2006/relationships/ctrlProp" Target="../ctrlProps/ctrlProp349.xml"/><Relationship Id="rId4" Type="http://schemas.openxmlformats.org/officeDocument/2006/relationships/ctrlProp" Target="../ctrlProps/ctrlProp334.xml"/><Relationship Id="rId9" Type="http://schemas.openxmlformats.org/officeDocument/2006/relationships/ctrlProp" Target="../ctrlProps/ctrlProp339.xml"/><Relationship Id="rId14" Type="http://schemas.openxmlformats.org/officeDocument/2006/relationships/ctrlProp" Target="../ctrlProps/ctrlProp34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4"/>
  <dimension ref="A1"/>
  <sheetViews>
    <sheetView showGridLines="0" showRowColHeaders="0" workbookViewId="0">
      <selection activeCell="X6" sqref="X6"/>
    </sheetView>
  </sheetViews>
  <sheetFormatPr defaultColWidth="9" defaultRowHeight="12.75"/>
  <sheetData/>
  <sheetProtection algorithmName="SHA-512" hashValue="bJHk0unzf8DWTJYnyIpngD1E6M9OpFxukZhrarjaFL0b63EqwgrOECN3T9Z5S6XC5qCZmzdPy4OI+3OfNqgG4Q==" saltValue="C/dUBka9OS4oJ/csmcpvmw==" spinCount="100000" sheet="1" objects="1" scenarios="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5"/>
  <dimension ref="A1"/>
  <sheetViews>
    <sheetView showGridLines="0" showRowColHeaders="0" topLeftCell="A19" workbookViewId="0">
      <selection activeCell="J31" sqref="J31"/>
    </sheetView>
  </sheetViews>
  <sheetFormatPr defaultColWidth="9" defaultRowHeight="12.75"/>
  <sheetData/>
  <sheetProtection password="B970" sheet="1" objects="1" scenarios="1"/>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N1:N2"/>
  <sheetViews>
    <sheetView showGridLines="0" showRowColHeaders="0" topLeftCell="A10" workbookViewId="0">
      <selection activeCell="C1" sqref="C1"/>
    </sheetView>
  </sheetViews>
  <sheetFormatPr defaultColWidth="9.33203125" defaultRowHeight="12.75"/>
  <cols>
    <col min="1" max="16384" width="9.33203125" style="55"/>
  </cols>
  <sheetData>
    <row r="1" spans="14:14">
      <c r="N1" s="171" t="s">
        <v>1989</v>
      </c>
    </row>
    <row r="2" spans="14:14">
      <c r="N2" s="171" t="s">
        <v>2089</v>
      </c>
    </row>
  </sheetData>
  <sheetProtection algorithmName="SHA-512" hashValue="OL/ynfL1mFvIHod4C+ORsTC0i9xEgy6Pu2A64FSIKP8WO4Zy4Nyab6MSaH90vJGfL8ITko38uhWWUkGQBEM7sg==" saltValue="oS5DjIiULGWfS1ivxd81BA==" spinCount="100000" sheet="1" objects="1" scenarios="1"/>
  <pageMargins left="0.25" right="0.25"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A1:J130"/>
  <sheetViews>
    <sheetView showGridLines="0" showRowColHeaders="0" topLeftCell="C1" workbookViewId="0">
      <selection activeCell="G3" sqref="G3"/>
    </sheetView>
  </sheetViews>
  <sheetFormatPr defaultColWidth="9.33203125" defaultRowHeight="12.75"/>
  <cols>
    <col min="1" max="2" width="10.83203125" style="55" hidden="1" customWidth="1"/>
    <col min="3" max="3" width="3.83203125" style="55" customWidth="1"/>
    <col min="4" max="4" width="50.83203125" style="55" customWidth="1"/>
    <col min="5" max="5" width="40.83203125" style="55" customWidth="1"/>
    <col min="6" max="7" width="10.83203125" style="55" customWidth="1"/>
    <col min="8" max="8" width="3.83203125" style="55" customWidth="1"/>
    <col min="9" max="16384" width="9.33203125" style="55"/>
  </cols>
  <sheetData>
    <row r="1" spans="3:10" ht="39.950000000000003" customHeight="1"/>
    <row r="2" spans="3:10" s="4" customFormat="1" ht="39.950000000000003" customHeight="1">
      <c r="D2" s="183" t="s">
        <v>1954</v>
      </c>
      <c r="E2" s="183"/>
      <c r="F2" s="183"/>
      <c r="G2" s="183"/>
      <c r="H2" s="80"/>
      <c r="I2" s="80"/>
      <c r="J2" s="80"/>
    </row>
    <row r="3" spans="3:10" ht="30" customHeight="1">
      <c r="D3" s="16" t="s">
        <v>40</v>
      </c>
      <c r="E3" s="88"/>
      <c r="F3" s="88"/>
      <c r="G3" s="16" t="s">
        <v>41</v>
      </c>
      <c r="H3" s="15"/>
    </row>
    <row r="4" spans="3:10" ht="5.0999999999999996" customHeight="1">
      <c r="C4" s="71"/>
      <c r="D4" s="184"/>
      <c r="E4" s="184"/>
      <c r="F4" s="184"/>
      <c r="G4" s="184"/>
      <c r="H4" s="71"/>
    </row>
    <row r="5" spans="3:10" ht="39.950000000000003" customHeight="1">
      <c r="D5" s="185"/>
      <c r="E5" s="185"/>
      <c r="F5" s="185"/>
      <c r="G5" s="185"/>
      <c r="H5" s="185"/>
      <c r="I5" s="185"/>
      <c r="J5" s="185"/>
    </row>
    <row r="6" spans="3:10" ht="39.950000000000003" customHeight="1">
      <c r="D6" s="182" t="s">
        <v>1958</v>
      </c>
      <c r="E6" s="182"/>
      <c r="F6" s="182"/>
      <c r="G6" s="182"/>
      <c r="H6" s="135"/>
      <c r="I6" s="135"/>
      <c r="J6" s="135"/>
    </row>
    <row r="7" spans="3:10" ht="39.75" customHeight="1">
      <c r="D7" s="182" t="s">
        <v>1248</v>
      </c>
      <c r="E7" s="182"/>
      <c r="F7" s="182"/>
      <c r="G7" s="182"/>
      <c r="H7" s="51"/>
      <c r="I7" s="51"/>
      <c r="J7" s="51"/>
    </row>
    <row r="8" spans="3:10" ht="49.5" customHeight="1">
      <c r="D8" s="182" t="s">
        <v>1250</v>
      </c>
      <c r="E8" s="182"/>
      <c r="F8" s="182"/>
      <c r="G8" s="182"/>
      <c r="H8" s="46"/>
      <c r="I8" s="46"/>
      <c r="J8" s="46"/>
    </row>
    <row r="9" spans="3:10" ht="39" customHeight="1">
      <c r="D9" s="182" t="s">
        <v>1249</v>
      </c>
      <c r="E9" s="182"/>
      <c r="F9" s="182"/>
      <c r="G9" s="182"/>
      <c r="H9" s="46"/>
      <c r="I9" s="46"/>
      <c r="J9" s="46"/>
    </row>
    <row r="10" spans="3:10" ht="34.5" customHeight="1">
      <c r="D10" s="182" t="s">
        <v>1955</v>
      </c>
      <c r="E10" s="182"/>
      <c r="F10" s="182"/>
      <c r="G10" s="182"/>
      <c r="H10" s="46"/>
      <c r="I10" s="46"/>
      <c r="J10" s="46"/>
    </row>
    <row r="11" spans="3:10" ht="21.75" customHeight="1">
      <c r="D11" s="182" t="s">
        <v>1956</v>
      </c>
      <c r="E11" s="182"/>
      <c r="F11" s="182"/>
      <c r="G11" s="182"/>
    </row>
    <row r="12" spans="3:10" ht="20.100000000000001" customHeight="1">
      <c r="D12" s="182" t="s">
        <v>1957</v>
      </c>
      <c r="E12" s="182"/>
      <c r="F12" s="182"/>
      <c r="G12" s="182"/>
    </row>
    <row r="13" spans="3:10" ht="37.5" customHeight="1">
      <c r="D13" s="182" t="s">
        <v>1959</v>
      </c>
      <c r="E13" s="182"/>
      <c r="F13" s="182"/>
      <c r="G13" s="182"/>
    </row>
    <row r="14" spans="3:10" ht="20.100000000000001" customHeight="1">
      <c r="D14" s="182" t="s">
        <v>1971</v>
      </c>
      <c r="E14" s="182"/>
      <c r="F14" s="182"/>
      <c r="G14" s="182"/>
    </row>
    <row r="15" spans="3:10" ht="20.100000000000001" customHeight="1">
      <c r="D15" s="72"/>
    </row>
    <row r="16" spans="3:10" ht="20.100000000000001" customHeight="1">
      <c r="D16" s="72"/>
    </row>
    <row r="17" ht="20.100000000000001" customHeight="1"/>
    <row r="18" ht="20.100000000000001" customHeight="1"/>
    <row r="19" ht="20.100000000000001" customHeight="1"/>
    <row r="20" ht="20.100000000000001" customHeight="1"/>
    <row r="21" ht="20.100000000000001" customHeight="1"/>
    <row r="22" ht="20.100000000000001" customHeight="1"/>
    <row r="23" ht="20.100000000000001" customHeight="1"/>
    <row r="24" ht="20.100000000000001" customHeight="1"/>
    <row r="25" ht="20.100000000000001" customHeight="1"/>
    <row r="26" ht="20.100000000000001" customHeight="1"/>
    <row r="27" ht="20.100000000000001" customHeight="1"/>
    <row r="28" ht="20.100000000000001" customHeight="1"/>
    <row r="29" ht="20.100000000000001" customHeight="1"/>
    <row r="30" ht="20.100000000000001" customHeight="1"/>
    <row r="31" ht="20.100000000000001" customHeight="1"/>
    <row r="32" ht="20.100000000000001" customHeight="1"/>
    <row r="33" ht="20.100000000000001" customHeight="1"/>
    <row r="34" ht="20.100000000000001" customHeight="1"/>
    <row r="35" ht="20.100000000000001" customHeight="1"/>
    <row r="36" ht="20.100000000000001" customHeight="1"/>
    <row r="37" ht="20.100000000000001" customHeight="1"/>
    <row r="38" ht="20.100000000000001" customHeight="1"/>
    <row r="39" ht="20.100000000000001" customHeight="1"/>
    <row r="40" ht="20.100000000000001" customHeight="1"/>
    <row r="41" ht="20.100000000000001" customHeight="1"/>
    <row r="42" ht="20.100000000000001" customHeight="1"/>
    <row r="43" ht="20.100000000000001" customHeight="1"/>
    <row r="44" ht="20.100000000000001" customHeight="1"/>
    <row r="45" ht="20.100000000000001" customHeight="1"/>
    <row r="46" ht="20.100000000000001" customHeight="1"/>
    <row r="47" ht="20.100000000000001" customHeight="1"/>
    <row r="48" ht="20.100000000000001" customHeight="1"/>
    <row r="49" ht="20.100000000000001" customHeight="1"/>
    <row r="50" ht="20.100000000000001" customHeight="1"/>
    <row r="51" ht="20.100000000000001" customHeight="1"/>
    <row r="52" ht="20.100000000000001" customHeight="1"/>
    <row r="53" ht="20.100000000000001" customHeight="1"/>
    <row r="54" ht="20.100000000000001" customHeight="1"/>
    <row r="55" ht="20.100000000000001" customHeight="1"/>
    <row r="56" ht="20.100000000000001" customHeight="1"/>
    <row r="57" ht="20.100000000000001" customHeight="1"/>
    <row r="58" ht="20.100000000000001" customHeight="1"/>
    <row r="59" ht="20.100000000000001" customHeight="1"/>
    <row r="60" ht="20.100000000000001" customHeight="1"/>
    <row r="61" ht="20.100000000000001" customHeight="1"/>
    <row r="62" ht="20.100000000000001" customHeight="1"/>
    <row r="63" ht="20.100000000000001" customHeight="1"/>
    <row r="64" ht="20.100000000000001" customHeight="1"/>
    <row r="65" ht="20.100000000000001" customHeight="1"/>
    <row r="66" ht="20.100000000000001" customHeight="1"/>
    <row r="67" ht="20.100000000000001" customHeight="1"/>
    <row r="68" ht="20.100000000000001" customHeight="1"/>
    <row r="69" ht="20.100000000000001" customHeight="1"/>
    <row r="70" ht="20.100000000000001" customHeight="1"/>
    <row r="71" ht="20.100000000000001" customHeight="1"/>
    <row r="72" ht="20.100000000000001" customHeight="1"/>
    <row r="73" ht="20.100000000000001" customHeight="1"/>
    <row r="74" ht="20.100000000000001" customHeight="1"/>
    <row r="75" ht="20.100000000000001" customHeight="1"/>
    <row r="76" ht="20.100000000000001" customHeight="1"/>
    <row r="77" ht="20.100000000000001" customHeight="1"/>
    <row r="78" ht="20.100000000000001" customHeight="1"/>
    <row r="79" ht="20.100000000000001" customHeight="1"/>
    <row r="80" ht="20.100000000000001" customHeight="1"/>
    <row r="81" ht="20.100000000000001" customHeight="1"/>
    <row r="82" ht="20.100000000000001" customHeight="1"/>
    <row r="83" ht="20.100000000000001" customHeight="1"/>
    <row r="84" ht="20.100000000000001" customHeight="1"/>
    <row r="85" ht="20.100000000000001" customHeight="1"/>
    <row r="86" ht="20.100000000000001" customHeight="1"/>
    <row r="87" ht="20.100000000000001" customHeight="1"/>
    <row r="88" ht="20.100000000000001" customHeight="1"/>
    <row r="89" ht="20.100000000000001" customHeight="1"/>
    <row r="90" ht="20.100000000000001" customHeight="1"/>
    <row r="91" ht="20.100000000000001" customHeight="1"/>
    <row r="92" ht="20.100000000000001" customHeight="1"/>
    <row r="93" ht="20.100000000000001" customHeight="1"/>
    <row r="94" ht="20.100000000000001" customHeight="1"/>
    <row r="95" ht="20.100000000000001" customHeight="1"/>
    <row r="96" ht="20.100000000000001" customHeight="1"/>
    <row r="97" ht="20.100000000000001" customHeight="1"/>
    <row r="98" ht="20.100000000000001" customHeight="1"/>
    <row r="99" ht="20.100000000000001" customHeight="1"/>
    <row r="100" ht="20.100000000000001" customHeight="1"/>
    <row r="101" ht="20.100000000000001" customHeight="1"/>
    <row r="102" ht="20.100000000000001" customHeight="1"/>
    <row r="103" ht="20.100000000000001" customHeight="1"/>
    <row r="104" ht="20.100000000000001" customHeight="1"/>
    <row r="105" ht="20.100000000000001" customHeight="1"/>
    <row r="106" ht="20.100000000000001" customHeight="1"/>
    <row r="107" ht="20.100000000000001" customHeight="1"/>
    <row r="108" ht="20.100000000000001" customHeight="1"/>
    <row r="109" ht="20.100000000000001" customHeight="1"/>
    <row r="110" ht="20.100000000000001" customHeight="1"/>
    <row r="111" ht="20.100000000000001" customHeight="1"/>
    <row r="112" ht="20.100000000000001" customHeight="1"/>
    <row r="113" ht="20.100000000000001" customHeight="1"/>
    <row r="114" ht="20.100000000000001" customHeight="1"/>
    <row r="115" ht="20.100000000000001" customHeight="1"/>
    <row r="116" ht="20.100000000000001" customHeight="1"/>
    <row r="117" ht="20.100000000000001" customHeight="1"/>
    <row r="118" ht="20.100000000000001" customHeight="1"/>
    <row r="119" ht="20.100000000000001" customHeight="1"/>
    <row r="120" ht="20.100000000000001" customHeight="1"/>
    <row r="121" ht="20.100000000000001" customHeight="1"/>
    <row r="122" ht="20.100000000000001" customHeight="1"/>
    <row r="123" ht="20.100000000000001" customHeight="1"/>
    <row r="124" ht="20.100000000000001" customHeight="1"/>
    <row r="125" ht="20.100000000000001" customHeight="1"/>
    <row r="126" ht="20.100000000000001" customHeight="1"/>
    <row r="127" ht="20.100000000000001" customHeight="1"/>
    <row r="128" ht="20.100000000000001" customHeight="1"/>
    <row r="129" ht="20.100000000000001" customHeight="1"/>
    <row r="130" ht="20.100000000000001" customHeight="1"/>
  </sheetData>
  <sheetProtection password="B970" sheet="1" objects="1" scenarios="1"/>
  <mergeCells count="12">
    <mergeCell ref="D2:G2"/>
    <mergeCell ref="D4:G4"/>
    <mergeCell ref="D5:J5"/>
    <mergeCell ref="D8:G8"/>
    <mergeCell ref="D11:G11"/>
    <mergeCell ref="D12:G12"/>
    <mergeCell ref="D6:G6"/>
    <mergeCell ref="D13:G13"/>
    <mergeCell ref="D14:G14"/>
    <mergeCell ref="D9:G9"/>
    <mergeCell ref="D10:G10"/>
    <mergeCell ref="D7:G7"/>
  </mergeCells>
  <hyperlinks>
    <hyperlink ref="D3" location="cover!C1" display="HOME" xr:uid="{00000000-0004-0000-0300-000000000000}"/>
    <hyperlink ref="G3" location="applicantDetails!A1" display="Next &gt;&gt;" xr:uid="{00000000-0004-0000-0300-000001000000}"/>
  </hyperlinks>
  <pageMargins left="0.7" right="0.7" top="0.75" bottom="0.75" header="0.3" footer="0.3"/>
  <pageSetup paperSize="9" scale="70" fitToHeight="0"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tabColor theme="8" tint="0.59999389629810485"/>
    <pageSetUpPr fitToPage="1"/>
  </sheetPr>
  <dimension ref="A1:I68"/>
  <sheetViews>
    <sheetView showGridLines="0" showRowColHeaders="0" topLeftCell="C1" workbookViewId="0"/>
  </sheetViews>
  <sheetFormatPr defaultColWidth="8.83203125" defaultRowHeight="12.75"/>
  <cols>
    <col min="1" max="1" width="10.1640625" style="136" hidden="1" customWidth="1"/>
    <col min="2" max="2" width="9.33203125" style="136" hidden="1" customWidth="1"/>
    <col min="3" max="3" width="3.83203125" style="136" customWidth="1"/>
    <col min="4" max="4" width="50.83203125" style="136" customWidth="1"/>
    <col min="5" max="5" width="40.83203125" style="136" customWidth="1"/>
    <col min="6" max="7" width="10.83203125" style="136" customWidth="1"/>
    <col min="8" max="8" width="3.83203125" style="136" customWidth="1"/>
    <col min="9" max="16" width="8.83203125" style="136" customWidth="1"/>
    <col min="17" max="16384" width="8.83203125" style="136"/>
  </cols>
  <sheetData>
    <row r="1" spans="1:9" ht="39.950000000000003" customHeight="1">
      <c r="B1" s="112"/>
      <c r="D1" s="137"/>
    </row>
    <row r="2" spans="1:9" s="138" customFormat="1" ht="39.950000000000003" customHeight="1">
      <c r="B2" s="106"/>
      <c r="D2" s="186" t="s">
        <v>1947</v>
      </c>
      <c r="E2" s="186"/>
      <c r="F2" s="186"/>
      <c r="G2" s="186"/>
    </row>
    <row r="3" spans="1:9" ht="30" customHeight="1">
      <c r="B3" s="112"/>
      <c r="C3" s="138"/>
      <c r="D3" s="139"/>
      <c r="E3" s="140"/>
      <c r="F3" s="141"/>
      <c r="G3" s="141" t="s">
        <v>1224</v>
      </c>
    </row>
    <row r="4" spans="1:9" ht="5.0999999999999996" customHeight="1">
      <c r="B4" s="112"/>
      <c r="C4" s="142"/>
      <c r="D4" s="187"/>
      <c r="E4" s="187"/>
      <c r="F4" s="187"/>
      <c r="G4" s="187"/>
      <c r="H4" s="142"/>
    </row>
    <row r="5" spans="1:9" ht="20.100000000000001" customHeight="1">
      <c r="B5" s="112"/>
      <c r="D5" s="194"/>
      <c r="E5" s="194"/>
      <c r="F5" s="194"/>
      <c r="G5" s="194"/>
    </row>
    <row r="6" spans="1:9" ht="20.100000000000001" customHeight="1">
      <c r="B6" s="112"/>
      <c r="C6" s="143" t="s">
        <v>1912</v>
      </c>
      <c r="D6" s="189" t="s">
        <v>1948</v>
      </c>
      <c r="E6" s="189"/>
      <c r="F6" s="189"/>
      <c r="G6" s="189"/>
    </row>
    <row r="7" spans="1:9" ht="20.100000000000001" customHeight="1">
      <c r="B7" s="112"/>
      <c r="D7" s="144"/>
      <c r="E7" s="144"/>
      <c r="F7" s="144"/>
      <c r="G7" s="144"/>
    </row>
    <row r="8" spans="1:9" ht="20.25" customHeight="1">
      <c r="B8" s="112"/>
      <c r="D8" s="145" t="s">
        <v>1950</v>
      </c>
      <c r="E8" s="195"/>
      <c r="F8" s="196"/>
      <c r="G8" s="197"/>
    </row>
    <row r="9" spans="1:9" ht="20.25" customHeight="1">
      <c r="B9" s="112"/>
      <c r="D9" s="145" t="s">
        <v>1951</v>
      </c>
      <c r="E9" s="198"/>
      <c r="F9" s="199"/>
      <c r="G9" s="200"/>
    </row>
    <row r="10" spans="1:9" ht="20.100000000000001" customHeight="1">
      <c r="B10" s="112"/>
      <c r="D10" s="146"/>
      <c r="E10" s="147"/>
      <c r="F10" s="147"/>
      <c r="G10" s="147"/>
    </row>
    <row r="11" spans="1:9" ht="20.100000000000001" customHeight="1">
      <c r="B11" s="112"/>
      <c r="C11" s="143" t="s">
        <v>1912</v>
      </c>
      <c r="D11" s="189" t="s">
        <v>1952</v>
      </c>
      <c r="E11" s="189"/>
      <c r="F11" s="189"/>
      <c r="G11" s="189"/>
    </row>
    <row r="12" spans="1:9" ht="6.75" customHeight="1">
      <c r="B12" s="112"/>
      <c r="C12" s="143"/>
    </row>
    <row r="13" spans="1:9" ht="20.100000000000001" customHeight="1">
      <c r="B13" s="112">
        <v>1</v>
      </c>
      <c r="C13" s="148"/>
      <c r="D13" s="145" t="s">
        <v>1225</v>
      </c>
      <c r="E13" s="190"/>
      <c r="F13" s="191"/>
      <c r="G13" s="192"/>
    </row>
    <row r="14" spans="1:9" ht="20.25" hidden="1" customHeight="1">
      <c r="A14" s="149" t="str">
        <f>IF($B$13=2,"Show","HIDE")</f>
        <v>HIDE</v>
      </c>
      <c r="B14" s="112"/>
      <c r="C14" s="148"/>
      <c r="D14" s="150" t="s">
        <v>1950</v>
      </c>
      <c r="E14" s="195"/>
      <c r="F14" s="196"/>
      <c r="G14" s="197"/>
      <c r="I14" s="151"/>
    </row>
    <row r="15" spans="1:9" ht="20.25" hidden="1" customHeight="1">
      <c r="A15" s="136" t="str">
        <f>IF($B$13=2,"Show","HIDE")</f>
        <v>HIDE</v>
      </c>
      <c r="B15" s="112"/>
      <c r="C15" s="148"/>
      <c r="D15" s="152" t="s">
        <v>1951</v>
      </c>
      <c r="E15" s="198"/>
      <c r="F15" s="199"/>
      <c r="G15" s="200"/>
    </row>
    <row r="16" spans="1:9" ht="9.75" customHeight="1">
      <c r="B16" s="112"/>
      <c r="C16" s="148"/>
      <c r="D16" s="151"/>
    </row>
    <row r="17" spans="1:9" ht="20.100000000000001" customHeight="1">
      <c r="B17" s="112"/>
      <c r="C17" s="143" t="s">
        <v>1912</v>
      </c>
      <c r="D17" s="189" t="s">
        <v>1953</v>
      </c>
      <c r="E17" s="189"/>
      <c r="F17" s="189"/>
      <c r="G17" s="189"/>
    </row>
    <row r="18" spans="1:9" ht="6" customHeight="1">
      <c r="B18" s="112"/>
    </row>
    <row r="19" spans="1:9" ht="42.75" customHeight="1">
      <c r="B19" s="112">
        <v>1</v>
      </c>
      <c r="D19" s="145" t="s">
        <v>89</v>
      </c>
      <c r="E19" s="193"/>
      <c r="F19" s="193"/>
      <c r="G19" s="193"/>
    </row>
    <row r="20" spans="1:9" ht="20.100000000000001" hidden="1" customHeight="1">
      <c r="A20" s="136" t="str">
        <f>IF($B$19=2,"Show","HIDE")</f>
        <v>HIDE</v>
      </c>
      <c r="B20" s="112">
        <v>1</v>
      </c>
      <c r="D20" s="145" t="s">
        <v>1226</v>
      </c>
      <c r="E20" s="188"/>
      <c r="F20" s="188"/>
      <c r="G20" s="188"/>
    </row>
    <row r="21" spans="1:9" ht="20.100000000000001" customHeight="1">
      <c r="B21" s="112"/>
      <c r="D21" s="153"/>
      <c r="E21" s="154"/>
      <c r="F21" s="154"/>
      <c r="G21" s="154"/>
    </row>
    <row r="22" spans="1:9" ht="20.100000000000001" hidden="1" customHeight="1">
      <c r="A22" s="136" t="str">
        <f>IF(OR($B$20=2,$B$20=3,$B$20=4,$B$20=5),"Show","HIDE")</f>
        <v>HIDE</v>
      </c>
      <c r="B22" s="112"/>
      <c r="D22" s="201" t="s">
        <v>1235</v>
      </c>
      <c r="E22" s="201"/>
      <c r="F22" s="201"/>
      <c r="G22" s="201"/>
    </row>
    <row r="23" spans="1:9" ht="20.25" hidden="1" customHeight="1">
      <c r="A23" s="136" t="str">
        <f>IF(OR($B$20=2,$B$20=3,$B$20=4,$B$20=5),"Show","HIDE")</f>
        <v>HIDE</v>
      </c>
      <c r="B23" s="112"/>
      <c r="D23" s="155" t="s">
        <v>1950</v>
      </c>
      <c r="E23" s="195"/>
      <c r="F23" s="196"/>
      <c r="G23" s="197"/>
      <c r="I23" s="151"/>
    </row>
    <row r="24" spans="1:9" ht="20.25" hidden="1" customHeight="1">
      <c r="A24" s="136" t="str">
        <f>IF(OR($B$20=2,$B$20=3,$B$20=4,$B$20=5),"Show","HIDE")</f>
        <v>HIDE</v>
      </c>
      <c r="B24" s="112"/>
      <c r="D24" s="145" t="s">
        <v>1951</v>
      </c>
      <c r="E24" s="198"/>
      <c r="F24" s="199"/>
      <c r="G24" s="200"/>
    </row>
    <row r="25" spans="1:9" ht="11.25" customHeight="1">
      <c r="B25" s="112"/>
      <c r="D25" s="153"/>
      <c r="E25" s="147"/>
      <c r="F25" s="147"/>
      <c r="G25" s="147"/>
    </row>
    <row r="26" spans="1:9" ht="22.5" hidden="1" customHeight="1">
      <c r="A26" s="136" t="str">
        <f>IF(OR($B$20=3,$B$20=4,$B$20=5),"Show","HIDE")</f>
        <v>HIDE</v>
      </c>
      <c r="B26" s="112"/>
      <c r="D26" s="201" t="s">
        <v>1236</v>
      </c>
      <c r="E26" s="201"/>
      <c r="F26" s="201"/>
      <c r="G26" s="201"/>
    </row>
    <row r="27" spans="1:9" ht="20.25" hidden="1" customHeight="1">
      <c r="A27" s="136" t="str">
        <f>IF(OR($B$20=3,$B$20=4,$B$20=5),"Show","HIDE")</f>
        <v>HIDE</v>
      </c>
      <c r="B27" s="112"/>
      <c r="D27" s="155" t="s">
        <v>1950</v>
      </c>
      <c r="E27" s="195"/>
      <c r="F27" s="196"/>
      <c r="G27" s="197"/>
      <c r="I27" s="151"/>
    </row>
    <row r="28" spans="1:9" ht="20.25" hidden="1" customHeight="1">
      <c r="A28" s="136" t="str">
        <f>IF(OR($B$20=3,$B$20=4,$B$20=5),"Show","HIDE")</f>
        <v>HIDE</v>
      </c>
      <c r="B28" s="112"/>
      <c r="D28" s="145" t="s">
        <v>1951</v>
      </c>
      <c r="E28" s="198"/>
      <c r="F28" s="199"/>
      <c r="G28" s="200"/>
    </row>
    <row r="29" spans="1:9" ht="11.25" customHeight="1">
      <c r="B29" s="112"/>
      <c r="D29" s="153"/>
      <c r="E29" s="147"/>
      <c r="F29" s="147"/>
      <c r="G29" s="147"/>
    </row>
    <row r="30" spans="1:9" ht="15.75" hidden="1">
      <c r="A30" s="136" t="str">
        <f>IF(OR($B$20=4,$B$20=5),"Show","HIDE")</f>
        <v>HIDE</v>
      </c>
      <c r="B30" s="112"/>
      <c r="D30" s="201" t="s">
        <v>1237</v>
      </c>
      <c r="E30" s="201"/>
      <c r="F30" s="201"/>
      <c r="G30" s="201"/>
    </row>
    <row r="31" spans="1:9" ht="20.25" hidden="1" customHeight="1">
      <c r="A31" s="136" t="str">
        <f>IF(OR($B$20=4,$B$20=5),"Show","HIDE")</f>
        <v>HIDE</v>
      </c>
      <c r="B31" s="112"/>
      <c r="D31" s="155" t="s">
        <v>1950</v>
      </c>
      <c r="E31" s="195"/>
      <c r="F31" s="196"/>
      <c r="G31" s="197"/>
      <c r="I31" s="151"/>
    </row>
    <row r="32" spans="1:9" ht="20.25" hidden="1" customHeight="1">
      <c r="A32" s="136" t="str">
        <f>IF(OR($B$20=4,$B$20=5),"Show","HIDE")</f>
        <v>HIDE</v>
      </c>
      <c r="B32" s="112"/>
      <c r="D32" s="145" t="s">
        <v>1951</v>
      </c>
      <c r="E32" s="198"/>
      <c r="F32" s="199"/>
      <c r="G32" s="200"/>
    </row>
    <row r="33" spans="1:9" ht="11.25" customHeight="1">
      <c r="B33" s="112"/>
      <c r="D33" s="153"/>
      <c r="E33" s="147"/>
      <c r="F33" s="147"/>
      <c r="G33" s="147"/>
    </row>
    <row r="34" spans="1:9" ht="18.75" hidden="1" customHeight="1">
      <c r="A34" s="136" t="str">
        <f>IF($B$20=5,"Show","HIDE")</f>
        <v>HIDE</v>
      </c>
      <c r="B34" s="112"/>
      <c r="D34" s="201" t="s">
        <v>1238</v>
      </c>
      <c r="E34" s="201"/>
      <c r="F34" s="201"/>
      <c r="G34" s="201"/>
    </row>
    <row r="35" spans="1:9" ht="20.25" hidden="1" customHeight="1">
      <c r="A35" s="136" t="str">
        <f>IF($B$20=5,"Show","HIDE")</f>
        <v>HIDE</v>
      </c>
      <c r="B35" s="112"/>
      <c r="D35" s="156" t="s">
        <v>1950</v>
      </c>
      <c r="E35" s="195"/>
      <c r="F35" s="196"/>
      <c r="G35" s="197"/>
      <c r="I35" s="151"/>
    </row>
    <row r="36" spans="1:9" ht="20.25" hidden="1" customHeight="1">
      <c r="A36" s="136" t="str">
        <f>IF($B$20=5,"Show","HIDE")</f>
        <v>HIDE</v>
      </c>
      <c r="B36" s="112"/>
      <c r="D36" s="145" t="s">
        <v>1951</v>
      </c>
      <c r="E36" s="198"/>
      <c r="F36" s="199"/>
      <c r="G36" s="200"/>
    </row>
    <row r="37" spans="1:9" ht="8.25" customHeight="1">
      <c r="B37" s="112"/>
      <c r="D37" s="151"/>
    </row>
    <row r="38" spans="1:9" ht="31.5" customHeight="1">
      <c r="A38" s="136" t="str">
        <f>IF(A40="NO","HIDE","Show")</f>
        <v>HIDE</v>
      </c>
      <c r="B38" s="112"/>
      <c r="D38" s="151"/>
    </row>
    <row r="39" spans="1:9" ht="32.25" hidden="1" customHeight="1">
      <c r="A39" s="136" t="str">
        <f>IF(A38="HIDE","Show","HIDE")</f>
        <v>Show</v>
      </c>
      <c r="B39" s="112"/>
    </row>
    <row r="40" spans="1:9" ht="20.100000000000001" customHeight="1">
      <c r="A40" s="136" t="str">
        <f>IF(AND(LEN(E8)&gt;0,LEN(E9)&gt;0,B13&gt;1,B19&gt;1),"OK","NO")</f>
        <v>NO</v>
      </c>
      <c r="B40" s="112"/>
    </row>
    <row r="41" spans="1:9" ht="20.100000000000001" customHeight="1">
      <c r="B41" s="112"/>
    </row>
    <row r="42" spans="1:9" ht="20.100000000000001" customHeight="1">
      <c r="B42" s="112"/>
    </row>
    <row r="43" spans="1:9" ht="20.100000000000001" customHeight="1"/>
    <row r="44" spans="1:9" ht="20.100000000000001" customHeight="1"/>
    <row r="45" spans="1:9" ht="20.100000000000001" customHeight="1"/>
    <row r="46" spans="1:9" ht="20.100000000000001" customHeight="1"/>
    <row r="47" spans="1:9" ht="20.100000000000001" customHeight="1"/>
    <row r="48" spans="1:9" ht="20.100000000000001" customHeight="1"/>
    <row r="49" ht="20.100000000000001" customHeight="1"/>
    <row r="50" ht="20.100000000000001" customHeight="1"/>
    <row r="51" ht="20.100000000000001" customHeight="1"/>
    <row r="52" ht="20.100000000000001" customHeight="1"/>
    <row r="53" ht="20.100000000000001" customHeight="1"/>
    <row r="54" ht="20.100000000000001" customHeight="1"/>
    <row r="55" ht="20.100000000000001" customHeight="1"/>
    <row r="56" ht="20.100000000000001" customHeight="1"/>
    <row r="57" ht="20.100000000000001" customHeight="1"/>
    <row r="58" ht="20.100000000000001" customHeight="1"/>
    <row r="59" ht="20.100000000000001" customHeight="1"/>
    <row r="60" ht="20.100000000000001" customHeight="1"/>
    <row r="61" ht="20.100000000000001" customHeight="1"/>
    <row r="62" ht="20.100000000000001" customHeight="1"/>
    <row r="63" ht="20.100000000000001" customHeight="1"/>
    <row r="64" ht="20.100000000000001" customHeight="1"/>
    <row r="65" ht="20.100000000000001" customHeight="1"/>
    <row r="66" ht="20.100000000000001" customHeight="1"/>
    <row r="67" ht="20.100000000000001" customHeight="1"/>
    <row r="68" ht="20.100000000000001" customHeight="1"/>
  </sheetData>
  <sheetProtection algorithmName="SHA-512" hashValue="LzZFvucS9Tj6jzZXnPz8kJGaWgwHfuUCJ/1jxyjRqtBLPxk9wd1cmGp06RPAOLlkYCafbB4WNEdaEdZK8/CYiA==" saltValue="4AEeeGEmk1uMNjkMJhyvdA==" spinCount="100000" sheet="1" objects="1" scenarios="1"/>
  <mergeCells count="25">
    <mergeCell ref="E28:G28"/>
    <mergeCell ref="E31:G31"/>
    <mergeCell ref="E32:G32"/>
    <mergeCell ref="E35:G35"/>
    <mergeCell ref="E36:G36"/>
    <mergeCell ref="D30:G30"/>
    <mergeCell ref="D34:G34"/>
    <mergeCell ref="E23:G23"/>
    <mergeCell ref="E24:G24"/>
    <mergeCell ref="E14:G14"/>
    <mergeCell ref="E15:G15"/>
    <mergeCell ref="E27:G27"/>
    <mergeCell ref="D22:G22"/>
    <mergeCell ref="D26:G26"/>
    <mergeCell ref="D2:G2"/>
    <mergeCell ref="D4:G4"/>
    <mergeCell ref="E20:G20"/>
    <mergeCell ref="D11:G11"/>
    <mergeCell ref="E13:G13"/>
    <mergeCell ref="D17:G17"/>
    <mergeCell ref="E19:G19"/>
    <mergeCell ref="D6:G6"/>
    <mergeCell ref="D5:G5"/>
    <mergeCell ref="E8:G8"/>
    <mergeCell ref="E9:G9"/>
  </mergeCells>
  <hyperlinks>
    <hyperlink ref="G3" location="applicantDetails!G3" display="SAVE" xr:uid="{00000000-0004-0000-0400-000000000000}"/>
  </hyperlinks>
  <pageMargins left="0.7" right="0.7" top="0.75" bottom="0.75" header="0.3" footer="0.3"/>
  <pageSetup paperSize="9" scale="8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93" r:id="rId4" name="Drop Down 5">
              <controlPr locked="0" defaultSize="0" autoLine="0" autoPict="0" macro="[0]!DropDownWillYourPartnerMigrate_Change">
                <anchor moveWithCells="1">
                  <from>
                    <xdr:col>4</xdr:col>
                    <xdr:colOff>0</xdr:colOff>
                    <xdr:row>12</xdr:row>
                    <xdr:rowOff>0</xdr:rowOff>
                  </from>
                  <to>
                    <xdr:col>7</xdr:col>
                    <xdr:colOff>0</xdr:colOff>
                    <xdr:row>13</xdr:row>
                    <xdr:rowOff>0</xdr:rowOff>
                  </to>
                </anchor>
              </controlPr>
            </control>
          </mc:Choice>
        </mc:AlternateContent>
        <mc:AlternateContent xmlns:mc="http://schemas.openxmlformats.org/markup-compatibility/2006">
          <mc:Choice Requires="x14">
            <control shapeId="37894" r:id="rId5" name="Drop Down 6">
              <controlPr locked="0" defaultSize="0" autoLine="0" autoPict="0" macro="[0]!DropDownHowManyChildren_Change">
                <anchor moveWithCells="1">
                  <from>
                    <xdr:col>4</xdr:col>
                    <xdr:colOff>0</xdr:colOff>
                    <xdr:row>18</xdr:row>
                    <xdr:rowOff>161925</xdr:rowOff>
                  </from>
                  <to>
                    <xdr:col>7</xdr:col>
                    <xdr:colOff>0</xdr:colOff>
                    <xdr:row>18</xdr:row>
                    <xdr:rowOff>409575</xdr:rowOff>
                  </to>
                </anchor>
              </controlPr>
            </control>
          </mc:Choice>
        </mc:AlternateContent>
        <mc:AlternateContent xmlns:mc="http://schemas.openxmlformats.org/markup-compatibility/2006">
          <mc:Choice Requires="x14">
            <control shapeId="37896" r:id="rId6" name="Drop Down 8">
              <controlPr locked="0" defaultSize="0" autoLine="0" autoPict="0" macro="[0]!ChildSelectorDropDown_Change">
                <anchor moveWithCells="1">
                  <from>
                    <xdr:col>4</xdr:col>
                    <xdr:colOff>0</xdr:colOff>
                    <xdr:row>19</xdr:row>
                    <xdr:rowOff>0</xdr:rowOff>
                  </from>
                  <to>
                    <xdr:col>7</xdr:col>
                    <xdr:colOff>0</xdr:colOff>
                    <xdr:row>21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0">
    <tabColor theme="8" tint="0.59999389629810485"/>
    <pageSetUpPr fitToPage="1"/>
  </sheetPr>
  <dimension ref="A1:K67"/>
  <sheetViews>
    <sheetView showGridLines="0" showRowColHeaders="0" tabSelected="1" topLeftCell="C1" workbookViewId="0">
      <selection activeCell="C1" sqref="C1"/>
    </sheetView>
  </sheetViews>
  <sheetFormatPr defaultColWidth="9" defaultRowHeight="12.75"/>
  <cols>
    <col min="1" max="1" width="10.83203125" hidden="1" customWidth="1"/>
    <col min="2" max="2" width="9" hidden="1" customWidth="1"/>
    <col min="3" max="3" width="3.83203125" customWidth="1"/>
    <col min="4" max="4" width="50.83203125" customWidth="1"/>
    <col min="5" max="5" width="40.83203125" customWidth="1"/>
    <col min="6" max="7" width="10.83203125" customWidth="1"/>
    <col min="8" max="8" width="3.83203125" customWidth="1"/>
    <col min="9" max="16" width="0" hidden="1" customWidth="1"/>
  </cols>
  <sheetData>
    <row r="1" spans="2:8" ht="39.950000000000003" customHeight="1">
      <c r="B1" s="162"/>
      <c r="D1" s="45"/>
      <c r="F1" s="86" t="s">
        <v>1224</v>
      </c>
      <c r="G1" s="86" t="s">
        <v>1944</v>
      </c>
    </row>
    <row r="2" spans="2:8" s="4" customFormat="1" ht="39.950000000000003" customHeight="1">
      <c r="B2" s="104"/>
      <c r="D2" s="183" t="s">
        <v>1946</v>
      </c>
      <c r="E2" s="183"/>
      <c r="F2" s="183"/>
      <c r="G2" s="183"/>
    </row>
    <row r="3" spans="2:8" ht="30" customHeight="1">
      <c r="B3" s="162"/>
      <c r="D3" s="16" t="s">
        <v>1945</v>
      </c>
      <c r="E3" s="24"/>
      <c r="G3" s="88" t="s">
        <v>42</v>
      </c>
    </row>
    <row r="4" spans="2:8" ht="5.0999999999999996" customHeight="1">
      <c r="B4" s="162"/>
      <c r="C4" s="71"/>
      <c r="D4" s="184"/>
      <c r="E4" s="184"/>
      <c r="F4" s="184"/>
      <c r="G4" s="184"/>
      <c r="H4" s="71"/>
    </row>
    <row r="5" spans="2:8" ht="18">
      <c r="B5" s="162"/>
      <c r="D5" s="3"/>
      <c r="E5" s="3"/>
      <c r="F5" s="1"/>
    </row>
    <row r="6" spans="2:8" ht="20.100000000000001" customHeight="1">
      <c r="B6" s="162"/>
      <c r="D6" s="203" t="s">
        <v>1240</v>
      </c>
      <c r="E6" s="203"/>
      <c r="F6" s="203"/>
      <c r="G6" s="203"/>
    </row>
    <row r="7" spans="2:8" ht="9.9499999999999993" customHeight="1">
      <c r="B7" s="162"/>
    </row>
    <row r="8" spans="2:8" s="55" customFormat="1" ht="20.100000000000001" customHeight="1">
      <c r="B8" s="162">
        <f>applicationContext!K4</f>
        <v>0</v>
      </c>
      <c r="D8" s="85" t="s">
        <v>1938</v>
      </c>
      <c r="E8" s="124" t="str">
        <f>IF(B8=1,"Complete","Incomplete")</f>
        <v>Incomplete</v>
      </c>
    </row>
    <row r="9" spans="2:8" ht="20.100000000000001" customHeight="1">
      <c r="B9" s="162">
        <f>yourDetails!K4</f>
        <v>0</v>
      </c>
      <c r="D9" s="84" t="s">
        <v>1920</v>
      </c>
      <c r="E9" s="124" t="str">
        <f>IF(B9,"Complete","Incomplete")</f>
        <v>Incomplete</v>
      </c>
      <c r="F9" s="49"/>
      <c r="G9" s="49"/>
    </row>
    <row r="10" spans="2:8" s="55" customFormat="1" ht="20.100000000000001" customHeight="1">
      <c r="B10" s="162">
        <f>contactDetailsApplicant!K4</f>
        <v>0</v>
      </c>
      <c r="D10" s="84" t="s">
        <v>1921</v>
      </c>
      <c r="E10" s="124" t="str">
        <f>IF(B10,"Complete","Incomplete")</f>
        <v>Incomplete</v>
      </c>
      <c r="F10" s="49"/>
      <c r="G10" s="49"/>
    </row>
    <row r="11" spans="2:8" s="55" customFormat="1" ht="20.100000000000001" customHeight="1">
      <c r="B11" s="162">
        <f>countryOfResidenceAllApplicants!K4</f>
        <v>0</v>
      </c>
      <c r="D11" s="84" t="s">
        <v>1922</v>
      </c>
      <c r="E11" s="124" t="str">
        <f>IF(B11,"Complete","Incomplete")</f>
        <v>Incomplete</v>
      </c>
      <c r="F11" s="49"/>
      <c r="G11" s="49"/>
    </row>
    <row r="12" spans="2:8" ht="20.100000000000001" customHeight="1">
      <c r="B12" s="162">
        <f>educationHistoryPrimarApplic!K4</f>
        <v>0</v>
      </c>
      <c r="C12" s="55"/>
      <c r="D12" s="84" t="s">
        <v>1241</v>
      </c>
      <c r="E12" s="124" t="str">
        <f t="shared" ref="E12:E18" si="0">IF(B12,"Complete","Incomplete")</f>
        <v>Incomplete</v>
      </c>
      <c r="F12" s="50"/>
      <c r="G12" s="50"/>
    </row>
    <row r="13" spans="2:8" ht="20.100000000000001" customHeight="1">
      <c r="B13" s="162">
        <f>registrationLicensing!K4</f>
        <v>0</v>
      </c>
      <c r="C13" s="55"/>
      <c r="D13" s="84" t="s">
        <v>1242</v>
      </c>
      <c r="E13" s="124" t="str">
        <f t="shared" si="0"/>
        <v>Incomplete</v>
      </c>
      <c r="F13" s="50"/>
      <c r="G13" s="50"/>
    </row>
    <row r="14" spans="2:8" ht="20.100000000000001" customHeight="1">
      <c r="B14" s="162">
        <f>languageSkills!K4</f>
        <v>0</v>
      </c>
      <c r="D14" s="84" t="s">
        <v>1988</v>
      </c>
      <c r="E14" s="124" t="str">
        <f t="shared" si="0"/>
        <v>Incomplete</v>
      </c>
      <c r="F14" s="50"/>
      <c r="G14" s="50"/>
    </row>
    <row r="15" spans="2:8" ht="20.100000000000001" customHeight="1">
      <c r="B15" s="162">
        <f>employmentHistory!K4</f>
        <v>0</v>
      </c>
      <c r="D15" s="84" t="s">
        <v>1243</v>
      </c>
      <c r="E15" s="124" t="str">
        <f t="shared" si="0"/>
        <v>Incomplete</v>
      </c>
      <c r="F15" s="50"/>
      <c r="G15" s="50"/>
    </row>
    <row r="16" spans="2:8" ht="20.100000000000001" customHeight="1">
      <c r="B16" s="162">
        <f>healthDeclarations!K4</f>
        <v>0</v>
      </c>
      <c r="D16" s="84" t="s">
        <v>1244</v>
      </c>
      <c r="E16" s="124" t="str">
        <f t="shared" si="0"/>
        <v>Incomplete</v>
      </c>
      <c r="F16" s="50"/>
      <c r="G16" s="50"/>
    </row>
    <row r="17" spans="1:11" ht="20.100000000000001" customHeight="1">
      <c r="B17" s="162">
        <f>characterDeclarations!K4</f>
        <v>0</v>
      </c>
      <c r="D17" s="84" t="s">
        <v>1245</v>
      </c>
      <c r="E17" s="124" t="str">
        <f t="shared" si="0"/>
        <v>Incomplete</v>
      </c>
      <c r="F17" s="50"/>
      <c r="G17" s="50"/>
    </row>
    <row r="18" spans="1:11" s="55" customFormat="1" ht="20.100000000000001" customHeight="1">
      <c r="B18" s="162">
        <f>declarations!K4</f>
        <v>0</v>
      </c>
      <c r="D18" s="84" t="s">
        <v>1923</v>
      </c>
      <c r="E18" s="124" t="str">
        <f t="shared" si="0"/>
        <v>Incomplete</v>
      </c>
      <c r="F18" s="50"/>
      <c r="G18" s="50"/>
    </row>
    <row r="19" spans="1:11" ht="20.100000000000001" customHeight="1">
      <c r="B19" s="162">
        <v>1</v>
      </c>
      <c r="D19" s="84" t="s">
        <v>1246</v>
      </c>
      <c r="E19" s="124"/>
      <c r="F19" s="50"/>
      <c r="G19" s="50"/>
    </row>
    <row r="20" spans="1:11" ht="20.100000000000001" customHeight="1">
      <c r="B20" s="162"/>
      <c r="D20" s="202"/>
      <c r="E20" s="202"/>
      <c r="F20" s="202"/>
      <c r="G20" s="202"/>
      <c r="K20" s="55"/>
    </row>
    <row r="21" spans="1:11" ht="20.100000000000001" hidden="1" customHeight="1">
      <c r="A21" t="str">
        <f>applicantDetails!A14</f>
        <v>HIDE</v>
      </c>
      <c r="B21" s="162"/>
      <c r="D21" s="203" t="s">
        <v>43</v>
      </c>
      <c r="E21" s="203"/>
      <c r="F21" s="203"/>
      <c r="G21" s="203"/>
      <c r="K21" s="55"/>
    </row>
    <row r="22" spans="1:11" ht="9.9499999999999993" hidden="1" customHeight="1">
      <c r="A22" t="str">
        <f>applicantDetails!A14</f>
        <v>HIDE</v>
      </c>
      <c r="B22" s="162"/>
    </row>
    <row r="23" spans="1:11" ht="20.100000000000001" hidden="1" customHeight="1">
      <c r="A23" t="str">
        <f>applicantDetails!A14</f>
        <v>HIDE</v>
      </c>
      <c r="B23" s="162">
        <f>yourPartner!K4</f>
        <v>1</v>
      </c>
      <c r="D23" s="84" t="s">
        <v>1247</v>
      </c>
      <c r="E23" s="124" t="str">
        <f>IF(B23,"Complete","Incomplete")</f>
        <v>Complete</v>
      </c>
      <c r="F23" s="49"/>
      <c r="G23" s="49"/>
    </row>
    <row r="24" spans="1:11" ht="20.100000000000001" customHeight="1">
      <c r="B24" s="162"/>
      <c r="D24" s="81"/>
      <c r="E24" s="81"/>
      <c r="F24" s="81"/>
      <c r="G24" s="81"/>
    </row>
    <row r="25" spans="1:11" ht="20.100000000000001" hidden="1" customHeight="1">
      <c r="A25" t="str">
        <f>applicantDetails!A22</f>
        <v>HIDE</v>
      </c>
      <c r="B25" s="162"/>
      <c r="D25" s="203" t="s">
        <v>1939</v>
      </c>
      <c r="E25" s="203"/>
      <c r="F25" s="203"/>
      <c r="G25" s="203"/>
    </row>
    <row r="26" spans="1:11" ht="9.9499999999999993" hidden="1" customHeight="1">
      <c r="A26" s="55" t="str">
        <f>applicantDetails!A22</f>
        <v>HIDE</v>
      </c>
      <c r="B26" s="162"/>
      <c r="D26" s="55"/>
      <c r="E26" s="55"/>
      <c r="F26" s="55"/>
      <c r="G26" s="55"/>
    </row>
    <row r="27" spans="1:11" ht="20.100000000000001" hidden="1" customHeight="1">
      <c r="A27" s="55" t="str">
        <f>applicantDetails!A23</f>
        <v>HIDE</v>
      </c>
      <c r="B27" s="162">
        <f>IF(child_1!K$4=1,1,0)</f>
        <v>1</v>
      </c>
      <c r="D27" s="84" t="s">
        <v>1235</v>
      </c>
      <c r="E27" s="124" t="str">
        <f>IF(B27,"Complete","Incomplete")</f>
        <v>Complete</v>
      </c>
      <c r="F27" s="55"/>
      <c r="G27" s="55"/>
    </row>
    <row r="28" spans="1:11" ht="20.100000000000001" hidden="1" customHeight="1">
      <c r="A28" s="55" t="str">
        <f>applicantDetails!A27</f>
        <v>HIDE</v>
      </c>
      <c r="B28" s="162">
        <f>IF(child_2!K$4=1,1,0)</f>
        <v>1</v>
      </c>
      <c r="D28" s="84" t="s">
        <v>1236</v>
      </c>
      <c r="E28" s="124" t="str">
        <f>IF(B28,"Complete","Incomplete")</f>
        <v>Complete</v>
      </c>
      <c r="F28" s="49"/>
      <c r="G28" s="49"/>
    </row>
    <row r="29" spans="1:11" ht="20.100000000000001" hidden="1" customHeight="1">
      <c r="A29" s="55" t="str">
        <f>applicantDetails!A31</f>
        <v>HIDE</v>
      </c>
      <c r="B29" s="162">
        <f>IF(child_3!K$4=1,1,0)</f>
        <v>1</v>
      </c>
      <c r="D29" s="84" t="s">
        <v>1237</v>
      </c>
      <c r="E29" s="124" t="str">
        <f>IF(B29,"Complete","Incomplete")</f>
        <v>Complete</v>
      </c>
      <c r="F29" s="49"/>
      <c r="G29" s="49"/>
    </row>
    <row r="30" spans="1:11" ht="20.100000000000001" hidden="1" customHeight="1">
      <c r="A30" s="55" t="str">
        <f>applicantDetails!A35</f>
        <v>HIDE</v>
      </c>
      <c r="B30" s="162">
        <f>IF(child_4!K$4=1,1,0)</f>
        <v>1</v>
      </c>
      <c r="D30" s="84" t="s">
        <v>1238</v>
      </c>
      <c r="E30" s="124" t="str">
        <f>IF(B30,"Complete","Incomplete")</f>
        <v>Complete</v>
      </c>
      <c r="F30" s="49"/>
      <c r="G30" s="49"/>
    </row>
    <row r="31" spans="1:11" ht="20.100000000000001" customHeight="1">
      <c r="B31" s="162"/>
      <c r="D31" s="47"/>
      <c r="E31" s="205"/>
      <c r="F31" s="205"/>
      <c r="G31" s="205"/>
    </row>
    <row r="32" spans="1:11" ht="20.100000000000001" customHeight="1">
      <c r="D32" s="204" t="s">
        <v>1990</v>
      </c>
      <c r="E32" s="204"/>
      <c r="F32" s="204"/>
      <c r="G32" s="204"/>
    </row>
    <row r="33" spans="4:7" ht="35.1" customHeight="1">
      <c r="D33" s="204"/>
      <c r="E33" s="204"/>
      <c r="F33" s="204"/>
      <c r="G33" s="204"/>
    </row>
    <row r="34" spans="4:7" ht="6" customHeight="1"/>
    <row r="35" spans="4:7" ht="20.100000000000001" customHeight="1">
      <c r="D35" s="204" t="s">
        <v>1991</v>
      </c>
      <c r="E35" s="204"/>
      <c r="F35" s="204"/>
      <c r="G35" s="204"/>
    </row>
    <row r="36" spans="4:7" ht="20.100000000000001" customHeight="1">
      <c r="D36" s="204"/>
      <c r="E36" s="204"/>
      <c r="F36" s="204"/>
      <c r="G36" s="204"/>
    </row>
    <row r="37" spans="4:7" ht="20.100000000000001" customHeight="1"/>
    <row r="38" spans="4:7" ht="20.100000000000001" customHeight="1"/>
    <row r="39" spans="4:7" ht="20.100000000000001" customHeight="1"/>
    <row r="40" spans="4:7" ht="20.100000000000001" customHeight="1"/>
    <row r="41" spans="4:7" ht="20.100000000000001" customHeight="1"/>
    <row r="42" spans="4:7" ht="20.100000000000001" customHeight="1"/>
    <row r="43" spans="4:7" ht="20.100000000000001" customHeight="1"/>
    <row r="44" spans="4:7" ht="20.100000000000001" customHeight="1"/>
    <row r="45" spans="4:7" ht="20.100000000000001" customHeight="1"/>
    <row r="46" spans="4:7" ht="20.100000000000001" customHeight="1"/>
    <row r="47" spans="4:7" ht="20.100000000000001" customHeight="1"/>
    <row r="48" spans="4:7" ht="20.100000000000001" customHeight="1"/>
    <row r="49" ht="20.100000000000001" customHeight="1"/>
    <row r="50" ht="20.100000000000001" customHeight="1"/>
    <row r="51" ht="20.100000000000001" customHeight="1"/>
    <row r="52" ht="20.100000000000001" customHeight="1"/>
    <row r="53" ht="20.100000000000001" customHeight="1"/>
    <row r="54" ht="20.100000000000001" customHeight="1"/>
    <row r="55" ht="20.100000000000001" customHeight="1"/>
    <row r="56" ht="20.100000000000001" customHeight="1"/>
    <row r="57" ht="20.100000000000001" customHeight="1"/>
    <row r="58" ht="20.100000000000001" customHeight="1"/>
    <row r="59" ht="20.100000000000001" customHeight="1"/>
    <row r="60" ht="20.100000000000001" customHeight="1"/>
    <row r="61" ht="20.100000000000001" customHeight="1"/>
    <row r="62" ht="20.100000000000001" customHeight="1"/>
    <row r="63" ht="20.100000000000001" customHeight="1"/>
    <row r="64" ht="20.100000000000001" customHeight="1"/>
    <row r="65" ht="20.100000000000001" customHeight="1"/>
    <row r="66" ht="20.100000000000001" customHeight="1"/>
    <row r="67" ht="20.100000000000001" customHeight="1"/>
  </sheetData>
  <sheetProtection algorithmName="SHA-512" hashValue="pxyErVKsfoWtEirLrEQTYZ50BrVK0jsUoVlEMgq28NvIL50ybXyvrhDBgFmMKlmGR6k/5RIGQiZkzmbCMV+s9w==" saltValue="PIp5IFad/MzCmG6bG8w1NA==" spinCount="100000" sheet="1" objects="1" scenarios="1"/>
  <mergeCells count="9">
    <mergeCell ref="D2:G2"/>
    <mergeCell ref="D4:G4"/>
    <mergeCell ref="D20:G20"/>
    <mergeCell ref="D21:G21"/>
    <mergeCell ref="D35:G36"/>
    <mergeCell ref="D32:G33"/>
    <mergeCell ref="E31:G31"/>
    <mergeCell ref="D25:G25"/>
    <mergeCell ref="D6:G6"/>
  </mergeCells>
  <conditionalFormatting sqref="E8:E19 E27:E30">
    <cfRule type="expression" dxfId="3" priority="9">
      <formula>B8=1</formula>
    </cfRule>
    <cfRule type="expression" dxfId="2" priority="10">
      <formula>B8=0</formula>
    </cfRule>
  </conditionalFormatting>
  <conditionalFormatting sqref="E23">
    <cfRule type="expression" dxfId="1" priority="1">
      <formula>B23=1</formula>
    </cfRule>
    <cfRule type="expression" dxfId="0" priority="2">
      <formula>B23=0</formula>
    </cfRule>
  </conditionalFormatting>
  <hyperlinks>
    <hyperlink ref="F1" location="index!G1" display="SAVE" xr:uid="{00000000-0004-0000-0500-000000000000}"/>
    <hyperlink ref="D9" location="yourDetails!C1" display="Details" xr:uid="{00000000-0004-0000-0500-000001000000}"/>
    <hyperlink ref="D12" location="educationHistoryPrimarApplic!C1" display="Education History" xr:uid="{00000000-0004-0000-0500-000002000000}"/>
    <hyperlink ref="D13" location="registrationLicensing!C1" display="Registration / Licensing" xr:uid="{00000000-0004-0000-0500-000003000000}"/>
    <hyperlink ref="D14" location="languageSkills!C1" display="Language Skils" xr:uid="{00000000-0004-0000-0500-000004000000}"/>
    <hyperlink ref="D15" location="employmentHistory!C1" display="Employment History" xr:uid="{00000000-0004-0000-0500-000005000000}"/>
    <hyperlink ref="D16" location="healthDeclarations!C1" display="Health Declarations" xr:uid="{00000000-0004-0000-0500-000006000000}"/>
    <hyperlink ref="D17" location="characterDeclarations!C1" display="Character Declarations" xr:uid="{00000000-0004-0000-0500-000007000000}"/>
    <hyperlink ref="D19" location="additionalInfo!C1" display="Additional Information" xr:uid="{00000000-0004-0000-0500-000008000000}"/>
    <hyperlink ref="D23" location="yourPartner!C1" display="Partner details" xr:uid="{00000000-0004-0000-0500-000009000000}"/>
    <hyperlink ref="D27" location="child_1!C1" display="Child 1" xr:uid="{00000000-0004-0000-0500-00000A000000}"/>
    <hyperlink ref="D28" location="child_2!C1" display="Child 2" xr:uid="{00000000-0004-0000-0500-00000B000000}"/>
    <hyperlink ref="D29" location="child_3!C1" display="Child 3" xr:uid="{00000000-0004-0000-0500-00000C000000}"/>
    <hyperlink ref="D30" location="child_4!C1" display="Child 4" xr:uid="{00000000-0004-0000-0500-00000D000000}"/>
    <hyperlink ref="D8" location="applicationContext!C1" display="Applicarion Context" xr:uid="{00000000-0004-0000-0500-00000E000000}"/>
    <hyperlink ref="D3" location="cover!C1" display="HOME" xr:uid="{00000000-0004-0000-0500-00000F000000}"/>
    <hyperlink ref="G3" location="applicantDetails!A1" display="&lt;&lt; Back " xr:uid="{00000000-0004-0000-0500-000010000000}"/>
    <hyperlink ref="D10" location="contactDetailsApplicant!C1" display="Contact Details" xr:uid="{00000000-0004-0000-0500-000011000000}"/>
    <hyperlink ref="D11" location="countryOfResidenceAllApplicants!C1" display="Country of Residence" xr:uid="{00000000-0004-0000-0500-000012000000}"/>
    <hyperlink ref="D18" location="declarations!C1" display="Declarations" xr:uid="{00000000-0004-0000-0500-000013000000}"/>
    <hyperlink ref="G1" location="index!G1" display="SAVE AS" xr:uid="{00000000-0004-0000-0500-000014000000}"/>
  </hyperlinks>
  <pageMargins left="0.7" right="0.7" top="0.75" bottom="0.75" header="0.3" footer="0.3"/>
  <pageSetup paperSize="9" scale="80" orientation="portrait"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theme="8" tint="0.59999389629810485"/>
    <pageSetUpPr fitToPage="1"/>
  </sheetPr>
  <dimension ref="A1:O17"/>
  <sheetViews>
    <sheetView showGridLines="0" showRowColHeaders="0" topLeftCell="C1" workbookViewId="0">
      <selection activeCell="D3" sqref="D3"/>
    </sheetView>
  </sheetViews>
  <sheetFormatPr defaultColWidth="9.33203125" defaultRowHeight="12.75"/>
  <cols>
    <col min="1" max="1" width="9.83203125" style="1" hidden="1" customWidth="1"/>
    <col min="2" max="2" width="10.1640625" style="1" hidden="1" customWidth="1"/>
    <col min="3" max="3" width="3.83203125" style="1" customWidth="1"/>
    <col min="4" max="4" width="50.83203125" style="1" customWidth="1"/>
    <col min="5" max="5" width="40.83203125" style="1" customWidth="1"/>
    <col min="6" max="7" width="10.83203125" style="1" customWidth="1"/>
    <col min="8" max="8" width="3.83203125" style="1" customWidth="1"/>
    <col min="9" max="9" width="13.1640625" style="1" hidden="1" customWidth="1"/>
    <col min="10" max="12" width="9.33203125" style="1" hidden="1" customWidth="1"/>
    <col min="13" max="13" width="71.33203125" style="1" hidden="1" customWidth="1"/>
    <col min="14" max="14" width="9.33203125" style="1" hidden="1" customWidth="1"/>
    <col min="15" max="15" width="18.1640625" style="1" hidden="1" customWidth="1"/>
    <col min="16" max="16" width="0" style="1" hidden="1" customWidth="1"/>
    <col min="17" max="16384" width="9.33203125" style="1"/>
  </cols>
  <sheetData>
    <row r="1" spans="1:15" ht="39.950000000000003" customHeight="1">
      <c r="B1" s="112"/>
      <c r="D1" s="45"/>
      <c r="J1" s="4" t="s">
        <v>1960</v>
      </c>
      <c r="K1" s="4" t="s">
        <v>1960</v>
      </c>
      <c r="L1" s="4" t="s">
        <v>1960</v>
      </c>
      <c r="M1" s="4" t="s">
        <v>1960</v>
      </c>
      <c r="N1" s="4" t="s">
        <v>1960</v>
      </c>
      <c r="O1" s="4" t="s">
        <v>1960</v>
      </c>
    </row>
    <row r="2" spans="1:15" s="78" customFormat="1" ht="39.950000000000003" customHeight="1">
      <c r="B2" s="159">
        <f>applicationContext!E6</f>
        <v>0</v>
      </c>
      <c r="D2" s="212" t="s">
        <v>8</v>
      </c>
      <c r="E2" s="212"/>
      <c r="F2" s="212"/>
      <c r="G2" s="212"/>
      <c r="J2" s="79" t="s">
        <v>1965</v>
      </c>
      <c r="K2" s="79"/>
      <c r="L2" s="79"/>
      <c r="M2" s="79"/>
      <c r="N2" s="79"/>
      <c r="O2" s="79"/>
    </row>
    <row r="3" spans="1:15" ht="30" customHeight="1">
      <c r="B3" s="112"/>
      <c r="D3" s="120" t="s">
        <v>40</v>
      </c>
      <c r="E3" s="88"/>
      <c r="F3" s="32"/>
      <c r="G3" s="88" t="s">
        <v>1224</v>
      </c>
      <c r="J3" s="4" t="s">
        <v>1961</v>
      </c>
      <c r="K3" s="4" t="s">
        <v>1962</v>
      </c>
      <c r="L3" s="4" t="s">
        <v>1963</v>
      </c>
      <c r="M3" s="4" t="s">
        <v>1964</v>
      </c>
      <c r="N3" s="4"/>
      <c r="O3" s="4"/>
    </row>
    <row r="4" spans="1:15" ht="30" customHeight="1">
      <c r="B4" s="112"/>
      <c r="C4" s="69"/>
      <c r="D4" s="184" t="s">
        <v>39</v>
      </c>
      <c r="E4" s="184"/>
      <c r="F4" s="184"/>
      <c r="G4" s="184"/>
      <c r="H4" s="69"/>
      <c r="J4" s="4"/>
      <c r="K4" s="125">
        <f>IF(N4=O4,1,0)</f>
        <v>0</v>
      </c>
      <c r="L4" s="4"/>
      <c r="M4" s="4"/>
      <c r="N4" s="4">
        <f>SUM(N6:N85)</f>
        <v>2</v>
      </c>
      <c r="O4" s="4">
        <f>SUM(O6:O85)</f>
        <v>0</v>
      </c>
    </row>
    <row r="5" spans="1:15" ht="18">
      <c r="B5" s="112"/>
      <c r="D5" s="3"/>
      <c r="E5" s="3"/>
      <c r="J5" s="4"/>
      <c r="K5" s="4"/>
      <c r="L5" s="4"/>
      <c r="M5" s="4"/>
      <c r="N5" s="4"/>
      <c r="O5" s="4"/>
    </row>
    <row r="6" spans="1:15" s="32" customFormat="1" ht="20.100000000000001" customHeight="1">
      <c r="A6" s="106"/>
      <c r="B6" s="106">
        <v>1</v>
      </c>
      <c r="C6" s="73" t="s">
        <v>1912</v>
      </c>
      <c r="D6" s="54" t="s">
        <v>1223</v>
      </c>
      <c r="E6" s="213"/>
      <c r="F6" s="214"/>
      <c r="G6" s="215"/>
      <c r="J6" s="6">
        <v>1</v>
      </c>
      <c r="K6" s="129">
        <f>IF(B6=1,0,1)</f>
        <v>0</v>
      </c>
      <c r="L6" s="127">
        <f>IF(A6="Hide",1,IF($J$6=1,B6,1))</f>
        <v>1</v>
      </c>
      <c r="M6" s="52" t="str">
        <f>formData!B2</f>
        <v>APPLICATION_CONTEXT_COUNTRY_OF_LOCATION</v>
      </c>
      <c r="N6" s="6">
        <f>IF(J5=1,1,0)</f>
        <v>0</v>
      </c>
      <c r="O6" s="6">
        <f>+J5*K5</f>
        <v>0</v>
      </c>
    </row>
    <row r="7" spans="1:15" s="32" customFormat="1" ht="20.100000000000001" customHeight="1">
      <c r="A7" s="106"/>
      <c r="B7" s="106">
        <v>1</v>
      </c>
      <c r="C7" s="73" t="s">
        <v>1912</v>
      </c>
      <c r="D7" s="18" t="s">
        <v>9</v>
      </c>
      <c r="E7" s="216"/>
      <c r="F7" s="217"/>
      <c r="G7" s="218"/>
      <c r="J7" s="6">
        <f>IF($C7="*",IF($A7="Hide",0,$J$6),0)</f>
        <v>1</v>
      </c>
      <c r="K7" s="129">
        <f>IF(B7=1,0,1)</f>
        <v>0</v>
      </c>
      <c r="L7" s="127">
        <f>IF(A7="Hide",1,IF($J$6=1,B7,1))</f>
        <v>1</v>
      </c>
      <c r="M7" s="52" t="str">
        <f>formData!B3</f>
        <v>APPLICATION_CONTEXT_LEGAL_STATUS</v>
      </c>
      <c r="N7" s="6">
        <f>IF(J6=1,1,0)</f>
        <v>1</v>
      </c>
      <c r="O7" s="6">
        <f>+J6*K6</f>
        <v>0</v>
      </c>
    </row>
    <row r="8" spans="1:15" ht="45" customHeight="1">
      <c r="A8" s="112"/>
      <c r="B8" s="112">
        <v>1</v>
      </c>
      <c r="C8" s="73"/>
      <c r="D8" s="43" t="s">
        <v>1908</v>
      </c>
      <c r="E8" s="225"/>
      <c r="F8" s="226"/>
      <c r="G8" s="227"/>
      <c r="J8" s="6">
        <f t="shared" ref="J8" si="0">IF($C8="*",IF($A8="Hide",0,$J$7),0)</f>
        <v>0</v>
      </c>
      <c r="K8" s="130">
        <f>IF(LEN(E8)=0,0,1)</f>
        <v>0</v>
      </c>
      <c r="L8" s="126">
        <f>IF(A8="Hide",0,IF($J$7=1,E8,0))</f>
        <v>0</v>
      </c>
      <c r="M8" s="52" t="str">
        <f>formData!B4</f>
        <v>APPLICATION_CONTEXT_DETAILS_OF_WHY</v>
      </c>
      <c r="N8" s="6">
        <f t="shared" ref="N8:N12" si="1">IF(J8=1,1,0)</f>
        <v>0</v>
      </c>
      <c r="O8" s="6">
        <f t="shared" ref="O8:O12" si="2">+J8*K8</f>
        <v>0</v>
      </c>
    </row>
    <row r="9" spans="1:15" ht="30" customHeight="1">
      <c r="A9" s="112"/>
      <c r="B9" s="112">
        <v>1</v>
      </c>
      <c r="C9" s="73" t="s">
        <v>1912</v>
      </c>
      <c r="D9" s="17" t="s">
        <v>10</v>
      </c>
      <c r="E9" s="216"/>
      <c r="F9" s="217"/>
      <c r="G9" s="218"/>
      <c r="J9" s="6">
        <f>IF($C9="*",IF($A9="Hide",0,$J$6),0)</f>
        <v>1</v>
      </c>
      <c r="K9" s="129">
        <f>IF(B9=1,0,1)</f>
        <v>0</v>
      </c>
      <c r="L9" s="127">
        <f>IF(A9="Hide",1,IF($J$6=1,B9,1))</f>
        <v>1</v>
      </c>
      <c r="M9" s="52" t="str">
        <f>formData!B5</f>
        <v>APPLICATION_CONTEXT_SKILLS_ASSESSMENT</v>
      </c>
      <c r="N9" s="6">
        <f t="shared" si="1"/>
        <v>1</v>
      </c>
      <c r="O9" s="6">
        <f t="shared" si="2"/>
        <v>0</v>
      </c>
    </row>
    <row r="10" spans="1:15" ht="20.100000000000001" customHeight="1">
      <c r="A10" s="122" t="str">
        <f>IF($B$9=2,"Show","HIDE")</f>
        <v>HIDE</v>
      </c>
      <c r="B10" s="112">
        <v>1</v>
      </c>
      <c r="C10" s="73" t="s">
        <v>1912</v>
      </c>
      <c r="D10" s="102" t="s">
        <v>1940</v>
      </c>
      <c r="E10" s="231"/>
      <c r="F10" s="232"/>
      <c r="G10" s="233"/>
      <c r="J10" s="6">
        <f>IF($C10="*",IF($A10="Hide",0,$J$6),0)</f>
        <v>0</v>
      </c>
      <c r="K10" s="129">
        <f>IF(B10=1,0,1)</f>
        <v>0</v>
      </c>
      <c r="L10" s="127">
        <f>IF(A10="Hide",1,IF($J$6=1,B10,1))</f>
        <v>1</v>
      </c>
      <c r="M10" s="52" t="str">
        <f>formData!B6</f>
        <v>APPLICATION_CONTEXT_TYPE_SKILLS</v>
      </c>
      <c r="N10" s="6">
        <f t="shared" si="1"/>
        <v>0</v>
      </c>
      <c r="O10" s="6">
        <f t="shared" si="2"/>
        <v>0</v>
      </c>
    </row>
    <row r="11" spans="1:15" ht="20.100000000000001" customHeight="1">
      <c r="A11" s="106" t="str">
        <f t="shared" ref="A11:A16" si="3">IF($B$9=2,"Show","HIDE")</f>
        <v>HIDE</v>
      </c>
      <c r="B11" s="112"/>
      <c r="C11" s="73" t="s">
        <v>1912</v>
      </c>
      <c r="D11" s="102" t="s">
        <v>1941</v>
      </c>
      <c r="E11" s="228"/>
      <c r="F11" s="229"/>
      <c r="G11" s="230"/>
      <c r="J11" s="6">
        <f t="shared" ref="J11:J14" si="4">IF($C11="*",IF($A11="Hide",0,$J$7),0)</f>
        <v>0</v>
      </c>
      <c r="K11" s="130">
        <f>IF(LEN(E11)=0,0,1)</f>
        <v>0</v>
      </c>
      <c r="L11" s="126">
        <f>IF(A11="Hide",0,IF($J$7=1,E11,0))</f>
        <v>0</v>
      </c>
      <c r="M11" s="52" t="str">
        <f>formData!B7</f>
        <v>APPLICATION_CONTEXT_NAME_OF_PROGRAM</v>
      </c>
      <c r="N11" s="6">
        <f t="shared" si="1"/>
        <v>0</v>
      </c>
      <c r="O11" s="6">
        <f t="shared" si="2"/>
        <v>0</v>
      </c>
    </row>
    <row r="12" spans="1:15" ht="20.100000000000001" customHeight="1">
      <c r="A12" s="106" t="str">
        <f t="shared" si="3"/>
        <v>HIDE</v>
      </c>
      <c r="B12" s="112"/>
      <c r="C12" s="73" t="s">
        <v>1912</v>
      </c>
      <c r="D12" s="168" t="s">
        <v>1983</v>
      </c>
      <c r="E12" s="219"/>
      <c r="F12" s="220"/>
      <c r="G12" s="221"/>
      <c r="J12" s="6">
        <f t="shared" si="4"/>
        <v>0</v>
      </c>
      <c r="K12" s="130">
        <f>IF(LEN(E12)=0,0,1)</f>
        <v>0</v>
      </c>
      <c r="L12" s="126">
        <f>IF(A12="Hide",0,IF($J$7=1,E12,0))</f>
        <v>0</v>
      </c>
      <c r="M12" s="52" t="str">
        <f>formData!B8</f>
        <v>APPLICATION_CONTEXT_DATE_ASSESMENT_COMMENCED</v>
      </c>
      <c r="N12" s="6">
        <f t="shared" si="1"/>
        <v>0</v>
      </c>
      <c r="O12" s="6">
        <f t="shared" si="2"/>
        <v>0</v>
      </c>
    </row>
    <row r="13" spans="1:15" ht="20.100000000000001" customHeight="1">
      <c r="A13" s="106" t="str">
        <f t="shared" si="3"/>
        <v>HIDE</v>
      </c>
      <c r="B13" s="112"/>
      <c r="C13" s="73" t="s">
        <v>1912</v>
      </c>
      <c r="D13" s="102" t="s">
        <v>1942</v>
      </c>
      <c r="E13" s="209"/>
      <c r="F13" s="210"/>
      <c r="G13" s="211"/>
      <c r="J13" s="6">
        <f t="shared" si="4"/>
        <v>0</v>
      </c>
      <c r="K13" s="130">
        <f>IF(LEN(E13)=0,0,1)</f>
        <v>0</v>
      </c>
      <c r="L13" s="126">
        <f>IF(A13="Hide",0,IF($J$7=1,E13,0))</f>
        <v>0</v>
      </c>
      <c r="M13" s="52" t="str">
        <f>formData!B9</f>
        <v>APPLICATION_CONTEXT_IDENTIFICATION_NUMBER</v>
      </c>
      <c r="N13" s="6">
        <f t="shared" ref="N13:N16" si="5">IF(J13=1,1,0)</f>
        <v>0</v>
      </c>
      <c r="O13" s="6">
        <f t="shared" ref="O13:O16" si="6">+J13*K13</f>
        <v>0</v>
      </c>
    </row>
    <row r="14" spans="1:15" ht="20.100000000000001" customHeight="1">
      <c r="A14" s="106" t="str">
        <f t="shared" si="3"/>
        <v>HIDE</v>
      </c>
      <c r="B14" s="112"/>
      <c r="C14" s="73" t="s">
        <v>1912</v>
      </c>
      <c r="D14" s="169" t="s">
        <v>1984</v>
      </c>
      <c r="E14" s="219"/>
      <c r="F14" s="220"/>
      <c r="G14" s="221"/>
      <c r="I14" s="67"/>
      <c r="J14" s="6">
        <f t="shared" si="4"/>
        <v>0</v>
      </c>
      <c r="K14" s="130">
        <f>IF(LEN(E14)=0,0,1)</f>
        <v>0</v>
      </c>
      <c r="L14" s="126">
        <f>IF(A14="Hide",0,IF($J$7=1,E14,0))</f>
        <v>0</v>
      </c>
      <c r="M14" s="52" t="str">
        <f>formData!B10</f>
        <v>APPLICATION_CONTEXT_DATE_ASSESMENT_COMPLETED</v>
      </c>
      <c r="N14" s="6">
        <f t="shared" si="5"/>
        <v>0</v>
      </c>
      <c r="O14" s="6">
        <f t="shared" si="6"/>
        <v>0</v>
      </c>
    </row>
    <row r="15" spans="1:15" s="32" customFormat="1" ht="19.5" customHeight="1">
      <c r="A15" s="106" t="str">
        <f t="shared" si="3"/>
        <v>HIDE</v>
      </c>
      <c r="B15" s="106"/>
      <c r="D15" s="222" t="s">
        <v>11</v>
      </c>
      <c r="E15" s="223"/>
      <c r="F15" s="223"/>
      <c r="G15" s="224"/>
      <c r="M15" s="52" t="str">
        <f>formData!B11</f>
        <v>APPLICATION_CONTEXT_GIVE_DETAILS</v>
      </c>
      <c r="N15" s="6">
        <f t="shared" si="5"/>
        <v>0</v>
      </c>
      <c r="O15" s="6">
        <f t="shared" si="6"/>
        <v>0</v>
      </c>
    </row>
    <row r="16" spans="1:15" ht="60" customHeight="1">
      <c r="A16" s="106" t="str">
        <f t="shared" si="3"/>
        <v>HIDE</v>
      </c>
      <c r="B16" s="112"/>
      <c r="D16" s="206"/>
      <c r="E16" s="207"/>
      <c r="F16" s="207"/>
      <c r="G16" s="208"/>
      <c r="J16" s="6">
        <f t="shared" ref="J16" si="7">IF($C16="*",IF($A16="Hide",0,$J$7),0)</f>
        <v>0</v>
      </c>
      <c r="K16" s="130">
        <f>IF(LEN(E16)=0,0,1)</f>
        <v>0</v>
      </c>
      <c r="L16" s="126">
        <f>IF(A16="Hide",0,IF($J$7=1,D16,0))</f>
        <v>0</v>
      </c>
      <c r="M16" s="52"/>
      <c r="N16" s="6">
        <f t="shared" si="5"/>
        <v>0</v>
      </c>
      <c r="O16" s="6">
        <f t="shared" si="6"/>
        <v>0</v>
      </c>
    </row>
    <row r="17" spans="2:13">
      <c r="B17" s="112"/>
      <c r="M17" s="52"/>
    </row>
  </sheetData>
  <sheetProtection algorithmName="SHA-512" hashValue="6InD1rB447bxbUlbgZgcdGUoZ7yG1a8EzShH2+Y1wcZEvNg1liCwy9lPgKWyOfxASYe+BGtlyjuAURRP/hMWIA==" saltValue="5Jhp7tHIdwoFLV7+HcYQhw==" spinCount="100000" sheet="1" objects="1" scenarios="1"/>
  <mergeCells count="13">
    <mergeCell ref="D16:G16"/>
    <mergeCell ref="E13:G13"/>
    <mergeCell ref="D2:G2"/>
    <mergeCell ref="E6:G6"/>
    <mergeCell ref="E7:G7"/>
    <mergeCell ref="E14:G14"/>
    <mergeCell ref="D15:G15"/>
    <mergeCell ref="D4:G4"/>
    <mergeCell ref="E8:G8"/>
    <mergeCell ref="E9:G9"/>
    <mergeCell ref="E11:G11"/>
    <mergeCell ref="E12:G12"/>
    <mergeCell ref="E10:G10"/>
  </mergeCells>
  <dataValidations count="2">
    <dataValidation type="date" allowBlank="1" showInputMessage="1" showErrorMessage="1" errorTitle="Date" error="Please enter a valid date" sqref="E12:G12 E14:G14" xr:uid="{00000000-0002-0000-0600-000000000000}">
      <formula1>1</formula1>
      <formula2>54789</formula2>
    </dataValidation>
    <dataValidation type="textLength" operator="lessThanOrEqual" allowBlank="1" showInputMessage="1" showErrorMessage="1" errorTitle="Give Details" error="The maximum length of text that you can enter is 300 characters" sqref="E8:G8 D16:G16" xr:uid="{00000000-0002-0000-0600-000001000000}">
      <formula1>300</formula1>
    </dataValidation>
  </dataValidations>
  <hyperlinks>
    <hyperlink ref="G3" location="applicationContext!G3" display="SAVE" xr:uid="{00000000-0004-0000-0600-000000000000}"/>
    <hyperlink ref="D3" location="index!C1" display="INDEX" xr:uid="{00000000-0004-0000-0600-000001000000}"/>
  </hyperlinks>
  <pageMargins left="0.7" right="0.7" top="0.75" bottom="0.75" header="0.3" footer="0.3"/>
  <pageSetup paperSize="9" scale="8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Drop Down 1">
              <controlPr locked="0" defaultSize="0" autoLine="0" autoPict="0">
                <anchor moveWithCells="1">
                  <from>
                    <xdr:col>4</xdr:col>
                    <xdr:colOff>0</xdr:colOff>
                    <xdr:row>5</xdr:row>
                    <xdr:rowOff>0</xdr:rowOff>
                  </from>
                  <to>
                    <xdr:col>7</xdr:col>
                    <xdr:colOff>0</xdr:colOff>
                    <xdr:row>6</xdr:row>
                    <xdr:rowOff>0</xdr:rowOff>
                  </to>
                </anchor>
              </controlPr>
            </control>
          </mc:Choice>
        </mc:AlternateContent>
        <mc:AlternateContent xmlns:mc="http://schemas.openxmlformats.org/markup-compatibility/2006">
          <mc:Choice Requires="x14">
            <control shapeId="4098" r:id="rId5" name="Drop Down 2">
              <controlPr locked="0" defaultSize="0" autoLine="0" autoPict="0">
                <anchor moveWithCells="1">
                  <from>
                    <xdr:col>4</xdr:col>
                    <xdr:colOff>0</xdr:colOff>
                    <xdr:row>6</xdr:row>
                    <xdr:rowOff>0</xdr:rowOff>
                  </from>
                  <to>
                    <xdr:col>7</xdr:col>
                    <xdr:colOff>0</xdr:colOff>
                    <xdr:row>7</xdr:row>
                    <xdr:rowOff>0</xdr:rowOff>
                  </to>
                </anchor>
              </controlPr>
            </control>
          </mc:Choice>
        </mc:AlternateContent>
        <mc:AlternateContent xmlns:mc="http://schemas.openxmlformats.org/markup-compatibility/2006">
          <mc:Choice Requires="x14">
            <control shapeId="4099" r:id="rId6" name="Drop Down 3">
              <controlPr locked="0" defaultSize="0" autoLine="0" autoPict="0" macro="[0]!DropDownHasApplicantCommencedSkillAssessment_Change">
                <anchor moveWithCells="1">
                  <from>
                    <xdr:col>4</xdr:col>
                    <xdr:colOff>0</xdr:colOff>
                    <xdr:row>8</xdr:row>
                    <xdr:rowOff>66675</xdr:rowOff>
                  </from>
                  <to>
                    <xdr:col>7</xdr:col>
                    <xdr:colOff>0</xdr:colOff>
                    <xdr:row>8</xdr:row>
                    <xdr:rowOff>314325</xdr:rowOff>
                  </to>
                </anchor>
              </controlPr>
            </control>
          </mc:Choice>
        </mc:AlternateContent>
        <mc:AlternateContent xmlns:mc="http://schemas.openxmlformats.org/markup-compatibility/2006">
          <mc:Choice Requires="x14">
            <control shapeId="4100" r:id="rId7" name="Drop Down 4">
              <controlPr locked="0" defaultSize="0" autoLine="0" autoPict="0">
                <anchor moveWithCells="1">
                  <from>
                    <xdr:col>4</xdr:col>
                    <xdr:colOff>0</xdr:colOff>
                    <xdr:row>9</xdr:row>
                    <xdr:rowOff>0</xdr:rowOff>
                  </from>
                  <to>
                    <xdr:col>7</xdr:col>
                    <xdr:colOff>0</xdr:colOff>
                    <xdr:row>10</xdr:row>
                    <xdr:rowOff>9525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theme="8" tint="0.59999389629810485"/>
    <pageSetUpPr fitToPage="1"/>
  </sheetPr>
  <dimension ref="A1:O77"/>
  <sheetViews>
    <sheetView showGridLines="0" showRowColHeaders="0" topLeftCell="C1" workbookViewId="0">
      <selection activeCell="D3" sqref="D3"/>
    </sheetView>
  </sheetViews>
  <sheetFormatPr defaultColWidth="9.33203125" defaultRowHeight="12.75"/>
  <cols>
    <col min="1" max="2" width="10.83203125" style="4" hidden="1" customWidth="1"/>
    <col min="3" max="3" width="3.83203125" style="4" customWidth="1"/>
    <col min="4" max="4" width="50.83203125" style="4" customWidth="1"/>
    <col min="5" max="5" width="40.83203125" style="4" customWidth="1"/>
    <col min="6" max="7" width="10.83203125" style="4" customWidth="1"/>
    <col min="8" max="8" width="3.83203125" style="4" customWidth="1"/>
    <col min="9" max="9" width="9.33203125" style="4" customWidth="1"/>
    <col min="10" max="10" width="9.33203125" style="4" hidden="1" customWidth="1"/>
    <col min="11" max="11" width="9.83203125" style="4" hidden="1" customWidth="1"/>
    <col min="12" max="12" width="9.6640625" style="4" hidden="1" customWidth="1"/>
    <col min="13" max="13" width="81.33203125" style="4" hidden="1" customWidth="1"/>
    <col min="14" max="15" width="9.33203125" style="4" hidden="1" customWidth="1"/>
    <col min="16" max="16" width="9.33203125" style="4" customWidth="1"/>
    <col min="17" max="16384" width="9.33203125" style="4"/>
  </cols>
  <sheetData>
    <row r="1" spans="1:15" ht="39.950000000000003" customHeight="1">
      <c r="B1" s="104"/>
      <c r="J1" s="4" t="s">
        <v>1960</v>
      </c>
      <c r="K1" s="4" t="s">
        <v>1960</v>
      </c>
      <c r="L1" s="4" t="s">
        <v>1960</v>
      </c>
      <c r="M1" s="4" t="s">
        <v>1960</v>
      </c>
      <c r="N1" s="4" t="s">
        <v>1960</v>
      </c>
      <c r="O1" s="4" t="s">
        <v>1960</v>
      </c>
    </row>
    <row r="2" spans="1:15" s="79" customFormat="1" ht="39.950000000000003" customHeight="1">
      <c r="B2" s="161"/>
      <c r="D2" s="212" t="s">
        <v>8</v>
      </c>
      <c r="E2" s="212"/>
      <c r="F2" s="212"/>
      <c r="G2" s="212"/>
      <c r="J2" s="79" t="s">
        <v>1965</v>
      </c>
    </row>
    <row r="3" spans="1:15" ht="30" customHeight="1">
      <c r="B3" s="104"/>
      <c r="D3" s="120" t="s">
        <v>40</v>
      </c>
      <c r="F3" s="88"/>
      <c r="G3" s="88" t="s">
        <v>1224</v>
      </c>
      <c r="J3" s="4" t="s">
        <v>1961</v>
      </c>
      <c r="K3" s="4" t="s">
        <v>1962</v>
      </c>
      <c r="L3" s="4" t="s">
        <v>1963</v>
      </c>
      <c r="M3" s="4" t="s">
        <v>1964</v>
      </c>
    </row>
    <row r="4" spans="1:15" ht="30" customHeight="1">
      <c r="B4" s="104"/>
      <c r="C4" s="68"/>
      <c r="D4" s="184" t="s">
        <v>38</v>
      </c>
      <c r="E4" s="184"/>
      <c r="F4" s="184"/>
      <c r="G4" s="184"/>
      <c r="H4" s="68"/>
      <c r="K4" s="125">
        <f>IF(N4=O4,1,0)</f>
        <v>0</v>
      </c>
      <c r="N4" s="4">
        <f>SUM(N7:N76)</f>
        <v>32</v>
      </c>
      <c r="O4" s="4">
        <f>SUM(O7:O76)</f>
        <v>30</v>
      </c>
    </row>
    <row r="5" spans="1:15" ht="18">
      <c r="B5" s="104"/>
      <c r="D5" s="5"/>
      <c r="E5" s="5"/>
      <c r="J5" s="4">
        <v>1</v>
      </c>
    </row>
    <row r="6" spans="1:15" ht="24.95" customHeight="1">
      <c r="A6" s="104"/>
      <c r="B6" s="104"/>
      <c r="C6" s="74"/>
      <c r="D6" s="253" t="s">
        <v>0</v>
      </c>
      <c r="E6" s="254"/>
      <c r="F6" s="254"/>
      <c r="G6" s="255"/>
    </row>
    <row r="7" spans="1:15" s="6" customFormat="1" ht="20.100000000000001" customHeight="1">
      <c r="A7" s="105"/>
      <c r="B7" s="105"/>
      <c r="C7" s="74" t="s">
        <v>1912</v>
      </c>
      <c r="D7" s="12" t="s">
        <v>12</v>
      </c>
      <c r="E7" s="261">
        <f>applicantDetails!E8</f>
        <v>0</v>
      </c>
      <c r="F7" s="262"/>
      <c r="G7" s="263"/>
      <c r="J7" s="6">
        <v>1</v>
      </c>
      <c r="K7" s="130">
        <f>IF(LEN(E7)=0,0,1)</f>
        <v>1</v>
      </c>
      <c r="L7" s="126">
        <f>IF(A7="Hide",0,IF($J$7=1,E7,0))</f>
        <v>0</v>
      </c>
      <c r="M7" s="52" t="str">
        <f>formData!B12</f>
        <v>YOUR_DETAILS_PASSPORT_DETAILS_FAMILY_NAME1</v>
      </c>
      <c r="N7" s="6">
        <f>IF(J7=1,1,0)</f>
        <v>1</v>
      </c>
      <c r="O7" s="6">
        <f>+J7*K7</f>
        <v>1</v>
      </c>
    </row>
    <row r="8" spans="1:15" s="6" customFormat="1" ht="20.100000000000001" customHeight="1">
      <c r="A8" s="105"/>
      <c r="B8" s="105"/>
      <c r="C8" s="74" t="s">
        <v>1912</v>
      </c>
      <c r="D8" s="21" t="s">
        <v>13</v>
      </c>
      <c r="E8" s="261">
        <f>applicantDetails!E9</f>
        <v>0</v>
      </c>
      <c r="F8" s="262"/>
      <c r="G8" s="263"/>
      <c r="J8" s="6">
        <f t="shared" ref="J8:J17" si="0">IF($C8="*",IF($A8="Hide",0,$J$7),0)</f>
        <v>1</v>
      </c>
      <c r="K8" s="130">
        <f>IF(LEN(E8)=0,0,1)</f>
        <v>1</v>
      </c>
      <c r="L8" s="126">
        <f>IF(A8="Hide",0,IF($J$7=1,E8,0))</f>
        <v>0</v>
      </c>
      <c r="M8" s="52" t="str">
        <f>formData!B13</f>
        <v>YOUR_DETAILS_PASSPORT_DETAILS_GIVEN_NAMES1</v>
      </c>
      <c r="N8" s="6">
        <f>IF(J8=1,1,0)</f>
        <v>1</v>
      </c>
      <c r="O8" s="6">
        <f>+J8*K8</f>
        <v>1</v>
      </c>
    </row>
    <row r="9" spans="1:15" s="6" customFormat="1" ht="20.100000000000001" customHeight="1">
      <c r="A9" s="105"/>
      <c r="B9" s="105">
        <v>3</v>
      </c>
      <c r="C9" s="74" t="s">
        <v>1912</v>
      </c>
      <c r="D9" s="20" t="s">
        <v>14</v>
      </c>
      <c r="E9" s="264"/>
      <c r="F9" s="265"/>
      <c r="G9" s="266"/>
      <c r="J9" s="6">
        <f t="shared" si="0"/>
        <v>1</v>
      </c>
      <c r="K9" s="129">
        <f>IF(B9=1,0,1)</f>
        <v>1</v>
      </c>
      <c r="L9" s="127">
        <f>IF(A9="Hide",1,IF($J$7=1,B9,1))</f>
        <v>3</v>
      </c>
      <c r="M9" s="52" t="str">
        <f>formData!B14</f>
        <v>YOUR_DETAILS_PASSPORT_DETAILS_SEX</v>
      </c>
      <c r="N9" s="6">
        <f>IF(J9=1,1,0)</f>
        <v>1</v>
      </c>
      <c r="O9" s="6">
        <f>+J9*K9</f>
        <v>1</v>
      </c>
    </row>
    <row r="10" spans="1:15" s="6" customFormat="1" ht="20.100000000000001" customHeight="1">
      <c r="A10" s="105"/>
      <c r="B10" s="105"/>
      <c r="C10" s="74" t="s">
        <v>1912</v>
      </c>
      <c r="D10" s="167" t="s">
        <v>1976</v>
      </c>
      <c r="E10" s="219">
        <v>32951</v>
      </c>
      <c r="F10" s="220"/>
      <c r="G10" s="221"/>
      <c r="J10" s="6">
        <f t="shared" si="0"/>
        <v>1</v>
      </c>
      <c r="K10" s="130">
        <f>IF(LEN(E10)=0,0,1)</f>
        <v>1</v>
      </c>
      <c r="L10" s="126">
        <f>IF(A10="Hide",0,IF($J$7=1,E10,0))</f>
        <v>32951</v>
      </c>
      <c r="M10" s="52" t="str">
        <f>formData!B15</f>
        <v>YOUR_DETAILS_PASSPORT_DETAILS_DATE_OF_BIRTH</v>
      </c>
      <c r="N10" s="6">
        <f t="shared" ref="N10:N17" si="1">IF(J10=1,1,0)</f>
        <v>1</v>
      </c>
      <c r="O10" s="6">
        <f t="shared" ref="O10:O17" si="2">+J10*K10</f>
        <v>1</v>
      </c>
    </row>
    <row r="11" spans="1:15" s="6" customFormat="1" ht="20.100000000000001" customHeight="1">
      <c r="A11" s="105"/>
      <c r="B11" s="105"/>
      <c r="C11" s="74" t="s">
        <v>1912</v>
      </c>
      <c r="D11" s="20" t="s">
        <v>15</v>
      </c>
      <c r="E11" s="267" t="s">
        <v>2092</v>
      </c>
      <c r="F11" s="268"/>
      <c r="G11" s="269"/>
      <c r="J11" s="6">
        <f t="shared" si="0"/>
        <v>1</v>
      </c>
      <c r="K11" s="130">
        <f>IF(LEN(E11)=0,0,1)</f>
        <v>1</v>
      </c>
      <c r="L11" s="126" t="str">
        <f>IF(A11="Hide",0,IF($J$7=1,E11,0))</f>
        <v>K6810177</v>
      </c>
      <c r="M11" s="52" t="str">
        <f>formData!B16</f>
        <v>YOUR_DETAILS_PASSPORT_DETAILS_PASSPORT_NUMBER</v>
      </c>
      <c r="N11" s="6">
        <f t="shared" si="1"/>
        <v>1</v>
      </c>
      <c r="O11" s="6">
        <f t="shared" si="2"/>
        <v>1</v>
      </c>
    </row>
    <row r="12" spans="1:15" s="6" customFormat="1" ht="20.100000000000001" customHeight="1">
      <c r="A12" s="105"/>
      <c r="B12" s="105">
        <v>95</v>
      </c>
      <c r="C12" s="74" t="s">
        <v>1912</v>
      </c>
      <c r="D12" s="21" t="s">
        <v>16</v>
      </c>
      <c r="E12" s="240"/>
      <c r="F12" s="241"/>
      <c r="G12" s="242"/>
      <c r="J12" s="6">
        <f t="shared" si="0"/>
        <v>1</v>
      </c>
      <c r="K12" s="129">
        <f>IF(B12=1,0,1)</f>
        <v>1</v>
      </c>
      <c r="L12" s="127">
        <f>IF(A12="Hide",1,IF($J$7=1,B12,1))</f>
        <v>95</v>
      </c>
      <c r="M12" s="52" t="str">
        <f>formData!B17</f>
        <v>YOUR_DETAILS_PASSPORT_DETAILS_COUNTRY_OF_PASSPORT</v>
      </c>
      <c r="N12" s="6">
        <f t="shared" si="1"/>
        <v>1</v>
      </c>
      <c r="O12" s="6">
        <f t="shared" si="2"/>
        <v>1</v>
      </c>
    </row>
    <row r="13" spans="1:15" s="6" customFormat="1" ht="20.100000000000001" customHeight="1">
      <c r="A13" s="105"/>
      <c r="B13" s="105">
        <v>95</v>
      </c>
      <c r="C13" s="74" t="s">
        <v>1912</v>
      </c>
      <c r="D13" s="20" t="s">
        <v>17</v>
      </c>
      <c r="E13" s="264"/>
      <c r="F13" s="265"/>
      <c r="G13" s="266"/>
      <c r="J13" s="6">
        <f t="shared" si="0"/>
        <v>1</v>
      </c>
      <c r="K13" s="129">
        <f>IF(B13=1,0,1)</f>
        <v>1</v>
      </c>
      <c r="L13" s="127">
        <f>IF(A13="Hide",1,IF($J$7=1,B13,1))</f>
        <v>95</v>
      </c>
      <c r="M13" s="52" t="str">
        <f>formData!B18</f>
        <v>YOUR_DETAILS_PASSPORT_DETAILS_NATIONALITY_OF_PASSPORT_HOLDER</v>
      </c>
      <c r="N13" s="6">
        <f t="shared" si="1"/>
        <v>1</v>
      </c>
      <c r="O13" s="6">
        <f t="shared" si="2"/>
        <v>1</v>
      </c>
    </row>
    <row r="14" spans="1:15" s="6" customFormat="1" ht="20.100000000000001" customHeight="1">
      <c r="A14" s="105"/>
      <c r="B14" s="105"/>
      <c r="C14" s="74" t="s">
        <v>1912</v>
      </c>
      <c r="D14" s="164" t="s">
        <v>1973</v>
      </c>
      <c r="E14" s="219">
        <v>41296</v>
      </c>
      <c r="F14" s="220"/>
      <c r="G14" s="221"/>
      <c r="J14" s="6">
        <f t="shared" si="0"/>
        <v>1</v>
      </c>
      <c r="K14" s="130">
        <f>IF(LEN(E14)=0,0,1)</f>
        <v>1</v>
      </c>
      <c r="L14" s="126">
        <f>IF(A14="Hide",0,IF($J$7=1,E14,0))</f>
        <v>41296</v>
      </c>
      <c r="M14" s="52" t="str">
        <f>formData!B19</f>
        <v>YOUR_DETAILS_PASSPORT_DETAILS_DATE_OF_ISSUE1</v>
      </c>
      <c r="N14" s="6">
        <f t="shared" si="1"/>
        <v>1</v>
      </c>
      <c r="O14" s="6">
        <f t="shared" si="2"/>
        <v>1</v>
      </c>
    </row>
    <row r="15" spans="1:15" s="6" customFormat="1" ht="20.100000000000001" customHeight="1">
      <c r="A15" s="105"/>
      <c r="B15" s="105"/>
      <c r="C15" s="74" t="s">
        <v>1912</v>
      </c>
      <c r="D15" s="163" t="s">
        <v>1972</v>
      </c>
      <c r="E15" s="219">
        <v>44947</v>
      </c>
      <c r="F15" s="220"/>
      <c r="G15" s="221"/>
      <c r="J15" s="6">
        <f t="shared" si="0"/>
        <v>1</v>
      </c>
      <c r="K15" s="130">
        <f>IF(LEN(E15)=0,0,1)</f>
        <v>1</v>
      </c>
      <c r="L15" s="126">
        <f>IF(A15="Hide",0,IF($J$7=1,E15,0))</f>
        <v>44947</v>
      </c>
      <c r="M15" s="52" t="str">
        <f>formData!B20</f>
        <v>YOUR_DETAILS_PASSPORT_DETAILS_DATE_OF_EXPIRY1</v>
      </c>
      <c r="N15" s="6">
        <f t="shared" si="1"/>
        <v>1</v>
      </c>
      <c r="O15" s="6">
        <f t="shared" si="2"/>
        <v>1</v>
      </c>
    </row>
    <row r="16" spans="1:15" s="6" customFormat="1" ht="19.5" hidden="1" customHeight="1">
      <c r="A16" s="106" t="str">
        <f>IF($B$12=44,"Show","HIDE")</f>
        <v>HIDE</v>
      </c>
      <c r="B16" s="105">
        <v>1</v>
      </c>
      <c r="C16" s="74" t="s">
        <v>1912</v>
      </c>
      <c r="D16" s="22" t="s">
        <v>18</v>
      </c>
      <c r="E16" s="198"/>
      <c r="F16" s="199"/>
      <c r="G16" s="200"/>
      <c r="J16" s="6">
        <f>IF($C16="*",IF($A16="Hide",0,$J$5),0)</f>
        <v>0</v>
      </c>
      <c r="K16" s="129">
        <f>IF(B16=1,0,1)</f>
        <v>0</v>
      </c>
      <c r="L16" s="127">
        <f>IF(A16="Hide",1,IF($J$7=1,B16,1))</f>
        <v>1</v>
      </c>
      <c r="M16" s="131" t="str">
        <f>formData!B21</f>
        <v>YOUR_DETAILS_PASSPORT_DETAILS_PLACE_OF_ISSUE_CHINA</v>
      </c>
      <c r="N16" s="6">
        <f t="shared" ref="N16" si="3">IF(J16=1,1,0)</f>
        <v>0</v>
      </c>
      <c r="O16" s="6">
        <f t="shared" ref="O16" si="4">+J16*K16</f>
        <v>0</v>
      </c>
    </row>
    <row r="17" spans="1:15" s="6" customFormat="1" ht="19.5" customHeight="1">
      <c r="A17" s="106" t="str">
        <f>IF($B$12=44,"HIDE","Show")</f>
        <v>Show</v>
      </c>
      <c r="B17" s="105"/>
      <c r="C17" s="74" t="s">
        <v>1912</v>
      </c>
      <c r="D17" s="22" t="s">
        <v>18</v>
      </c>
      <c r="E17" s="198" t="s">
        <v>2093</v>
      </c>
      <c r="F17" s="199"/>
      <c r="G17" s="200"/>
      <c r="J17" s="6">
        <f t="shared" si="0"/>
        <v>1</v>
      </c>
      <c r="K17" s="130">
        <f>IF(LEN(E17)=0,0,1)</f>
        <v>1</v>
      </c>
      <c r="L17" s="126" t="str">
        <f>IF(A17="Hide",0,IF($J$7=1,E17,0))</f>
        <v>PATNA</v>
      </c>
      <c r="M17" s="52" t="str">
        <f>formData!B22</f>
        <v>YOUR_DETAILS_PASSPORT_DETAILS_PLACE_OF_ISSUE</v>
      </c>
      <c r="N17" s="6">
        <f t="shared" si="1"/>
        <v>1</v>
      </c>
      <c r="O17" s="6">
        <f t="shared" si="2"/>
        <v>1</v>
      </c>
    </row>
    <row r="18" spans="1:15" s="6" customFormat="1" ht="20.100000000000001" customHeight="1">
      <c r="A18" s="105"/>
      <c r="B18" s="105"/>
      <c r="D18" s="9"/>
      <c r="E18" s="2"/>
      <c r="N18" s="6">
        <f t="shared" ref="N18:N76" si="5">IF(J18=1,1,0)</f>
        <v>0</v>
      </c>
      <c r="O18" s="6">
        <f t="shared" ref="O18:O76" si="6">+J18*K18</f>
        <v>0</v>
      </c>
    </row>
    <row r="19" spans="1:15" ht="24.95" customHeight="1">
      <c r="A19" s="104"/>
      <c r="B19" s="104">
        <v>3</v>
      </c>
      <c r="D19" s="253" t="s">
        <v>1</v>
      </c>
      <c r="E19" s="254"/>
      <c r="F19" s="254"/>
      <c r="G19" s="255"/>
      <c r="N19" s="6">
        <f t="shared" si="5"/>
        <v>0</v>
      </c>
      <c r="O19" s="6">
        <f t="shared" si="6"/>
        <v>0</v>
      </c>
    </row>
    <row r="20" spans="1:15" s="6" customFormat="1" ht="30" customHeight="1">
      <c r="A20" s="105"/>
      <c r="B20" s="105">
        <v>2</v>
      </c>
      <c r="C20" s="74" t="s">
        <v>1912</v>
      </c>
      <c r="D20" s="77" t="s">
        <v>19</v>
      </c>
      <c r="E20" s="240"/>
      <c r="F20" s="241"/>
      <c r="G20" s="242"/>
      <c r="J20" s="6">
        <f>IF($C20="*",IF($A20="Hide",0,$J$7),0)</f>
        <v>1</v>
      </c>
      <c r="K20" s="129">
        <f>IF(B20=1,0,1)</f>
        <v>1</v>
      </c>
      <c r="L20" s="127">
        <f>IF(A20="Hide",1,IF($J$7=1,B20,1))</f>
        <v>2</v>
      </c>
      <c r="M20" s="52" t="str">
        <f>formData!B23</f>
        <v>YOUR_DETAILS_AUSTRALIAN_VISA_GRANT_NUMBER</v>
      </c>
      <c r="N20" s="6">
        <f t="shared" si="5"/>
        <v>1</v>
      </c>
      <c r="O20" s="6">
        <f t="shared" si="6"/>
        <v>1</v>
      </c>
    </row>
    <row r="21" spans="1:15" s="6" customFormat="1" ht="19.5" customHeight="1">
      <c r="A21" s="106" t="str">
        <f>IF($B$20=2,"Show","HIDE")</f>
        <v>Show</v>
      </c>
      <c r="B21" s="105"/>
      <c r="D21" s="13" t="s">
        <v>20</v>
      </c>
      <c r="E21" s="234" t="s">
        <v>2094</v>
      </c>
      <c r="F21" s="235"/>
      <c r="G21" s="236"/>
      <c r="J21" s="6">
        <f>IF($C21="*",IF($A21="Hide",0,$J$7),0)</f>
        <v>0</v>
      </c>
      <c r="K21" s="130">
        <f>IF(LEN(E21)=0,0,1)</f>
        <v>1</v>
      </c>
      <c r="L21" s="126" t="str">
        <f>IF(A21="Hide",0,IF($J$7=1,E21,0))</f>
        <v>8269550124458</v>
      </c>
      <c r="M21" s="52" t="str">
        <f>formData!B24</f>
        <v>YOUR_DETAILS_AUSTRALIAN_VISA_GRANT_NUMBER_PREVIOUS_VISA</v>
      </c>
      <c r="N21" s="6">
        <f t="shared" si="5"/>
        <v>0</v>
      </c>
      <c r="O21" s="6">
        <f t="shared" si="6"/>
        <v>0</v>
      </c>
    </row>
    <row r="22" spans="1:15" s="6" customFormat="1" ht="20.100000000000001" customHeight="1">
      <c r="A22" s="105"/>
      <c r="B22" s="105"/>
      <c r="D22" s="10"/>
      <c r="E22" s="2"/>
      <c r="N22" s="6">
        <f t="shared" si="5"/>
        <v>0</v>
      </c>
      <c r="O22" s="6">
        <f t="shared" si="6"/>
        <v>0</v>
      </c>
    </row>
    <row r="23" spans="1:15" ht="24.95" customHeight="1">
      <c r="A23" s="104"/>
      <c r="B23" s="104">
        <v>1</v>
      </c>
      <c r="C23" s="74"/>
      <c r="D23" s="253" t="s">
        <v>2</v>
      </c>
      <c r="E23" s="254"/>
      <c r="F23" s="254"/>
      <c r="G23" s="255"/>
      <c r="N23" s="6">
        <f t="shared" si="5"/>
        <v>0</v>
      </c>
      <c r="O23" s="6">
        <f t="shared" si="6"/>
        <v>0</v>
      </c>
    </row>
    <row r="24" spans="1:15" s="6" customFormat="1" ht="20.100000000000001" customHeight="1">
      <c r="A24" s="105"/>
      <c r="B24" s="105">
        <v>2</v>
      </c>
      <c r="C24" s="74" t="s">
        <v>1912</v>
      </c>
      <c r="D24" s="7" t="s">
        <v>21</v>
      </c>
      <c r="E24" s="240"/>
      <c r="F24" s="241"/>
      <c r="G24" s="242"/>
      <c r="J24" s="6">
        <f t="shared" ref="J24:J30" si="7">IF($C24="*",IF($A24="Hide",0,$J$7),0)</f>
        <v>1</v>
      </c>
      <c r="K24" s="129">
        <f>IF(B24=1,0,1)</f>
        <v>1</v>
      </c>
      <c r="L24" s="127">
        <f>IF(A24="Hide",1,IF($J$7=1,B24,1))</f>
        <v>2</v>
      </c>
      <c r="M24" s="52" t="str">
        <f>formData!B25</f>
        <v>YOUR_DETAILS_NATIONAL_IDENTITY_CARD_IDENTITY_CARD</v>
      </c>
      <c r="N24" s="6">
        <f t="shared" si="5"/>
        <v>1</v>
      </c>
      <c r="O24" s="6">
        <f t="shared" si="6"/>
        <v>1</v>
      </c>
    </row>
    <row r="25" spans="1:15" s="6" customFormat="1" ht="19.5" customHeight="1">
      <c r="A25" s="106" t="str">
        <f t="shared" ref="A25:A30" si="8">IF($B$24=2,"Show","HIDE")</f>
        <v>Show</v>
      </c>
      <c r="B25" s="105"/>
      <c r="C25" s="74" t="s">
        <v>1912</v>
      </c>
      <c r="D25" s="7" t="s">
        <v>12</v>
      </c>
      <c r="E25" s="198" t="s">
        <v>2090</v>
      </c>
      <c r="F25" s="199"/>
      <c r="G25" s="200"/>
      <c r="J25" s="6">
        <f t="shared" si="7"/>
        <v>1</v>
      </c>
      <c r="K25" s="130">
        <f>IF(LEN(E25)=0,0,1)</f>
        <v>1</v>
      </c>
      <c r="L25" s="126" t="str">
        <f>IF(A25="Hide",0,IF($J$7=1,E25,0))</f>
        <v>Anand</v>
      </c>
      <c r="M25" s="52" t="str">
        <f>formData!B26</f>
        <v>YOUR_DETAILS_NATIONAL_IDENTITY_CARD_FAMILY_NAME</v>
      </c>
      <c r="N25" s="6">
        <f t="shared" si="5"/>
        <v>1</v>
      </c>
      <c r="O25" s="6">
        <f t="shared" si="6"/>
        <v>1</v>
      </c>
    </row>
    <row r="26" spans="1:15" s="6" customFormat="1" ht="19.5" customHeight="1">
      <c r="A26" s="106" t="str">
        <f t="shared" si="8"/>
        <v>Show</v>
      </c>
      <c r="B26" s="105"/>
      <c r="C26" s="74" t="s">
        <v>1912</v>
      </c>
      <c r="D26" s="7" t="s">
        <v>13</v>
      </c>
      <c r="E26" s="198" t="s">
        <v>2091</v>
      </c>
      <c r="F26" s="199"/>
      <c r="G26" s="200"/>
      <c r="J26" s="6">
        <f t="shared" si="7"/>
        <v>1</v>
      </c>
      <c r="K26" s="130">
        <f>IF(LEN(E26)=0,0,1)</f>
        <v>1</v>
      </c>
      <c r="L26" s="126" t="str">
        <f>IF(A26="Hide",0,IF($J$7=1,E26,0))</f>
        <v>Animesh</v>
      </c>
      <c r="M26" s="52" t="str">
        <f>formData!B27</f>
        <v>YOUR_DETAILS_NATIONAL_IDENTITY_CARD_GIVEN_NAMES</v>
      </c>
      <c r="N26" s="6">
        <f t="shared" si="5"/>
        <v>1</v>
      </c>
      <c r="O26" s="6">
        <f t="shared" si="6"/>
        <v>1</v>
      </c>
    </row>
    <row r="27" spans="1:15" s="6" customFormat="1" ht="19.5" customHeight="1">
      <c r="A27" s="106" t="str">
        <f t="shared" si="8"/>
        <v>Show</v>
      </c>
      <c r="B27" s="105"/>
      <c r="C27" s="74" t="s">
        <v>1912</v>
      </c>
      <c r="D27" s="7" t="s">
        <v>22</v>
      </c>
      <c r="E27" s="234" t="s">
        <v>2095</v>
      </c>
      <c r="F27" s="235"/>
      <c r="G27" s="236"/>
      <c r="J27" s="6">
        <f t="shared" si="7"/>
        <v>1</v>
      </c>
      <c r="K27" s="130">
        <f>IF(LEN(E27)=0,0,1)</f>
        <v>1</v>
      </c>
      <c r="L27" s="126" t="str">
        <f>IF(A27="Hide",0,IF($J$7=1,E27,0))</f>
        <v>692881822968</v>
      </c>
      <c r="M27" s="52" t="str">
        <f>formData!B28</f>
        <v>YOUR_DETAILS_NATIONAL_IDENTITY_CARD_IDENTIFICATION_NUMBER</v>
      </c>
      <c r="N27" s="6">
        <f t="shared" si="5"/>
        <v>1</v>
      </c>
      <c r="O27" s="6">
        <f t="shared" si="6"/>
        <v>1</v>
      </c>
    </row>
    <row r="28" spans="1:15" s="6" customFormat="1" ht="19.5" customHeight="1">
      <c r="A28" s="106" t="str">
        <f t="shared" si="8"/>
        <v>Show</v>
      </c>
      <c r="B28" s="105">
        <v>104</v>
      </c>
      <c r="C28" s="74" t="s">
        <v>1912</v>
      </c>
      <c r="D28" s="7" t="s">
        <v>23</v>
      </c>
      <c r="E28" s="240"/>
      <c r="F28" s="241"/>
      <c r="G28" s="242"/>
      <c r="J28" s="6">
        <f t="shared" si="7"/>
        <v>1</v>
      </c>
      <c r="K28" s="129">
        <f>IF(B28=1,0,1)</f>
        <v>1</v>
      </c>
      <c r="L28" s="127">
        <f>IF(A28="Hide",1,IF($J$7=1,B28,1))</f>
        <v>104</v>
      </c>
      <c r="M28" s="52" t="str">
        <f>formData!B29</f>
        <v>YOUR_DETAILS_NATIONAL_IDENTITY_CARD_COUNTRY_OF_ISSUE</v>
      </c>
      <c r="N28" s="6">
        <f t="shared" si="5"/>
        <v>1</v>
      </c>
      <c r="O28" s="6">
        <f t="shared" si="6"/>
        <v>1</v>
      </c>
    </row>
    <row r="29" spans="1:15" s="6" customFormat="1" ht="19.5" customHeight="1">
      <c r="A29" s="106" t="str">
        <f t="shared" si="8"/>
        <v>Show</v>
      </c>
      <c r="B29" s="105"/>
      <c r="C29" s="74" t="s">
        <v>1912</v>
      </c>
      <c r="D29" s="165" t="s">
        <v>1974</v>
      </c>
      <c r="E29" s="219"/>
      <c r="F29" s="220"/>
      <c r="G29" s="221"/>
      <c r="J29" s="6">
        <f t="shared" si="7"/>
        <v>1</v>
      </c>
      <c r="K29" s="130">
        <f>IF(LEN(E29)=0,0,1)</f>
        <v>0</v>
      </c>
      <c r="L29" s="126">
        <f>IF(A29="Hide",0,IF($J$7=1,E29,0))</f>
        <v>0</v>
      </c>
      <c r="M29" s="52" t="str">
        <f>formData!B30</f>
        <v>YOUR_DETAILS_NATIONAL_IDENTITY_CARD_DATE_OF_ISSUE</v>
      </c>
      <c r="N29" s="6">
        <f t="shared" si="5"/>
        <v>1</v>
      </c>
      <c r="O29" s="6">
        <f t="shared" si="6"/>
        <v>0</v>
      </c>
    </row>
    <row r="30" spans="1:15" s="6" customFormat="1" ht="19.5" customHeight="1">
      <c r="A30" s="106" t="str">
        <f t="shared" si="8"/>
        <v>Show</v>
      </c>
      <c r="B30" s="105"/>
      <c r="C30" s="74" t="s">
        <v>1912</v>
      </c>
      <c r="D30" s="166" t="s">
        <v>1972</v>
      </c>
      <c r="E30" s="219"/>
      <c r="F30" s="220"/>
      <c r="G30" s="221"/>
      <c r="J30" s="6">
        <f t="shared" si="7"/>
        <v>1</v>
      </c>
      <c r="K30" s="130">
        <f>IF(LEN(E30)=0,0,1)</f>
        <v>0</v>
      </c>
      <c r="L30" s="126">
        <f>IF(A30="Hide",0,IF($J$7=1,E30,0))</f>
        <v>0</v>
      </c>
      <c r="M30" s="52" t="str">
        <f>formData!B31</f>
        <v>YOUR_DETAILS_NATIONAL_IDENTITY_CARD_DATE_OF_EXPIRY</v>
      </c>
      <c r="N30" s="6">
        <f t="shared" si="5"/>
        <v>1</v>
      </c>
      <c r="O30" s="6">
        <f t="shared" si="6"/>
        <v>0</v>
      </c>
    </row>
    <row r="31" spans="1:15" s="6" customFormat="1" ht="19.5" hidden="1" customHeight="1">
      <c r="A31" s="106" t="str">
        <f>IF($B$24=3,"Show","HIDE")</f>
        <v>HIDE</v>
      </c>
      <c r="B31" s="105"/>
      <c r="C31" s="74" t="s">
        <v>1912</v>
      </c>
      <c r="D31" s="244" t="s">
        <v>2037</v>
      </c>
      <c r="E31" s="245"/>
      <c r="F31" s="245"/>
      <c r="G31" s="246"/>
      <c r="N31" s="6">
        <f t="shared" ref="N31:N33" si="9">IF(J31=1,1,0)</f>
        <v>0</v>
      </c>
      <c r="O31" s="6">
        <f t="shared" ref="O31:O33" si="10">+J31*K31</f>
        <v>0</v>
      </c>
    </row>
    <row r="32" spans="1:15" s="6" customFormat="1" ht="46.5" hidden="1" customHeight="1">
      <c r="A32" s="106" t="str">
        <f>IF($B$24=3,"Show","HIDE")</f>
        <v>HIDE</v>
      </c>
      <c r="B32" s="105"/>
      <c r="D32" s="247"/>
      <c r="E32" s="248"/>
      <c r="F32" s="248"/>
      <c r="G32" s="249"/>
      <c r="J32" s="6">
        <f>IF($C31="*",IF($A32="Hide",0,$J$5),0)</f>
        <v>0</v>
      </c>
      <c r="K32" s="158">
        <f>IF(LEN(D32)=0,0,1)</f>
        <v>0</v>
      </c>
      <c r="L32" s="157">
        <f>IF(A32="Hide",0,IF($J$5=1,D32,0))</f>
        <v>0</v>
      </c>
      <c r="M32" s="131" t="str">
        <f>formData!B32</f>
        <v>YOUR_DETAILS_NATIONAL_IDENTITY_CARD_GIVE_REASON</v>
      </c>
      <c r="N32" s="6">
        <f t="shared" si="9"/>
        <v>0</v>
      </c>
      <c r="O32" s="6">
        <f t="shared" si="10"/>
        <v>0</v>
      </c>
    </row>
    <row r="33" spans="1:15" s="6" customFormat="1" ht="20.100000000000001" customHeight="1">
      <c r="A33" s="105"/>
      <c r="B33" s="105"/>
      <c r="D33" s="9"/>
      <c r="E33" s="2"/>
      <c r="N33" s="6">
        <f t="shared" si="9"/>
        <v>0</v>
      </c>
      <c r="O33" s="6">
        <f t="shared" si="10"/>
        <v>0</v>
      </c>
    </row>
    <row r="34" spans="1:15" ht="24.95" customHeight="1">
      <c r="A34" s="104"/>
      <c r="B34" s="104"/>
      <c r="C34" s="74"/>
      <c r="D34" s="253" t="s">
        <v>3</v>
      </c>
      <c r="E34" s="254"/>
      <c r="F34" s="254"/>
      <c r="G34" s="255"/>
      <c r="N34" s="6">
        <f t="shared" si="5"/>
        <v>0</v>
      </c>
      <c r="O34" s="6">
        <f t="shared" si="6"/>
        <v>0</v>
      </c>
    </row>
    <row r="35" spans="1:15" s="6" customFormat="1" ht="20.100000000000001" customHeight="1">
      <c r="A35" s="105"/>
      <c r="B35" s="105"/>
      <c r="C35" s="74" t="s">
        <v>1912</v>
      </c>
      <c r="D35" s="7" t="s">
        <v>24</v>
      </c>
      <c r="E35" s="198" t="s">
        <v>2097</v>
      </c>
      <c r="F35" s="199"/>
      <c r="G35" s="200"/>
      <c r="J35" s="6">
        <f>IF($C35="*",IF($A35="Hide",0,$J$7),0)</f>
        <v>1</v>
      </c>
      <c r="K35" s="130">
        <f>IF(LEN(E35)=0,0,1)</f>
        <v>1</v>
      </c>
      <c r="L35" s="126" t="str">
        <f>IF(A35="Hide",0,IF($J$7=1,E35,0))</f>
        <v>Siwan</v>
      </c>
      <c r="M35" s="52" t="str">
        <f>formData!B33</f>
        <v>YOUR_DETAILS_PLACE_OF_BIRTH_CITY</v>
      </c>
      <c r="N35" s="6">
        <f t="shared" si="5"/>
        <v>1</v>
      </c>
      <c r="O35" s="6">
        <f t="shared" si="6"/>
        <v>1</v>
      </c>
    </row>
    <row r="36" spans="1:15" s="6" customFormat="1" ht="20.100000000000001" customHeight="1">
      <c r="A36" s="105"/>
      <c r="B36" s="105"/>
      <c r="C36" s="74" t="s">
        <v>1912</v>
      </c>
      <c r="D36" s="8" t="s">
        <v>25</v>
      </c>
      <c r="E36" s="198" t="s">
        <v>2096</v>
      </c>
      <c r="F36" s="199"/>
      <c r="G36" s="200"/>
      <c r="J36" s="6">
        <f>IF($C36="*",IF($A36="Hide",0,$J$7),0)</f>
        <v>1</v>
      </c>
      <c r="K36" s="130">
        <f>IF(LEN(E36)=0,0,1)</f>
        <v>1</v>
      </c>
      <c r="L36" s="126" t="str">
        <f>IF(A36="Hide",0,IF($J$7=1,E36,0))</f>
        <v>Bihar</v>
      </c>
      <c r="M36" s="52" t="str">
        <f>formData!B34</f>
        <v>YOUR_DETAILS_PLACE_OF_BIRTH_STATE_PROVINCE</v>
      </c>
      <c r="N36" s="6">
        <f t="shared" si="5"/>
        <v>1</v>
      </c>
      <c r="O36" s="6">
        <f t="shared" si="6"/>
        <v>1</v>
      </c>
    </row>
    <row r="37" spans="1:15" s="6" customFormat="1" ht="20.100000000000001" customHeight="1">
      <c r="A37" s="105"/>
      <c r="B37" s="105">
        <v>104</v>
      </c>
      <c r="C37" s="74" t="s">
        <v>1912</v>
      </c>
      <c r="D37" s="11" t="s">
        <v>26</v>
      </c>
      <c r="E37" s="240"/>
      <c r="F37" s="241"/>
      <c r="G37" s="242"/>
      <c r="J37" s="6">
        <f>IF($C37="*",IF($A37="Hide",0,$J$7),0)</f>
        <v>1</v>
      </c>
      <c r="K37" s="129">
        <f>IF(B37=1,0,1)</f>
        <v>1</v>
      </c>
      <c r="L37" s="127">
        <f>IF(A37="Hide",1,IF($J$7=1,B37,1))</f>
        <v>104</v>
      </c>
      <c r="M37" s="52" t="str">
        <f>formData!B35</f>
        <v>YOUR_DETAILS_PLACE_OF_BIRTH_COUNTRY_OF_BIRTH</v>
      </c>
      <c r="N37" s="6">
        <f t="shared" si="5"/>
        <v>1</v>
      </c>
      <c r="O37" s="6">
        <f t="shared" si="6"/>
        <v>1</v>
      </c>
    </row>
    <row r="38" spans="1:15" s="6" customFormat="1" ht="20.100000000000001" customHeight="1">
      <c r="A38" s="105"/>
      <c r="B38" s="105"/>
      <c r="D38" s="9"/>
      <c r="E38" s="2"/>
      <c r="N38" s="6">
        <f t="shared" si="5"/>
        <v>0</v>
      </c>
      <c r="O38" s="6">
        <f t="shared" si="6"/>
        <v>0</v>
      </c>
    </row>
    <row r="39" spans="1:15" ht="24.95" customHeight="1">
      <c r="A39" s="104"/>
      <c r="B39" s="104"/>
      <c r="C39" s="74"/>
      <c r="D39" s="256" t="s">
        <v>63</v>
      </c>
      <c r="E39" s="254"/>
      <c r="F39" s="254"/>
      <c r="G39" s="255"/>
      <c r="N39" s="6">
        <f t="shared" si="5"/>
        <v>0</v>
      </c>
      <c r="O39" s="6">
        <f t="shared" si="6"/>
        <v>0</v>
      </c>
    </row>
    <row r="40" spans="1:15" s="6" customFormat="1" ht="20.100000000000001" customHeight="1">
      <c r="A40" s="105"/>
      <c r="B40" s="105">
        <v>6</v>
      </c>
      <c r="C40" s="74" t="s">
        <v>1912</v>
      </c>
      <c r="D40" s="8" t="s">
        <v>27</v>
      </c>
      <c r="E40" s="240"/>
      <c r="F40" s="241"/>
      <c r="G40" s="242"/>
      <c r="J40" s="6">
        <f>IF($C40="*",IF($A40="Hide",0,$J$7),0)</f>
        <v>1</v>
      </c>
      <c r="K40" s="129">
        <f>IF(B40=1,0,1)</f>
        <v>1</v>
      </c>
      <c r="L40" s="127">
        <f>IF(A40="Hide",1,IF($J$7=1,B40,1))</f>
        <v>6</v>
      </c>
      <c r="M40" s="52" t="str">
        <f>formData!B36</f>
        <v>YOUR_DETAILS_RELATIONSHIP_STATUS_RELATIONSHIP_STATUS</v>
      </c>
      <c r="N40" s="6">
        <f t="shared" si="5"/>
        <v>1</v>
      </c>
      <c r="O40" s="6">
        <f t="shared" si="6"/>
        <v>1</v>
      </c>
    </row>
    <row r="41" spans="1:15" s="6" customFormat="1" ht="46.5" customHeight="1">
      <c r="A41" s="106"/>
      <c r="B41" s="105"/>
      <c r="D41" s="44" t="s">
        <v>1975</v>
      </c>
      <c r="E41" s="219"/>
      <c r="F41" s="220"/>
      <c r="G41" s="221"/>
      <c r="J41" s="6">
        <f>IF($C41="*",IF($A41="Hide",0,$J$7),0)</f>
        <v>0</v>
      </c>
      <c r="K41" s="130">
        <f>IF(LEN(E41)=0,0,1)</f>
        <v>0</v>
      </c>
      <c r="L41" s="126">
        <f>IF(A41="Hide",0,IF($J$7=1,E41,0))</f>
        <v>0</v>
      </c>
      <c r="M41" s="52" t="str">
        <f>formData!B37</f>
        <v>YOUR_DETAILS_RELATIONSHIP_STATUS_DE_FACTO</v>
      </c>
      <c r="N41" s="6">
        <f t="shared" si="5"/>
        <v>0</v>
      </c>
      <c r="O41" s="6">
        <f t="shared" si="6"/>
        <v>0</v>
      </c>
    </row>
    <row r="42" spans="1:15" s="6" customFormat="1" ht="20.100000000000001" customHeight="1">
      <c r="A42" s="105"/>
      <c r="B42" s="105"/>
      <c r="D42" s="9"/>
      <c r="E42" s="2"/>
      <c r="N42" s="6">
        <f t="shared" si="5"/>
        <v>0</v>
      </c>
      <c r="O42" s="6">
        <f t="shared" si="6"/>
        <v>0</v>
      </c>
    </row>
    <row r="43" spans="1:15" ht="24.95" customHeight="1">
      <c r="A43" s="104"/>
      <c r="B43" s="104">
        <v>3</v>
      </c>
      <c r="C43" s="74"/>
      <c r="D43" s="253" t="s">
        <v>4</v>
      </c>
      <c r="E43" s="254"/>
      <c r="F43" s="254"/>
      <c r="G43" s="255"/>
      <c r="N43" s="6">
        <f t="shared" si="5"/>
        <v>0</v>
      </c>
      <c r="O43" s="6">
        <f t="shared" si="6"/>
        <v>0</v>
      </c>
    </row>
    <row r="44" spans="1:15" s="6" customFormat="1" ht="30" customHeight="1">
      <c r="A44" s="105"/>
      <c r="B44" s="105">
        <v>3</v>
      </c>
      <c r="C44" s="74" t="s">
        <v>1912</v>
      </c>
      <c r="D44" s="7" t="s">
        <v>28</v>
      </c>
      <c r="E44" s="240"/>
      <c r="F44" s="241"/>
      <c r="G44" s="242"/>
      <c r="J44" s="6">
        <f>IF($C44="*",IF($A44="Hide",0,$J$7),0)</f>
        <v>1</v>
      </c>
      <c r="K44" s="129">
        <f>IF(B44=1,0,1)</f>
        <v>1</v>
      </c>
      <c r="L44" s="127">
        <f>IF(A44="Hide",1,IF($J$7=1,B44,1))</f>
        <v>3</v>
      </c>
      <c r="M44" s="52" t="str">
        <f>formData!B38</f>
        <v>YOUR_DETAILS_OTHER_NAMES_HAVE_OTHER_NAMES</v>
      </c>
      <c r="N44" s="6">
        <f t="shared" si="5"/>
        <v>1</v>
      </c>
      <c r="O44" s="6">
        <f t="shared" si="6"/>
        <v>1</v>
      </c>
    </row>
    <row r="45" spans="1:15" s="6" customFormat="1" ht="19.5" hidden="1" customHeight="1">
      <c r="A45" s="106" t="str">
        <f>IF($B$44=2,"Show","HIDE")</f>
        <v>HIDE</v>
      </c>
      <c r="B45" s="105"/>
      <c r="C45" s="74" t="s">
        <v>1912</v>
      </c>
      <c r="D45" s="7" t="s">
        <v>12</v>
      </c>
      <c r="E45" s="198"/>
      <c r="F45" s="199"/>
      <c r="G45" s="200"/>
      <c r="J45" s="6">
        <f>IF($C45="*",IF($A45="Hide",0,$J$7),0)</f>
        <v>0</v>
      </c>
      <c r="K45" s="130">
        <f>IF(LEN(E45)=0,0,1)</f>
        <v>0</v>
      </c>
      <c r="L45" s="126">
        <f>IF(A45="Hide",0,IF($J$7=1,E45,0))</f>
        <v>0</v>
      </c>
      <c r="M45" s="52" t="str">
        <f>formData!B39</f>
        <v>YOUR_DETAILS_OTHER_NAMES_FAMILY_NAME</v>
      </c>
      <c r="N45" s="6">
        <f t="shared" si="5"/>
        <v>0</v>
      </c>
      <c r="O45" s="6">
        <f t="shared" si="6"/>
        <v>0</v>
      </c>
    </row>
    <row r="46" spans="1:15" s="6" customFormat="1" ht="19.5" hidden="1" customHeight="1">
      <c r="A46" s="106" t="str">
        <f>IF($B$44=2,"Show","HIDE")</f>
        <v>HIDE</v>
      </c>
      <c r="B46" s="105"/>
      <c r="C46" s="74" t="s">
        <v>1912</v>
      </c>
      <c r="D46" s="7" t="s">
        <v>13</v>
      </c>
      <c r="E46" s="198"/>
      <c r="F46" s="199"/>
      <c r="G46" s="200"/>
      <c r="J46" s="6">
        <f>IF($C46="*",IF($A46="Hide",0,$J$7),0)</f>
        <v>0</v>
      </c>
      <c r="K46" s="130">
        <f>IF(LEN(E46)=0,0,1)</f>
        <v>0</v>
      </c>
      <c r="L46" s="126">
        <f>IF(A46="Hide",0,IF($J$7=1,E46,0))</f>
        <v>0</v>
      </c>
      <c r="M46" s="52" t="str">
        <f>formData!B40</f>
        <v>YOUR_DETAILS_OTHER_NAMES_GIVEN_NAMES</v>
      </c>
      <c r="N46" s="6">
        <f t="shared" si="5"/>
        <v>0</v>
      </c>
      <c r="O46" s="6">
        <f t="shared" si="6"/>
        <v>0</v>
      </c>
    </row>
    <row r="47" spans="1:15" s="6" customFormat="1" ht="19.5" hidden="1" customHeight="1">
      <c r="A47" s="106" t="str">
        <f>IF($B$44=2,"Show","HIDE")</f>
        <v>HIDE</v>
      </c>
      <c r="B47" s="105">
        <v>1</v>
      </c>
      <c r="C47" s="74" t="s">
        <v>1912</v>
      </c>
      <c r="D47" s="8" t="s">
        <v>29</v>
      </c>
      <c r="E47" s="240"/>
      <c r="F47" s="241"/>
      <c r="G47" s="242"/>
      <c r="J47" s="6">
        <f>IF($C47="*",IF($A47="Hide",0,$J$7),0)</f>
        <v>0</v>
      </c>
      <c r="K47" s="129">
        <f>IF(B47=1,0,1)</f>
        <v>0</v>
      </c>
      <c r="L47" s="127">
        <f>IF(A47="Hide",1,IF($J$7=1,B47,1))</f>
        <v>1</v>
      </c>
      <c r="M47" s="52" t="str">
        <f>formData!B41</f>
        <v>YOUR_DETAILS_OTHER_NAMES_NAME_CHANGE</v>
      </c>
      <c r="N47" s="6">
        <f t="shared" si="5"/>
        <v>0</v>
      </c>
      <c r="O47" s="6">
        <f t="shared" si="6"/>
        <v>0</v>
      </c>
    </row>
    <row r="48" spans="1:15" s="6" customFormat="1" ht="19.5" hidden="1" customHeight="1">
      <c r="A48" s="106" t="str">
        <f>IF($B$44=2,"Show","HIDE")</f>
        <v>HIDE</v>
      </c>
      <c r="B48" s="105"/>
      <c r="D48" s="250" t="s">
        <v>30</v>
      </c>
      <c r="E48" s="251"/>
      <c r="F48" s="251"/>
      <c r="G48" s="252"/>
      <c r="N48" s="6">
        <f t="shared" si="5"/>
        <v>0</v>
      </c>
      <c r="O48" s="6">
        <f t="shared" si="6"/>
        <v>0</v>
      </c>
    </row>
    <row r="49" spans="1:15" s="58" customFormat="1" ht="46.5" hidden="1" customHeight="1">
      <c r="A49" s="106" t="str">
        <f>IF($B$44=2,"Show","HIDE")</f>
        <v>HIDE</v>
      </c>
      <c r="B49" s="107"/>
      <c r="D49" s="258"/>
      <c r="E49" s="259"/>
      <c r="F49" s="259"/>
      <c r="G49" s="260"/>
      <c r="J49" s="157">
        <f>IF($C49="*",IF($A49="Hide",0,$J$7),0)</f>
        <v>0</v>
      </c>
      <c r="K49" s="158">
        <f>IF(LEN(D49)=0,0,1)</f>
        <v>0</v>
      </c>
      <c r="L49" s="157">
        <f>IF(A49="Hide",0,IF($J$7=1,D49,0))</f>
        <v>0</v>
      </c>
      <c r="M49" s="52" t="str">
        <f>formData!B42</f>
        <v>YOUR_DETAILS_OTHER_NAMES_GIVE DETAILS</v>
      </c>
      <c r="N49" s="6">
        <f t="shared" si="5"/>
        <v>0</v>
      </c>
      <c r="O49" s="6">
        <f t="shared" si="6"/>
        <v>0</v>
      </c>
    </row>
    <row r="50" spans="1:15" s="6" customFormat="1" ht="20.100000000000001" customHeight="1">
      <c r="A50" s="105"/>
      <c r="B50" s="105"/>
      <c r="D50" s="9"/>
      <c r="E50" s="9"/>
      <c r="N50" s="6">
        <f t="shared" si="5"/>
        <v>0</v>
      </c>
      <c r="O50" s="6">
        <f t="shared" si="6"/>
        <v>0</v>
      </c>
    </row>
    <row r="51" spans="1:15" ht="24.95" customHeight="1">
      <c r="A51" s="104"/>
      <c r="B51" s="104"/>
      <c r="C51" s="74"/>
      <c r="D51" s="257" t="s">
        <v>5</v>
      </c>
      <c r="E51" s="257"/>
      <c r="F51" s="257"/>
      <c r="G51" s="257"/>
      <c r="N51" s="6">
        <f t="shared" si="5"/>
        <v>0</v>
      </c>
      <c r="O51" s="6">
        <f t="shared" si="6"/>
        <v>0</v>
      </c>
    </row>
    <row r="52" spans="1:15" s="6" customFormat="1" ht="30" customHeight="1">
      <c r="A52" s="105"/>
      <c r="B52" s="105">
        <v>2</v>
      </c>
      <c r="C52" s="74" t="s">
        <v>1912</v>
      </c>
      <c r="D52" s="23" t="s">
        <v>31</v>
      </c>
      <c r="E52" s="243"/>
      <c r="F52" s="243"/>
      <c r="G52" s="243"/>
      <c r="J52" s="6">
        <f>IF($C52="*",IF($A52="Hide",0,$J$7),0)</f>
        <v>1</v>
      </c>
      <c r="K52" s="129">
        <f>IF(B52=1,0,1)</f>
        <v>1</v>
      </c>
      <c r="L52" s="127">
        <f>IF(A52="Hide",1,IF($J$7=1,B52,1))</f>
        <v>2</v>
      </c>
      <c r="M52" s="52" t="str">
        <f>formData!B43</f>
        <v>YOUR_DETAILS_CITIZENSHIP_CITIZENSHIP_COUNTRY_OF_PASSPORT</v>
      </c>
      <c r="N52" s="6">
        <f t="shared" si="5"/>
        <v>1</v>
      </c>
      <c r="O52" s="6">
        <f t="shared" si="6"/>
        <v>1</v>
      </c>
    </row>
    <row r="53" spans="1:15" s="6" customFormat="1" ht="20.100000000000001" customHeight="1">
      <c r="A53" s="108"/>
      <c r="B53" s="105">
        <v>3</v>
      </c>
      <c r="C53" s="74" t="s">
        <v>1912</v>
      </c>
      <c r="D53" s="38" t="s">
        <v>1919</v>
      </c>
      <c r="E53" s="243"/>
      <c r="F53" s="243"/>
      <c r="G53" s="243"/>
      <c r="J53" s="6">
        <f>IF($C53="*",IF($A53="Hide",0,$J$7),0)</f>
        <v>1</v>
      </c>
      <c r="K53" s="129">
        <f>IF(B53=1,0,1)</f>
        <v>1</v>
      </c>
      <c r="L53" s="127">
        <f>IF(A53="Hide",1,IF($J$7=1,B53,1))</f>
        <v>3</v>
      </c>
      <c r="M53" s="52" t="str">
        <f>formData!B44</f>
        <v>YOUR_DETAILS_CITIZENSHIP_CITIZENSHIP_OTHER_COUNTRY</v>
      </c>
      <c r="N53" s="6">
        <f t="shared" si="5"/>
        <v>1</v>
      </c>
      <c r="O53" s="6">
        <f t="shared" si="6"/>
        <v>1</v>
      </c>
    </row>
    <row r="54" spans="1:15" s="6" customFormat="1" ht="19.5" hidden="1" customHeight="1">
      <c r="A54" s="108" t="str">
        <f>IF($B$53=2,"Show","HIDE")</f>
        <v>HIDE</v>
      </c>
      <c r="B54" s="105">
        <v>1</v>
      </c>
      <c r="C54" s="74" t="s">
        <v>1912</v>
      </c>
      <c r="D54" s="23" t="s">
        <v>32</v>
      </c>
      <c r="E54" s="243"/>
      <c r="F54" s="243"/>
      <c r="G54" s="243"/>
      <c r="J54" s="6">
        <f>IF($C54="*",IF($A54="Hide",0,$J$7),0)</f>
        <v>0</v>
      </c>
      <c r="K54" s="129">
        <f>IF(B54=1,0,1)</f>
        <v>0</v>
      </c>
      <c r="L54" s="127">
        <f>IF(A54="Hide",1,IF($J$7=1,B54,1))</f>
        <v>1</v>
      </c>
      <c r="M54" s="52" t="str">
        <f>formData!B45</f>
        <v>YOUR_DETAILS_PASSPORT_CITIZENSHIP_LIST COUNTRIES1</v>
      </c>
      <c r="N54" s="6">
        <f t="shared" si="5"/>
        <v>0</v>
      </c>
      <c r="O54" s="6">
        <f t="shared" si="6"/>
        <v>0</v>
      </c>
    </row>
    <row r="55" spans="1:15" s="6" customFormat="1" ht="20.100000000000001" customHeight="1">
      <c r="A55" s="105"/>
      <c r="B55" s="105">
        <v>1</v>
      </c>
      <c r="D55" s="9"/>
      <c r="E55" s="2"/>
      <c r="J55" s="6">
        <f>IF($C55="*",IF($A55="Hide",0,$J$7),0)</f>
        <v>0</v>
      </c>
      <c r="K55" s="129">
        <f>IF(B55=1,0,1)</f>
        <v>0</v>
      </c>
      <c r="L55" s="127">
        <f>IF(A55="Hide",1,IF($J$7=1,B55,1))</f>
        <v>1</v>
      </c>
      <c r="M55" s="52" t="str">
        <f>formData!B46</f>
        <v>YOUR_DETAILS_PASSPORT_CITIZENSHIP_LIST COUNTRIES2</v>
      </c>
      <c r="N55" s="6">
        <f t="shared" si="5"/>
        <v>0</v>
      </c>
      <c r="O55" s="6">
        <f t="shared" si="6"/>
        <v>0</v>
      </c>
    </row>
    <row r="56" spans="1:15" ht="24.95" customHeight="1">
      <c r="A56" s="104"/>
      <c r="B56" s="104">
        <v>3</v>
      </c>
      <c r="C56" s="74"/>
      <c r="D56" s="253" t="s">
        <v>6</v>
      </c>
      <c r="E56" s="254"/>
      <c r="F56" s="254"/>
      <c r="G56" s="255"/>
      <c r="N56" s="6">
        <f t="shared" si="5"/>
        <v>0</v>
      </c>
      <c r="O56" s="6">
        <f t="shared" si="6"/>
        <v>0</v>
      </c>
    </row>
    <row r="57" spans="1:15" s="6" customFormat="1" ht="30" customHeight="1">
      <c r="A57" s="105"/>
      <c r="B57" s="105">
        <v>3</v>
      </c>
      <c r="C57" s="74" t="s">
        <v>1912</v>
      </c>
      <c r="D57" s="7" t="s">
        <v>33</v>
      </c>
      <c r="E57" s="240"/>
      <c r="F57" s="241"/>
      <c r="G57" s="242"/>
      <c r="J57" s="6">
        <f t="shared" ref="J57:J68" si="11">IF($C57="*",IF($A57="Hide",0,$J$7),0)</f>
        <v>1</v>
      </c>
      <c r="K57" s="129">
        <f>IF(B57=1,0,1)</f>
        <v>1</v>
      </c>
      <c r="L57" s="127">
        <f>IF(A57="Hide",1,IF($J$7=1,B57,1))</f>
        <v>3</v>
      </c>
      <c r="M57" s="52" t="str">
        <f>formData!B47</f>
        <v>YOUR_DETAILS_OTHER_TRAVEL_DOCS_HAVE_OTHER_DOCS_FOR_TRAVEL</v>
      </c>
      <c r="N57" s="6">
        <f t="shared" si="5"/>
        <v>1</v>
      </c>
      <c r="O57" s="6">
        <f t="shared" si="6"/>
        <v>1</v>
      </c>
    </row>
    <row r="58" spans="1:15" s="6" customFormat="1" ht="19.5" hidden="1" customHeight="1">
      <c r="A58" s="108" t="str">
        <f>IF($B$57=2,"Show","HIDE")</f>
        <v>HIDE</v>
      </c>
      <c r="B58" s="105">
        <v>1</v>
      </c>
      <c r="C58" s="74" t="s">
        <v>1912</v>
      </c>
      <c r="D58" s="7" t="s">
        <v>34</v>
      </c>
      <c r="E58" s="240"/>
      <c r="F58" s="241"/>
      <c r="G58" s="242"/>
      <c r="J58" s="6">
        <f t="shared" si="11"/>
        <v>0</v>
      </c>
      <c r="K58" s="129">
        <f>IF(B58=1,0,1)</f>
        <v>0</v>
      </c>
      <c r="L58" s="127">
        <f>IF(A58="Hide",1,IF($J$7=1,B58,1))</f>
        <v>1</v>
      </c>
      <c r="M58" s="52" t="str">
        <f>formData!B48</f>
        <v>YOUR_DETAILS_OTHER_TRAVEL_DOCS_TYPE_OF_DOCUMENT</v>
      </c>
      <c r="N58" s="6">
        <f t="shared" si="5"/>
        <v>0</v>
      </c>
      <c r="O58" s="6">
        <f t="shared" si="6"/>
        <v>0</v>
      </c>
    </row>
    <row r="59" spans="1:15" s="6" customFormat="1" ht="19.5" hidden="1" customHeight="1">
      <c r="A59" s="108" t="str">
        <f t="shared" ref="A59:A68" si="12">IF($B$57=2,"Show","HIDE")</f>
        <v>HIDE</v>
      </c>
      <c r="B59" s="105"/>
      <c r="C59" s="74" t="s">
        <v>1912</v>
      </c>
      <c r="D59" s="7" t="s">
        <v>12</v>
      </c>
      <c r="E59" s="198"/>
      <c r="F59" s="199"/>
      <c r="G59" s="200"/>
      <c r="J59" s="6">
        <f t="shared" si="11"/>
        <v>0</v>
      </c>
      <c r="K59" s="130">
        <f>IF(LEN(E59)=0,0,1)</f>
        <v>0</v>
      </c>
      <c r="L59" s="126">
        <f>IF(A59="Hide",0,IF($J$7=1,E59,0))</f>
        <v>0</v>
      </c>
      <c r="M59" s="52" t="str">
        <f>formData!B49</f>
        <v>YOUR_DETAILS_OTHER_TRAVEL_DOCS_FAMILY_NAME</v>
      </c>
      <c r="N59" s="6">
        <f t="shared" si="5"/>
        <v>0</v>
      </c>
      <c r="O59" s="6">
        <f t="shared" si="6"/>
        <v>0</v>
      </c>
    </row>
    <row r="60" spans="1:15" s="6" customFormat="1" ht="19.5" hidden="1" customHeight="1">
      <c r="A60" s="108" t="str">
        <f t="shared" si="12"/>
        <v>HIDE</v>
      </c>
      <c r="B60" s="105"/>
      <c r="C60" s="74" t="s">
        <v>1912</v>
      </c>
      <c r="D60" s="7" t="s">
        <v>13</v>
      </c>
      <c r="E60" s="198"/>
      <c r="F60" s="199"/>
      <c r="G60" s="200"/>
      <c r="J60" s="6">
        <f t="shared" si="11"/>
        <v>0</v>
      </c>
      <c r="K60" s="130">
        <f>IF(LEN(E60)=0,0,1)</f>
        <v>0</v>
      </c>
      <c r="L60" s="126">
        <f>IF(A60="Hide",0,IF($J$7=1,E60,0))</f>
        <v>0</v>
      </c>
      <c r="M60" s="52" t="str">
        <f>formData!B50</f>
        <v>YOUR_DETAILS_OTHER_TRAVEL_DOCS_GIVEN_NAMES</v>
      </c>
      <c r="N60" s="6">
        <f t="shared" si="5"/>
        <v>0</v>
      </c>
      <c r="O60" s="6">
        <f t="shared" si="6"/>
        <v>0</v>
      </c>
    </row>
    <row r="61" spans="1:15" s="6" customFormat="1" ht="19.5" hidden="1" customHeight="1">
      <c r="A61" s="108" t="str">
        <f t="shared" si="12"/>
        <v>HIDE</v>
      </c>
      <c r="B61" s="105">
        <v>1</v>
      </c>
      <c r="C61" s="74" t="s">
        <v>1912</v>
      </c>
      <c r="D61" s="7" t="s">
        <v>14</v>
      </c>
      <c r="E61" s="240"/>
      <c r="F61" s="241"/>
      <c r="G61" s="242"/>
      <c r="J61" s="6">
        <f t="shared" si="11"/>
        <v>0</v>
      </c>
      <c r="K61" s="129">
        <f>IF(B61=1,0,1)</f>
        <v>0</v>
      </c>
      <c r="L61" s="127">
        <f>IF(A61="Hide",1,IF($J$7=1,B61,1))</f>
        <v>1</v>
      </c>
      <c r="M61" s="52" t="str">
        <f>formData!B51</f>
        <v>YOUR_DETAILS_OTHER_TRAVEL_DOCS_SEX</v>
      </c>
      <c r="N61" s="6">
        <f t="shared" si="5"/>
        <v>0</v>
      </c>
      <c r="O61" s="6">
        <f t="shared" si="6"/>
        <v>0</v>
      </c>
    </row>
    <row r="62" spans="1:15" s="6" customFormat="1" ht="19.5" hidden="1" customHeight="1">
      <c r="A62" s="108" t="str">
        <f t="shared" si="12"/>
        <v>HIDE</v>
      </c>
      <c r="B62" s="105"/>
      <c r="C62" s="74" t="s">
        <v>1912</v>
      </c>
      <c r="D62" s="31" t="s">
        <v>1976</v>
      </c>
      <c r="E62" s="219"/>
      <c r="F62" s="220"/>
      <c r="G62" s="221"/>
      <c r="J62" s="6">
        <f t="shared" si="11"/>
        <v>0</v>
      </c>
      <c r="K62" s="130">
        <f>IF(LEN(E62)=0,0,1)</f>
        <v>0</v>
      </c>
      <c r="L62" s="126">
        <f>IF(A62="Hide",0,IF($J$7=1,E62,0))</f>
        <v>0</v>
      </c>
      <c r="M62" s="52" t="str">
        <f>formData!B52</f>
        <v>YOUR_DETAILS_OTHER_TRAVEL_DOCS_DATE OF BIRTH</v>
      </c>
      <c r="N62" s="6">
        <f t="shared" si="5"/>
        <v>0</v>
      </c>
      <c r="O62" s="6">
        <f t="shared" si="6"/>
        <v>0</v>
      </c>
    </row>
    <row r="63" spans="1:15" s="6" customFormat="1" ht="19.5" hidden="1" customHeight="1">
      <c r="A63" s="108" t="str">
        <f t="shared" si="12"/>
        <v>HIDE</v>
      </c>
      <c r="B63" s="105"/>
      <c r="C63" s="74" t="s">
        <v>1912</v>
      </c>
      <c r="D63" s="7" t="s">
        <v>35</v>
      </c>
      <c r="E63" s="234"/>
      <c r="F63" s="235"/>
      <c r="G63" s="236"/>
      <c r="J63" s="6">
        <f t="shared" si="11"/>
        <v>0</v>
      </c>
      <c r="K63" s="130">
        <f>IF(LEN(E63)=0,0,1)</f>
        <v>0</v>
      </c>
      <c r="L63" s="126">
        <f>IF(A63="Hide",0,IF($J$7=1,E63,0))</f>
        <v>0</v>
      </c>
      <c r="M63" s="52" t="str">
        <f>formData!B53</f>
        <v>YOUR_DETAILS_OTHER_TRAVEL_DOCS_PASSPORT_NUMBER</v>
      </c>
      <c r="N63" s="6">
        <f t="shared" si="5"/>
        <v>0</v>
      </c>
      <c r="O63" s="6">
        <f t="shared" si="6"/>
        <v>0</v>
      </c>
    </row>
    <row r="64" spans="1:15" s="6" customFormat="1" ht="19.5" hidden="1" customHeight="1">
      <c r="A64" s="108" t="str">
        <f t="shared" si="12"/>
        <v>HIDE</v>
      </c>
      <c r="B64" s="105">
        <v>1</v>
      </c>
      <c r="C64" s="74" t="s">
        <v>1912</v>
      </c>
      <c r="D64" s="7" t="s">
        <v>23</v>
      </c>
      <c r="E64" s="240"/>
      <c r="F64" s="241"/>
      <c r="G64" s="242"/>
      <c r="J64" s="6">
        <f t="shared" si="11"/>
        <v>0</v>
      </c>
      <c r="K64" s="129">
        <f>IF(B64=1,0,1)</f>
        <v>0</v>
      </c>
      <c r="L64" s="127">
        <f>IF(A64="Hide",1,IF($J$7=1,B64,1))</f>
        <v>1</v>
      </c>
      <c r="M64" s="52" t="str">
        <f>formData!B54</f>
        <v>YOUR_DETAILS_OTHER_TRAVEL_DOCS_COUNTRY_OF_ISSUE</v>
      </c>
      <c r="N64" s="6">
        <f t="shared" si="5"/>
        <v>0</v>
      </c>
      <c r="O64" s="6">
        <f t="shared" si="6"/>
        <v>0</v>
      </c>
    </row>
    <row r="65" spans="1:15" s="6" customFormat="1" ht="19.5" hidden="1" customHeight="1">
      <c r="A65" s="108" t="str">
        <f t="shared" si="12"/>
        <v>HIDE</v>
      </c>
      <c r="B65" s="105">
        <v>1</v>
      </c>
      <c r="C65" s="74" t="s">
        <v>1912</v>
      </c>
      <c r="D65" s="7" t="s">
        <v>36</v>
      </c>
      <c r="E65" s="240"/>
      <c r="F65" s="241"/>
      <c r="G65" s="242"/>
      <c r="J65" s="6">
        <f t="shared" si="11"/>
        <v>0</v>
      </c>
      <c r="K65" s="129">
        <f>IF(B65=1,0,1)</f>
        <v>0</v>
      </c>
      <c r="L65" s="127">
        <f>IF(A65="Hide",1,IF($J$7=1,B65,1))</f>
        <v>1</v>
      </c>
      <c r="M65" s="52" t="str">
        <f>formData!B55</f>
        <v>YOUR_DETAILS_OTHER_TRAVEL_DOCS_NATIONALITY_OF_PASSPORT_HOLDER</v>
      </c>
      <c r="N65" s="6">
        <f t="shared" si="5"/>
        <v>0</v>
      </c>
      <c r="O65" s="6">
        <f t="shared" si="6"/>
        <v>0</v>
      </c>
    </row>
    <row r="66" spans="1:15" s="6" customFormat="1" ht="19.5" hidden="1" customHeight="1">
      <c r="A66" s="108" t="str">
        <f t="shared" si="12"/>
        <v>HIDE</v>
      </c>
      <c r="B66" s="105"/>
      <c r="C66" s="74" t="s">
        <v>1912</v>
      </c>
      <c r="D66" s="31" t="s">
        <v>1977</v>
      </c>
      <c r="E66" s="219"/>
      <c r="F66" s="220"/>
      <c r="G66" s="221"/>
      <c r="J66" s="6">
        <f t="shared" si="11"/>
        <v>0</v>
      </c>
      <c r="K66" s="130">
        <f>IF(LEN(E66)=0,0,1)</f>
        <v>0</v>
      </c>
      <c r="L66" s="126">
        <f>IF(A66="Hide",0,IF($J$7=1,E66,0))</f>
        <v>0</v>
      </c>
      <c r="M66" s="52" t="str">
        <f>formData!B56</f>
        <v>YOUR_DETAILS_OTHER_TRAVEL_DOCS_DATE_OF_ISSUE</v>
      </c>
      <c r="N66" s="6">
        <f t="shared" si="5"/>
        <v>0</v>
      </c>
      <c r="O66" s="6">
        <f t="shared" si="6"/>
        <v>0</v>
      </c>
    </row>
    <row r="67" spans="1:15" s="6" customFormat="1" ht="19.5" hidden="1" customHeight="1">
      <c r="A67" s="108" t="str">
        <f t="shared" si="12"/>
        <v>HIDE</v>
      </c>
      <c r="B67" s="105"/>
      <c r="C67" s="170" t="s">
        <v>1912</v>
      </c>
      <c r="D67" s="165" t="s">
        <v>1972</v>
      </c>
      <c r="E67" s="219"/>
      <c r="F67" s="220"/>
      <c r="G67" s="221"/>
      <c r="J67" s="6">
        <f t="shared" si="11"/>
        <v>0</v>
      </c>
      <c r="K67" s="130">
        <f>IF(LEN(E67)=0,0,1)</f>
        <v>0</v>
      </c>
      <c r="L67" s="126">
        <f>IF(A67="Hide",0,IF($J$7=1,E67,0))</f>
        <v>0</v>
      </c>
      <c r="M67" s="52" t="str">
        <f>formData!B57</f>
        <v>YOUR_DETAILS_OTHER_TRAVEL_DOCS_DATE_OF_EXPIRY</v>
      </c>
      <c r="N67" s="6">
        <f t="shared" si="5"/>
        <v>0</v>
      </c>
      <c r="O67" s="6">
        <f t="shared" si="6"/>
        <v>0</v>
      </c>
    </row>
    <row r="68" spans="1:15" s="6" customFormat="1" ht="19.5" hidden="1" customHeight="1">
      <c r="A68" s="108" t="str">
        <f t="shared" si="12"/>
        <v>HIDE</v>
      </c>
      <c r="B68" s="105"/>
      <c r="C68" s="74" t="s">
        <v>1912</v>
      </c>
      <c r="D68" s="23" t="s">
        <v>18</v>
      </c>
      <c r="E68" s="198"/>
      <c r="F68" s="199"/>
      <c r="G68" s="200"/>
      <c r="J68" s="6">
        <f t="shared" si="11"/>
        <v>0</v>
      </c>
      <c r="K68" s="130">
        <f>IF(LEN(E68)=0,0,1)</f>
        <v>0</v>
      </c>
      <c r="L68" s="126">
        <f>IF(A68="Hide",0,IF($J$7=1,E68,0))</f>
        <v>0</v>
      </c>
      <c r="M68" s="52" t="str">
        <f>formData!B58</f>
        <v>YOUR_DETAILS_OTHER_TRAVEL_DOCS_PLACE_OF_ISSUE</v>
      </c>
      <c r="N68" s="6">
        <f t="shared" si="5"/>
        <v>0</v>
      </c>
      <c r="O68" s="6">
        <f t="shared" si="6"/>
        <v>0</v>
      </c>
    </row>
    <row r="69" spans="1:15" s="6" customFormat="1" ht="20.100000000000001" customHeight="1">
      <c r="A69" s="105"/>
      <c r="B69" s="105"/>
      <c r="D69" s="9"/>
      <c r="E69" s="2"/>
      <c r="N69" s="6">
        <f t="shared" si="5"/>
        <v>0</v>
      </c>
      <c r="O69" s="6">
        <f t="shared" si="6"/>
        <v>0</v>
      </c>
    </row>
    <row r="70" spans="1:15" ht="24.95" customHeight="1">
      <c r="A70" s="104"/>
      <c r="B70" s="104">
        <v>3</v>
      </c>
      <c r="C70" s="74"/>
      <c r="D70" s="253" t="s">
        <v>7</v>
      </c>
      <c r="E70" s="254"/>
      <c r="F70" s="254"/>
      <c r="G70" s="255"/>
      <c r="N70" s="6">
        <f t="shared" si="5"/>
        <v>0</v>
      </c>
      <c r="O70" s="6">
        <f t="shared" si="6"/>
        <v>0</v>
      </c>
    </row>
    <row r="71" spans="1:15" s="6" customFormat="1" ht="20.100000000000001" customHeight="1">
      <c r="A71" s="105"/>
      <c r="B71" s="105">
        <v>2</v>
      </c>
      <c r="C71" s="74" t="s">
        <v>1912</v>
      </c>
      <c r="D71" s="7" t="s">
        <v>37</v>
      </c>
      <c r="E71" s="240"/>
      <c r="F71" s="241"/>
      <c r="G71" s="242"/>
      <c r="H71" s="57"/>
      <c r="J71" s="6">
        <f t="shared" ref="J71:J76" si="13">IF($C71="*",IF($A71="Hide",0,$J$7),0)</f>
        <v>1</v>
      </c>
      <c r="K71" s="129">
        <f>IF(B71=1,0,1)</f>
        <v>1</v>
      </c>
      <c r="L71" s="127">
        <f>IF(A71="Hide",1,IF($J$7=1,B71,1))</f>
        <v>2</v>
      </c>
      <c r="M71" s="52" t="str">
        <f>formData!B59</f>
        <v>YOUR_DETAILS_OTHER_IDENTITY_DOCS_HAVE_OTHER_ID</v>
      </c>
      <c r="N71" s="6">
        <f t="shared" si="5"/>
        <v>1</v>
      </c>
      <c r="O71" s="6">
        <f t="shared" si="6"/>
        <v>1</v>
      </c>
    </row>
    <row r="72" spans="1:15" s="6" customFormat="1" ht="19.5" customHeight="1">
      <c r="A72" s="108" t="str">
        <f>IF($B$71=2,"Show","HIDE")</f>
        <v>Show</v>
      </c>
      <c r="B72" s="105"/>
      <c r="C72" s="74" t="s">
        <v>1912</v>
      </c>
      <c r="D72" s="7" t="s">
        <v>12</v>
      </c>
      <c r="E72" s="198" t="s">
        <v>2090</v>
      </c>
      <c r="F72" s="199"/>
      <c r="G72" s="200"/>
      <c r="H72" s="57"/>
      <c r="J72" s="6">
        <f t="shared" si="13"/>
        <v>1</v>
      </c>
      <c r="K72" s="130">
        <f>IF(LEN(E72)=0,0,1)</f>
        <v>1</v>
      </c>
      <c r="L72" s="126" t="str">
        <f>IF(A72="Hide",0,IF($J$7=1,E72,0))</f>
        <v>Anand</v>
      </c>
      <c r="M72" s="52" t="str">
        <f>formData!B60</f>
        <v>YOUR_DETAILS_OTHER_IDENTITY_DOCS_FAMILY_NAME</v>
      </c>
      <c r="N72" s="6">
        <f t="shared" si="5"/>
        <v>1</v>
      </c>
      <c r="O72" s="6">
        <f t="shared" si="6"/>
        <v>1</v>
      </c>
    </row>
    <row r="73" spans="1:15" s="6" customFormat="1" ht="19.5" customHeight="1">
      <c r="A73" s="108" t="str">
        <f>IF($B$71=2,"Show","HIDE")</f>
        <v>Show</v>
      </c>
      <c r="B73" s="105"/>
      <c r="C73" s="74" t="s">
        <v>1912</v>
      </c>
      <c r="D73" s="7" t="s">
        <v>13</v>
      </c>
      <c r="E73" s="198" t="s">
        <v>2091</v>
      </c>
      <c r="F73" s="199"/>
      <c r="G73" s="200"/>
      <c r="H73" s="57"/>
      <c r="J73" s="6">
        <f t="shared" si="13"/>
        <v>1</v>
      </c>
      <c r="K73" s="130">
        <f>IF(LEN(E73)=0,0,1)</f>
        <v>1</v>
      </c>
      <c r="L73" s="126" t="str">
        <f>IF(A73="Hide",0,IF($J$7=1,E73,0))</f>
        <v>Animesh</v>
      </c>
      <c r="M73" s="52" t="str">
        <f>formData!B61</f>
        <v>YOUR_DETAILS_OTHER_IDENTITY_DOCS_GIVEN_NAMES</v>
      </c>
      <c r="N73" s="6">
        <f t="shared" si="5"/>
        <v>1</v>
      </c>
      <c r="O73" s="6">
        <f t="shared" si="6"/>
        <v>1</v>
      </c>
    </row>
    <row r="74" spans="1:15" s="6" customFormat="1" ht="19.5" customHeight="1">
      <c r="A74" s="108" t="str">
        <f>IF($B$71=2,"Show","HIDE")</f>
        <v>Show</v>
      </c>
      <c r="B74" s="105">
        <v>5</v>
      </c>
      <c r="C74" s="74" t="s">
        <v>1912</v>
      </c>
      <c r="D74" s="7" t="s">
        <v>34</v>
      </c>
      <c r="E74" s="240"/>
      <c r="F74" s="241"/>
      <c r="G74" s="242"/>
      <c r="H74" s="57"/>
      <c r="J74" s="6">
        <f t="shared" si="13"/>
        <v>1</v>
      </c>
      <c r="K74" s="129">
        <f>IF(B74=1,0,1)</f>
        <v>1</v>
      </c>
      <c r="L74" s="127">
        <f>IF(A74="Hide",1,IF($J$7=1,B74,1))</f>
        <v>5</v>
      </c>
      <c r="M74" s="52" t="str">
        <f>formData!B62</f>
        <v>YOUR_DETAILS_OTHER_IDENTITY_DOCS_TYPE_OF_DOCUMENT</v>
      </c>
      <c r="N74" s="6">
        <f t="shared" si="5"/>
        <v>1</v>
      </c>
      <c r="O74" s="6">
        <f t="shared" si="6"/>
        <v>1</v>
      </c>
    </row>
    <row r="75" spans="1:15" s="6" customFormat="1" ht="19.5" customHeight="1">
      <c r="A75" s="108" t="str">
        <f>IF($B$71=2,"Show","HIDE")</f>
        <v>Show</v>
      </c>
      <c r="B75" s="105"/>
      <c r="C75" s="74" t="s">
        <v>1912</v>
      </c>
      <c r="D75" s="7" t="s">
        <v>22</v>
      </c>
      <c r="E75" s="234" t="s">
        <v>2098</v>
      </c>
      <c r="F75" s="235"/>
      <c r="G75" s="236"/>
      <c r="H75" s="57"/>
      <c r="J75" s="6">
        <f t="shared" si="13"/>
        <v>1</v>
      </c>
      <c r="K75" s="130">
        <f>IF(LEN(E75)=0,0,1)</f>
        <v>1</v>
      </c>
      <c r="L75" s="126" t="str">
        <f>IF(A75="Hide",0,IF($J$7=1,E75,0))</f>
        <v>AVNPA3106F</v>
      </c>
      <c r="M75" s="52" t="str">
        <f>formData!B63</f>
        <v>YOUR_DETAILS_OTHER_IDENTITY_DOCS_IDENTIFICATION NUMBER</v>
      </c>
      <c r="N75" s="6">
        <f t="shared" si="5"/>
        <v>1</v>
      </c>
      <c r="O75" s="6">
        <f t="shared" si="6"/>
        <v>1</v>
      </c>
    </row>
    <row r="76" spans="1:15" s="6" customFormat="1" ht="19.5" customHeight="1">
      <c r="A76" s="108" t="str">
        <f>IF($B$71=2,"Show","HIDE")</f>
        <v>Show</v>
      </c>
      <c r="B76" s="105">
        <v>104</v>
      </c>
      <c r="C76" s="74" t="s">
        <v>1912</v>
      </c>
      <c r="D76" s="7" t="s">
        <v>23</v>
      </c>
      <c r="E76" s="237"/>
      <c r="F76" s="238"/>
      <c r="G76" s="239"/>
      <c r="H76" s="57"/>
      <c r="J76" s="6">
        <f t="shared" si="13"/>
        <v>1</v>
      </c>
      <c r="K76" s="129">
        <f>IF(B76=1,0,1)</f>
        <v>1</v>
      </c>
      <c r="L76" s="127">
        <f>IF(A76="Hide",1,IF($J$7=1,B76,1))</f>
        <v>104</v>
      </c>
      <c r="M76" s="52" t="str">
        <f>formData!B64</f>
        <v>YOUR_DETAILS_OTHER_IDENTITY_DOCS_COUNTRY_OF_ISSUE</v>
      </c>
      <c r="N76" s="6">
        <f t="shared" si="5"/>
        <v>1</v>
      </c>
      <c r="O76" s="6">
        <f t="shared" si="6"/>
        <v>1</v>
      </c>
    </row>
    <row r="77" spans="1:15">
      <c r="B77" s="104"/>
    </row>
  </sheetData>
  <sheetProtection algorithmName="SHA-512" hashValue="0OSX1KdZO86HbIiRsiZ07u+EUVrOzOH9akByCq3buWGIGfhqZ6TEM7Pd5eDeWSimwvMUctRW51ZunK/o4VrWNg==" saltValue="pwlvZ60XgaSSX7eQzEGCqg==" spinCount="100000" sheet="1" objects="1" scenarios="1"/>
  <dataConsolidate/>
  <mergeCells count="65">
    <mergeCell ref="D49:G49"/>
    <mergeCell ref="E24:G24"/>
    <mergeCell ref="D4:G4"/>
    <mergeCell ref="D6:G6"/>
    <mergeCell ref="E7:G7"/>
    <mergeCell ref="E8:G8"/>
    <mergeCell ref="E9:G9"/>
    <mergeCell ref="E10:G10"/>
    <mergeCell ref="E11:G11"/>
    <mergeCell ref="E12:G12"/>
    <mergeCell ref="E13:G13"/>
    <mergeCell ref="E14:G14"/>
    <mergeCell ref="E15:G15"/>
    <mergeCell ref="E17:G17"/>
    <mergeCell ref="E25:G25"/>
    <mergeCell ref="E26:G26"/>
    <mergeCell ref="E27:G27"/>
    <mergeCell ref="E28:G28"/>
    <mergeCell ref="E21:G21"/>
    <mergeCell ref="D34:G34"/>
    <mergeCell ref="E29:G29"/>
    <mergeCell ref="E30:G30"/>
    <mergeCell ref="E35:G35"/>
    <mergeCell ref="E36:G36"/>
    <mergeCell ref="E37:G37"/>
    <mergeCell ref="E40:G40"/>
    <mergeCell ref="E41:G41"/>
    <mergeCell ref="E71:G71"/>
    <mergeCell ref="D51:G51"/>
    <mergeCell ref="D56:G56"/>
    <mergeCell ref="E52:G52"/>
    <mergeCell ref="E53:G53"/>
    <mergeCell ref="D70:G70"/>
    <mergeCell ref="D2:G2"/>
    <mergeCell ref="E67:G67"/>
    <mergeCell ref="E68:G68"/>
    <mergeCell ref="D31:G31"/>
    <mergeCell ref="D32:G32"/>
    <mergeCell ref="E16:G16"/>
    <mergeCell ref="E44:G44"/>
    <mergeCell ref="E45:G45"/>
    <mergeCell ref="E46:G46"/>
    <mergeCell ref="E47:G47"/>
    <mergeCell ref="E20:G20"/>
    <mergeCell ref="D48:G48"/>
    <mergeCell ref="D19:G19"/>
    <mergeCell ref="D23:G23"/>
    <mergeCell ref="D39:G39"/>
    <mergeCell ref="D43:G43"/>
    <mergeCell ref="E75:G75"/>
    <mergeCell ref="E76:G76"/>
    <mergeCell ref="E73:G73"/>
    <mergeCell ref="E74:G74"/>
    <mergeCell ref="E54:G54"/>
    <mergeCell ref="E57:G57"/>
    <mergeCell ref="E58:G58"/>
    <mergeCell ref="E59:G59"/>
    <mergeCell ref="E60:G60"/>
    <mergeCell ref="E72:G72"/>
    <mergeCell ref="E61:G61"/>
    <mergeCell ref="E62:G62"/>
    <mergeCell ref="E63:G63"/>
    <mergeCell ref="E64:G64"/>
    <mergeCell ref="E65:G65"/>
    <mergeCell ref="E66:G66"/>
  </mergeCells>
  <dataValidations count="5">
    <dataValidation type="date" allowBlank="1" showInputMessage="1" showErrorMessage="1" errorTitle="Date of expiry" error="Please enter a valid date" sqref="E67:G67 E30:G30 E15:G15" xr:uid="{00000000-0002-0000-0700-000000000000}">
      <formula1>1</formula1>
      <formula2>54789</formula2>
    </dataValidation>
    <dataValidation type="date" allowBlank="1" showInputMessage="1" showErrorMessage="1" errorTitle="Date of issue" error="Please enter a valid date" sqref="E29:G29 E66:G66 E14:G14" xr:uid="{00000000-0002-0000-0700-000001000000}">
      <formula1>1</formula1>
      <formula2>54789</formula2>
    </dataValidation>
    <dataValidation type="date" allowBlank="1" showInputMessage="1" showErrorMessage="1" errorTitle="Date" error="Please enter a valid date" sqref="E41:G41" xr:uid="{00000000-0002-0000-0700-000002000000}">
      <formula1>1</formula1>
      <formula2>54789</formula2>
    </dataValidation>
    <dataValidation type="date" allowBlank="1" showInputMessage="1" showErrorMessage="1" errorTitle="Date of birth" error="Please enter a valid date" sqref="E62:G62 E10:G10" xr:uid="{00000000-0002-0000-0700-000003000000}">
      <formula1>1</formula1>
      <formula2>54789</formula2>
    </dataValidation>
    <dataValidation type="textLength" operator="lessThanOrEqual" allowBlank="1" showInputMessage="1" showErrorMessage="1" errorTitle="Give Details" error="The maximum length of text that you can enter is 300 characters" sqref="D49:G49 D32:G32" xr:uid="{00000000-0002-0000-0700-000004000000}">
      <formula1>300</formula1>
    </dataValidation>
  </dataValidations>
  <hyperlinks>
    <hyperlink ref="G3" location="yourDetails!G3" display="SAVE" xr:uid="{00000000-0004-0000-0700-000000000000}"/>
    <hyperlink ref="D3" location="index!C1" display="INDEX" xr:uid="{00000000-0004-0000-0700-000001000000}"/>
  </hyperlinks>
  <pageMargins left="0.7" right="0.7" top="0.75" bottom="0.75" header="0.3" footer="0.3"/>
  <pageSetup paperSize="9" scale="8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Drop Down 1">
              <controlPr locked="0" defaultSize="0" autoLine="0" autoPict="0">
                <anchor moveWithCells="1">
                  <from>
                    <xdr:col>4</xdr:col>
                    <xdr:colOff>0</xdr:colOff>
                    <xdr:row>8</xdr:row>
                    <xdr:rowOff>0</xdr:rowOff>
                  </from>
                  <to>
                    <xdr:col>7</xdr:col>
                    <xdr:colOff>0</xdr:colOff>
                    <xdr:row>9</xdr:row>
                    <xdr:rowOff>0</xdr:rowOff>
                  </to>
                </anchor>
              </controlPr>
            </control>
          </mc:Choice>
        </mc:AlternateContent>
        <mc:AlternateContent xmlns:mc="http://schemas.openxmlformats.org/markup-compatibility/2006">
          <mc:Choice Requires="x14">
            <control shapeId="5122" r:id="rId5" name="Drop Down 2">
              <controlPr locked="0" defaultSize="0" autoLine="0" autoPict="0" macro="[0]!DropDownYourDetailsChinaPlaceofIssue_Change">
                <anchor moveWithCells="1">
                  <from>
                    <xdr:col>4</xdr:col>
                    <xdr:colOff>0</xdr:colOff>
                    <xdr:row>11</xdr:row>
                    <xdr:rowOff>0</xdr:rowOff>
                  </from>
                  <to>
                    <xdr:col>7</xdr:col>
                    <xdr:colOff>0</xdr:colOff>
                    <xdr:row>12</xdr:row>
                    <xdr:rowOff>0</xdr:rowOff>
                  </to>
                </anchor>
              </controlPr>
            </control>
          </mc:Choice>
        </mc:AlternateContent>
        <mc:AlternateContent xmlns:mc="http://schemas.openxmlformats.org/markup-compatibility/2006">
          <mc:Choice Requires="x14">
            <control shapeId="5123" r:id="rId6" name="Drop Down 3">
              <controlPr locked="0" defaultSize="0" autoLine="0" autoPict="0">
                <anchor moveWithCells="1">
                  <from>
                    <xdr:col>4</xdr:col>
                    <xdr:colOff>0</xdr:colOff>
                    <xdr:row>12</xdr:row>
                    <xdr:rowOff>0</xdr:rowOff>
                  </from>
                  <to>
                    <xdr:col>7</xdr:col>
                    <xdr:colOff>0</xdr:colOff>
                    <xdr:row>13</xdr:row>
                    <xdr:rowOff>0</xdr:rowOff>
                  </to>
                </anchor>
              </controlPr>
            </control>
          </mc:Choice>
        </mc:AlternateContent>
        <mc:AlternateContent xmlns:mc="http://schemas.openxmlformats.org/markup-compatibility/2006">
          <mc:Choice Requires="x14">
            <control shapeId="5125" r:id="rId7" name="Drop Down 5">
              <controlPr locked="0" defaultSize="0" autoLine="0" autoPict="0" macro="[0]!DropDownAustralianVisaGrantNumber_Change">
                <anchor moveWithCells="1">
                  <from>
                    <xdr:col>4</xdr:col>
                    <xdr:colOff>0</xdr:colOff>
                    <xdr:row>19</xdr:row>
                    <xdr:rowOff>76200</xdr:rowOff>
                  </from>
                  <to>
                    <xdr:col>7</xdr:col>
                    <xdr:colOff>0</xdr:colOff>
                    <xdr:row>19</xdr:row>
                    <xdr:rowOff>333375</xdr:rowOff>
                  </to>
                </anchor>
              </controlPr>
            </control>
          </mc:Choice>
        </mc:AlternateContent>
        <mc:AlternateContent xmlns:mc="http://schemas.openxmlformats.org/markup-compatibility/2006">
          <mc:Choice Requires="x14">
            <control shapeId="5127" r:id="rId8" name="Drop Down 7">
              <controlPr locked="0" defaultSize="0" autoLine="0" autoPict="0" macro="[0]!DropDownNationalIdCard_Change">
                <anchor moveWithCells="1">
                  <from>
                    <xdr:col>4</xdr:col>
                    <xdr:colOff>0</xdr:colOff>
                    <xdr:row>23</xdr:row>
                    <xdr:rowOff>0</xdr:rowOff>
                  </from>
                  <to>
                    <xdr:col>7</xdr:col>
                    <xdr:colOff>0</xdr:colOff>
                    <xdr:row>24</xdr:row>
                    <xdr:rowOff>0</xdr:rowOff>
                  </to>
                </anchor>
              </controlPr>
            </control>
          </mc:Choice>
        </mc:AlternateContent>
        <mc:AlternateContent xmlns:mc="http://schemas.openxmlformats.org/markup-compatibility/2006">
          <mc:Choice Requires="x14">
            <control shapeId="5132" r:id="rId9" name="Drop Down 12">
              <controlPr locked="0" defaultSize="0" autoLine="0" autoPict="0">
                <anchor moveWithCells="1">
                  <from>
                    <xdr:col>4</xdr:col>
                    <xdr:colOff>0</xdr:colOff>
                    <xdr:row>36</xdr:row>
                    <xdr:rowOff>0</xdr:rowOff>
                  </from>
                  <to>
                    <xdr:col>7</xdr:col>
                    <xdr:colOff>0</xdr:colOff>
                    <xdr:row>37</xdr:row>
                    <xdr:rowOff>0</xdr:rowOff>
                  </to>
                </anchor>
              </controlPr>
            </control>
          </mc:Choice>
        </mc:AlternateContent>
        <mc:AlternateContent xmlns:mc="http://schemas.openxmlformats.org/markup-compatibility/2006">
          <mc:Choice Requires="x14">
            <control shapeId="5133" r:id="rId10" name="Drop Down 13">
              <controlPr locked="0" defaultSize="0" autoLine="0" autoPict="0">
                <anchor moveWithCells="1">
                  <from>
                    <xdr:col>4</xdr:col>
                    <xdr:colOff>0</xdr:colOff>
                    <xdr:row>39</xdr:row>
                    <xdr:rowOff>0</xdr:rowOff>
                  </from>
                  <to>
                    <xdr:col>7</xdr:col>
                    <xdr:colOff>0</xdr:colOff>
                    <xdr:row>40</xdr:row>
                    <xdr:rowOff>0</xdr:rowOff>
                  </to>
                </anchor>
              </controlPr>
            </control>
          </mc:Choice>
        </mc:AlternateContent>
        <mc:AlternateContent xmlns:mc="http://schemas.openxmlformats.org/markup-compatibility/2006">
          <mc:Choice Requires="x14">
            <control shapeId="5135" r:id="rId11" name="Drop Down 15">
              <controlPr locked="0" defaultSize="0" autoLine="0" autoPict="0" macro="[0]!YourDetails.DropDownOtherNames_Change">
                <anchor moveWithCells="1">
                  <from>
                    <xdr:col>4</xdr:col>
                    <xdr:colOff>0</xdr:colOff>
                    <xdr:row>43</xdr:row>
                    <xdr:rowOff>66675</xdr:rowOff>
                  </from>
                  <to>
                    <xdr:col>7</xdr:col>
                    <xdr:colOff>0</xdr:colOff>
                    <xdr:row>43</xdr:row>
                    <xdr:rowOff>314325</xdr:rowOff>
                  </to>
                </anchor>
              </controlPr>
            </control>
          </mc:Choice>
        </mc:AlternateContent>
        <mc:AlternateContent xmlns:mc="http://schemas.openxmlformats.org/markup-compatibility/2006">
          <mc:Choice Requires="x14">
            <control shapeId="5136" r:id="rId12" name="Drop Down 16">
              <controlPr locked="0" defaultSize="0" autoLine="0" autoPict="0">
                <anchor moveWithCells="1">
                  <from>
                    <xdr:col>3</xdr:col>
                    <xdr:colOff>2905125</xdr:colOff>
                    <xdr:row>46</xdr:row>
                    <xdr:rowOff>0</xdr:rowOff>
                  </from>
                  <to>
                    <xdr:col>7</xdr:col>
                    <xdr:colOff>0</xdr:colOff>
                    <xdr:row>50</xdr:row>
                    <xdr:rowOff>0</xdr:rowOff>
                  </to>
                </anchor>
              </controlPr>
            </control>
          </mc:Choice>
        </mc:AlternateContent>
        <mc:AlternateContent xmlns:mc="http://schemas.openxmlformats.org/markup-compatibility/2006">
          <mc:Choice Requires="x14">
            <control shapeId="5138" r:id="rId13" name="Drop Down 18">
              <controlPr locked="0" defaultSize="0" autoLine="0" autoPict="0" macro="[0]!DropDownOtherCitizenShip_Change">
                <anchor moveWithCells="1">
                  <from>
                    <xdr:col>4</xdr:col>
                    <xdr:colOff>0</xdr:colOff>
                    <xdr:row>52</xdr:row>
                    <xdr:rowOff>0</xdr:rowOff>
                  </from>
                  <to>
                    <xdr:col>7</xdr:col>
                    <xdr:colOff>0</xdr:colOff>
                    <xdr:row>53</xdr:row>
                    <xdr:rowOff>0</xdr:rowOff>
                  </to>
                </anchor>
              </controlPr>
            </control>
          </mc:Choice>
        </mc:AlternateContent>
        <mc:AlternateContent xmlns:mc="http://schemas.openxmlformats.org/markup-compatibility/2006">
          <mc:Choice Requires="x14">
            <control shapeId="5139" r:id="rId14" name="Drop Down 19">
              <controlPr defaultSize="0" autoLine="0" autoPict="0">
                <anchor moveWithCells="1">
                  <from>
                    <xdr:col>4</xdr:col>
                    <xdr:colOff>9525</xdr:colOff>
                    <xdr:row>53</xdr:row>
                    <xdr:rowOff>0</xdr:rowOff>
                  </from>
                  <to>
                    <xdr:col>4</xdr:col>
                    <xdr:colOff>1743075</xdr:colOff>
                    <xdr:row>55</xdr:row>
                    <xdr:rowOff>0</xdr:rowOff>
                  </to>
                </anchor>
              </controlPr>
            </control>
          </mc:Choice>
        </mc:AlternateContent>
        <mc:AlternateContent xmlns:mc="http://schemas.openxmlformats.org/markup-compatibility/2006">
          <mc:Choice Requires="x14">
            <control shapeId="5140" r:id="rId15" name="Drop Down 20">
              <controlPr defaultSize="0" autoLine="0" autoPict="0">
                <anchor moveWithCells="1">
                  <from>
                    <xdr:col>4</xdr:col>
                    <xdr:colOff>1857375</xdr:colOff>
                    <xdr:row>53</xdr:row>
                    <xdr:rowOff>0</xdr:rowOff>
                  </from>
                  <to>
                    <xdr:col>7</xdr:col>
                    <xdr:colOff>0</xdr:colOff>
                    <xdr:row>55</xdr:row>
                    <xdr:rowOff>0</xdr:rowOff>
                  </to>
                </anchor>
              </controlPr>
            </control>
          </mc:Choice>
        </mc:AlternateContent>
        <mc:AlternateContent xmlns:mc="http://schemas.openxmlformats.org/markup-compatibility/2006">
          <mc:Choice Requires="x14">
            <control shapeId="5141" r:id="rId16" name="Drop Down 21">
              <controlPr locked="0" defaultSize="0" autoLine="0" autoPict="0" macro="[0]!DropDownOtherPassportOrTravelDoc_Change">
                <anchor moveWithCells="1">
                  <from>
                    <xdr:col>4</xdr:col>
                    <xdr:colOff>0</xdr:colOff>
                    <xdr:row>56</xdr:row>
                    <xdr:rowOff>66675</xdr:rowOff>
                  </from>
                  <to>
                    <xdr:col>7</xdr:col>
                    <xdr:colOff>0</xdr:colOff>
                    <xdr:row>56</xdr:row>
                    <xdr:rowOff>314325</xdr:rowOff>
                  </to>
                </anchor>
              </controlPr>
            </control>
          </mc:Choice>
        </mc:AlternateContent>
        <mc:AlternateContent xmlns:mc="http://schemas.openxmlformats.org/markup-compatibility/2006">
          <mc:Choice Requires="x14">
            <control shapeId="5142" r:id="rId17" name="Drop Down 22">
              <controlPr locked="0" defaultSize="0" autoLine="0" autoPict="0">
                <anchor moveWithCells="1">
                  <from>
                    <xdr:col>4</xdr:col>
                    <xdr:colOff>0</xdr:colOff>
                    <xdr:row>57</xdr:row>
                    <xdr:rowOff>0</xdr:rowOff>
                  </from>
                  <to>
                    <xdr:col>7</xdr:col>
                    <xdr:colOff>9525</xdr:colOff>
                    <xdr:row>69</xdr:row>
                    <xdr:rowOff>0</xdr:rowOff>
                  </to>
                </anchor>
              </controlPr>
            </control>
          </mc:Choice>
        </mc:AlternateContent>
        <mc:AlternateContent xmlns:mc="http://schemas.openxmlformats.org/markup-compatibility/2006">
          <mc:Choice Requires="x14">
            <control shapeId="5143" r:id="rId18" name="Drop Down 23">
              <controlPr locked="0" defaultSize="0" autoLine="0" autoPict="0">
                <anchor moveWithCells="1">
                  <from>
                    <xdr:col>4</xdr:col>
                    <xdr:colOff>0</xdr:colOff>
                    <xdr:row>60</xdr:row>
                    <xdr:rowOff>0</xdr:rowOff>
                  </from>
                  <to>
                    <xdr:col>7</xdr:col>
                    <xdr:colOff>0</xdr:colOff>
                    <xdr:row>69</xdr:row>
                    <xdr:rowOff>0</xdr:rowOff>
                  </to>
                </anchor>
              </controlPr>
            </control>
          </mc:Choice>
        </mc:AlternateContent>
        <mc:AlternateContent xmlns:mc="http://schemas.openxmlformats.org/markup-compatibility/2006">
          <mc:Choice Requires="x14">
            <control shapeId="5145" r:id="rId19" name="Drop Down 25">
              <controlPr locked="0" defaultSize="0" autoLine="0" autoPict="0">
                <anchor moveWithCells="1">
                  <from>
                    <xdr:col>4</xdr:col>
                    <xdr:colOff>0</xdr:colOff>
                    <xdr:row>63</xdr:row>
                    <xdr:rowOff>0</xdr:rowOff>
                  </from>
                  <to>
                    <xdr:col>7</xdr:col>
                    <xdr:colOff>0</xdr:colOff>
                    <xdr:row>69</xdr:row>
                    <xdr:rowOff>0</xdr:rowOff>
                  </to>
                </anchor>
              </controlPr>
            </control>
          </mc:Choice>
        </mc:AlternateContent>
        <mc:AlternateContent xmlns:mc="http://schemas.openxmlformats.org/markup-compatibility/2006">
          <mc:Choice Requires="x14">
            <control shapeId="5147" r:id="rId20" name="Drop Down 27">
              <controlPr locked="0" defaultSize="0" autoLine="0" autoPict="0">
                <anchor moveWithCells="1">
                  <from>
                    <xdr:col>4</xdr:col>
                    <xdr:colOff>0</xdr:colOff>
                    <xdr:row>64</xdr:row>
                    <xdr:rowOff>0</xdr:rowOff>
                  </from>
                  <to>
                    <xdr:col>7</xdr:col>
                    <xdr:colOff>0</xdr:colOff>
                    <xdr:row>69</xdr:row>
                    <xdr:rowOff>0</xdr:rowOff>
                  </to>
                </anchor>
              </controlPr>
            </control>
          </mc:Choice>
        </mc:AlternateContent>
        <mc:AlternateContent xmlns:mc="http://schemas.openxmlformats.org/markup-compatibility/2006">
          <mc:Choice Requires="x14">
            <control shapeId="5148" r:id="rId21" name="Drop Down 28">
              <controlPr locked="0" defaultSize="0" autoLine="0" autoPict="0">
                <anchor moveWithCells="1">
                  <from>
                    <xdr:col>4</xdr:col>
                    <xdr:colOff>0</xdr:colOff>
                    <xdr:row>73</xdr:row>
                    <xdr:rowOff>0</xdr:rowOff>
                  </from>
                  <to>
                    <xdr:col>7</xdr:col>
                    <xdr:colOff>0</xdr:colOff>
                    <xdr:row>74</xdr:row>
                    <xdr:rowOff>0</xdr:rowOff>
                  </to>
                </anchor>
              </controlPr>
            </control>
          </mc:Choice>
        </mc:AlternateContent>
        <mc:AlternateContent xmlns:mc="http://schemas.openxmlformats.org/markup-compatibility/2006">
          <mc:Choice Requires="x14">
            <control shapeId="5150" r:id="rId22" name="Drop Down 30">
              <controlPr locked="0" defaultSize="0" autoLine="0" autoPict="0" macro="[0]!DropDownOtherIdentityDoc_Change">
                <anchor moveWithCells="1">
                  <from>
                    <xdr:col>4</xdr:col>
                    <xdr:colOff>0</xdr:colOff>
                    <xdr:row>70</xdr:row>
                    <xdr:rowOff>0</xdr:rowOff>
                  </from>
                  <to>
                    <xdr:col>7</xdr:col>
                    <xdr:colOff>0</xdr:colOff>
                    <xdr:row>71</xdr:row>
                    <xdr:rowOff>0</xdr:rowOff>
                  </to>
                </anchor>
              </controlPr>
            </control>
          </mc:Choice>
        </mc:AlternateContent>
        <mc:AlternateContent xmlns:mc="http://schemas.openxmlformats.org/markup-compatibility/2006">
          <mc:Choice Requires="x14">
            <control shapeId="5151" r:id="rId23" name="Drop Down 31">
              <controlPr locked="0" defaultSize="0" autoLine="0" autoPict="0">
                <anchor moveWithCells="1">
                  <from>
                    <xdr:col>4</xdr:col>
                    <xdr:colOff>0</xdr:colOff>
                    <xdr:row>75</xdr:row>
                    <xdr:rowOff>0</xdr:rowOff>
                  </from>
                  <to>
                    <xdr:col>7</xdr:col>
                    <xdr:colOff>0</xdr:colOff>
                    <xdr:row>76</xdr:row>
                    <xdr:rowOff>0</xdr:rowOff>
                  </to>
                </anchor>
              </controlPr>
            </control>
          </mc:Choice>
        </mc:AlternateContent>
        <mc:AlternateContent xmlns:mc="http://schemas.openxmlformats.org/markup-compatibility/2006">
          <mc:Choice Requires="x14">
            <control shapeId="5131" r:id="rId24" name="Drop Down 11">
              <controlPr locked="0" defaultSize="0" autoLine="0" autoPict="0">
                <anchor moveWithCells="1">
                  <from>
                    <xdr:col>4</xdr:col>
                    <xdr:colOff>0</xdr:colOff>
                    <xdr:row>27</xdr:row>
                    <xdr:rowOff>0</xdr:rowOff>
                  </from>
                  <to>
                    <xdr:col>7</xdr:col>
                    <xdr:colOff>0</xdr:colOff>
                    <xdr:row>28</xdr:row>
                    <xdr:rowOff>0</xdr:rowOff>
                  </to>
                </anchor>
              </controlPr>
            </control>
          </mc:Choice>
        </mc:AlternateContent>
        <mc:AlternateContent xmlns:mc="http://schemas.openxmlformats.org/markup-compatibility/2006">
          <mc:Choice Requires="x14">
            <control shapeId="5152" r:id="rId25" name="Drop Down 32">
              <controlPr locked="0" defaultSize="0" autoLine="0" autoPict="0">
                <anchor moveWithCells="1">
                  <from>
                    <xdr:col>4</xdr:col>
                    <xdr:colOff>0</xdr:colOff>
                    <xdr:row>51</xdr:row>
                    <xdr:rowOff>76200</xdr:rowOff>
                  </from>
                  <to>
                    <xdr:col>7</xdr:col>
                    <xdr:colOff>0</xdr:colOff>
                    <xdr:row>51</xdr:row>
                    <xdr:rowOff>333375</xdr:rowOff>
                  </to>
                </anchor>
              </controlPr>
            </control>
          </mc:Choice>
        </mc:AlternateContent>
        <mc:AlternateContent xmlns:mc="http://schemas.openxmlformats.org/markup-compatibility/2006">
          <mc:Choice Requires="x14">
            <control shapeId="5153" r:id="rId26" name="Drop Down 33">
              <controlPr locked="0" defaultSize="0" autoLine="0" autoPict="0">
                <anchor moveWithCells="1">
                  <from>
                    <xdr:col>4</xdr:col>
                    <xdr:colOff>0</xdr:colOff>
                    <xdr:row>15</xdr:row>
                    <xdr:rowOff>0</xdr:rowOff>
                  </from>
                  <to>
                    <xdr:col>7</xdr:col>
                    <xdr:colOff>0</xdr:colOff>
                    <xdr:row>17</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theme="8" tint="0.59999389629810485"/>
    <pageSetUpPr fitToPage="1"/>
  </sheetPr>
  <dimension ref="A1:O80"/>
  <sheetViews>
    <sheetView showGridLines="0" showRowColHeaders="0" topLeftCell="C1" workbookViewId="0">
      <selection activeCell="D3" sqref="D3"/>
    </sheetView>
  </sheetViews>
  <sheetFormatPr defaultColWidth="9.33203125" defaultRowHeight="12.75"/>
  <cols>
    <col min="1" max="2" width="10.83203125" style="4" hidden="1" customWidth="1"/>
    <col min="3" max="3" width="3.83203125" style="4" customWidth="1"/>
    <col min="4" max="4" width="50.83203125" style="4" customWidth="1"/>
    <col min="5" max="5" width="40.83203125" style="4" customWidth="1"/>
    <col min="6" max="7" width="10.83203125" style="4" customWidth="1"/>
    <col min="8" max="8" width="3.83203125" style="4" customWidth="1"/>
    <col min="9" max="9" width="9.33203125" style="4" customWidth="1"/>
    <col min="10" max="12" width="9.33203125" style="4" hidden="1" customWidth="1"/>
    <col min="13" max="13" width="82.6640625" style="4" hidden="1" customWidth="1"/>
    <col min="14" max="15" width="9.33203125" style="4" hidden="1" customWidth="1"/>
    <col min="16" max="16" width="9.33203125" style="4" customWidth="1"/>
    <col min="17" max="16384" width="9.33203125" style="4"/>
  </cols>
  <sheetData>
    <row r="1" spans="1:15" ht="39.950000000000003" customHeight="1">
      <c r="B1" s="104"/>
      <c r="J1" s="4" t="s">
        <v>1960</v>
      </c>
      <c r="K1" s="4" t="s">
        <v>1960</v>
      </c>
      <c r="L1" s="4" t="s">
        <v>1960</v>
      </c>
      <c r="M1" s="4" t="s">
        <v>1960</v>
      </c>
      <c r="N1" s="4" t="s">
        <v>1960</v>
      </c>
      <c r="O1" s="4" t="s">
        <v>1960</v>
      </c>
    </row>
    <row r="2" spans="1:15" s="79" customFormat="1" ht="39.950000000000003" customHeight="1">
      <c r="B2" s="161"/>
      <c r="D2" s="212" t="s">
        <v>8</v>
      </c>
      <c r="E2" s="212"/>
      <c r="F2" s="212"/>
      <c r="G2" s="212"/>
      <c r="J2" s="79" t="s">
        <v>1965</v>
      </c>
    </row>
    <row r="3" spans="1:15" ht="30" customHeight="1">
      <c r="B3" s="104"/>
      <c r="C3" s="79"/>
      <c r="D3" s="120" t="s">
        <v>40</v>
      </c>
      <c r="F3" s="88"/>
      <c r="G3" s="88" t="s">
        <v>1224</v>
      </c>
      <c r="H3" s="79"/>
      <c r="J3" s="4" t="s">
        <v>1961</v>
      </c>
      <c r="K3" s="4" t="s">
        <v>1962</v>
      </c>
      <c r="L3" s="4" t="s">
        <v>1963</v>
      </c>
      <c r="M3" s="4" t="s">
        <v>1964</v>
      </c>
    </row>
    <row r="4" spans="1:15" ht="30" customHeight="1">
      <c r="A4" s="104"/>
      <c r="B4" s="104"/>
      <c r="C4" s="68"/>
      <c r="D4" s="184" t="s">
        <v>43</v>
      </c>
      <c r="E4" s="184"/>
      <c r="F4" s="184"/>
      <c r="G4" s="184"/>
      <c r="H4" s="68"/>
      <c r="K4" s="125">
        <f>IF(N4=O4,1,0)</f>
        <v>1</v>
      </c>
      <c r="N4" s="4">
        <f>SUM(N7:N103)</f>
        <v>0</v>
      </c>
      <c r="O4" s="4">
        <f>SUM(O7:O103)</f>
        <v>0</v>
      </c>
    </row>
    <row r="5" spans="1:15" ht="18">
      <c r="A5" s="104"/>
      <c r="B5" s="104"/>
      <c r="D5" s="5"/>
      <c r="E5" s="5"/>
    </row>
    <row r="6" spans="1:15" ht="24.95" customHeight="1">
      <c r="A6" s="104"/>
      <c r="B6" s="104"/>
      <c r="C6" s="74"/>
      <c r="D6" s="256" t="s">
        <v>44</v>
      </c>
      <c r="E6" s="254"/>
      <c r="F6" s="254"/>
      <c r="G6" s="255"/>
      <c r="M6" s="52" t="str">
        <f>formData!B65</f>
        <v>YOUR_PARTNER_CURRENT_LOCATION_PARTNER_MIGRATING</v>
      </c>
    </row>
    <row r="7" spans="1:15" s="6" customFormat="1" ht="20.100000000000001" customHeight="1">
      <c r="A7" s="105"/>
      <c r="B7" s="105">
        <v>1</v>
      </c>
      <c r="C7" s="74" t="s">
        <v>1912</v>
      </c>
      <c r="D7" s="7" t="s">
        <v>57</v>
      </c>
      <c r="E7" s="274"/>
      <c r="F7" s="275"/>
      <c r="G7" s="276"/>
      <c r="J7" s="6">
        <f>IF(applicantDetails!B13=2,1,0)</f>
        <v>0</v>
      </c>
      <c r="K7" s="129">
        <f>IF(B7=1,0,1)</f>
        <v>0</v>
      </c>
      <c r="L7" s="127">
        <f>IF(A7="Hide",1,IF($J$7=1,B7,1))</f>
        <v>1</v>
      </c>
      <c r="M7" s="52" t="str">
        <f>formData!B66</f>
        <v>YOUR_PARTNER_CURRENT_LOCATION_COUNTRY</v>
      </c>
      <c r="N7" s="6">
        <f>IF(J7=1,1,0)</f>
        <v>0</v>
      </c>
      <c r="O7" s="6">
        <f>+J7*K7</f>
        <v>0</v>
      </c>
    </row>
    <row r="8" spans="1:15" s="6" customFormat="1" ht="20.100000000000001" customHeight="1">
      <c r="A8" s="105"/>
      <c r="B8" s="105">
        <v>1</v>
      </c>
      <c r="C8" s="74" t="s">
        <v>1912</v>
      </c>
      <c r="D8" s="8" t="s">
        <v>58</v>
      </c>
      <c r="E8" s="277"/>
      <c r="F8" s="275"/>
      <c r="G8" s="276"/>
      <c r="J8" s="6">
        <f t="shared" ref="J8" si="0">IF($C8="*",IF($A8="Hide",0,$J$7),0)</f>
        <v>0</v>
      </c>
      <c r="K8" s="129">
        <f>IF(B8=1,0,1)</f>
        <v>0</v>
      </c>
      <c r="L8" s="127">
        <f>IF(A8="Hide",1,IF($J$7=1,B8,1))</f>
        <v>1</v>
      </c>
      <c r="M8" s="52" t="str">
        <f>formData!B67</f>
        <v>YOUR_PARTNER_CURRENT_LOCATION_LEGAL_STATUS</v>
      </c>
      <c r="N8" s="6">
        <f>IF(J8=1,1,0)</f>
        <v>0</v>
      </c>
      <c r="O8" s="6">
        <f>+J8*K8</f>
        <v>0</v>
      </c>
    </row>
    <row r="9" spans="1:15" s="6" customFormat="1" ht="25.5" customHeight="1">
      <c r="A9" s="105"/>
      <c r="B9" s="105"/>
      <c r="D9" s="273" t="s">
        <v>59</v>
      </c>
      <c r="E9" s="245"/>
      <c r="F9" s="245"/>
      <c r="G9" s="246"/>
      <c r="K9" s="4"/>
      <c r="L9" s="4"/>
      <c r="N9" s="6">
        <f>IF(J9=1,1,0)</f>
        <v>0</v>
      </c>
      <c r="O9" s="6">
        <f>+J9*K9</f>
        <v>0</v>
      </c>
    </row>
    <row r="10" spans="1:15" s="6" customFormat="1" ht="57" customHeight="1">
      <c r="A10" s="105"/>
      <c r="B10" s="105"/>
      <c r="D10" s="258"/>
      <c r="E10" s="259"/>
      <c r="F10" s="259"/>
      <c r="G10" s="260"/>
      <c r="J10" s="157">
        <f t="shared" ref="J10" si="1">IF($C10="*",IF($A10="Hide",0,$J$7),0)</f>
        <v>0</v>
      </c>
      <c r="K10" s="158">
        <f>IF(LEN(D10)=0,0,1)</f>
        <v>0</v>
      </c>
      <c r="L10" s="157">
        <f>IF(A10="Hide",0,IF($J$7=1,D10,0))</f>
        <v>0</v>
      </c>
      <c r="M10" s="52" t="str">
        <f>formData!B68</f>
        <v>YOUR_PARTNER_CURRENT_LOCATION_GIVE_DETAILS</v>
      </c>
      <c r="N10" s="6">
        <f>IF(J10=1,1,0)</f>
        <v>0</v>
      </c>
      <c r="O10" s="6">
        <f>+J10*K10</f>
        <v>0</v>
      </c>
    </row>
    <row r="11" spans="1:15" s="6" customFormat="1" ht="20.100000000000001" customHeight="1">
      <c r="A11" s="105"/>
      <c r="B11" s="105"/>
      <c r="D11" s="9"/>
      <c r="E11" s="2"/>
      <c r="N11" s="6">
        <f t="shared" ref="N11:N77" si="2">IF(J11=1,1,0)</f>
        <v>0</v>
      </c>
      <c r="O11" s="6">
        <f t="shared" ref="O11:O77" si="3">+J11*K11</f>
        <v>0</v>
      </c>
    </row>
    <row r="12" spans="1:15" ht="24.95" customHeight="1">
      <c r="A12" s="104"/>
      <c r="B12" s="104"/>
      <c r="C12" s="74"/>
      <c r="D12" s="256" t="s">
        <v>46</v>
      </c>
      <c r="E12" s="254"/>
      <c r="F12" s="254"/>
      <c r="G12" s="255"/>
      <c r="N12" s="6">
        <f t="shared" si="2"/>
        <v>0</v>
      </c>
      <c r="O12" s="6">
        <f t="shared" si="3"/>
        <v>0</v>
      </c>
    </row>
    <row r="13" spans="1:15" s="6" customFormat="1" ht="20.100000000000001" customHeight="1">
      <c r="A13" s="105"/>
      <c r="B13" s="105"/>
      <c r="C13" s="74" t="s">
        <v>1912</v>
      </c>
      <c r="D13" s="7" t="s">
        <v>12</v>
      </c>
      <c r="E13" s="278">
        <f>applicantDetails!E14</f>
        <v>0</v>
      </c>
      <c r="F13" s="279"/>
      <c r="G13" s="280"/>
      <c r="J13" s="6">
        <f t="shared" ref="J13:J19" si="4">IF($C13="*",IF($A13="Hide",0,$J$7),0)</f>
        <v>0</v>
      </c>
      <c r="K13" s="130">
        <f>IF(LEN(E13)=0,0,1)</f>
        <v>1</v>
      </c>
      <c r="L13" s="126">
        <f>IF(A13="Hide",0,IF($J$7=1,E13,0))</f>
        <v>0</v>
      </c>
      <c r="M13" s="52" t="str">
        <f>formData!B69</f>
        <v>YOUR_PARTNER_PASSPORT_DETAILS_FAMILY_NAME</v>
      </c>
      <c r="N13" s="6">
        <f t="shared" si="2"/>
        <v>0</v>
      </c>
      <c r="O13" s="6">
        <f t="shared" si="3"/>
        <v>0</v>
      </c>
    </row>
    <row r="14" spans="1:15" s="6" customFormat="1" ht="20.100000000000001" customHeight="1">
      <c r="A14" s="105"/>
      <c r="B14" s="105"/>
      <c r="C14" s="74" t="s">
        <v>1912</v>
      </c>
      <c r="D14" s="7" t="s">
        <v>13</v>
      </c>
      <c r="E14" s="278">
        <f>applicantDetails!E15</f>
        <v>0</v>
      </c>
      <c r="F14" s="279"/>
      <c r="G14" s="280"/>
      <c r="J14" s="6">
        <f t="shared" si="4"/>
        <v>0</v>
      </c>
      <c r="K14" s="130">
        <f>IF(LEN(E14)=0,0,1)</f>
        <v>1</v>
      </c>
      <c r="L14" s="126">
        <f>IF(A14="Hide",0,IF($J$7=1,E14,0))</f>
        <v>0</v>
      </c>
      <c r="M14" s="52" t="str">
        <f>formData!B70</f>
        <v>YOUR_PARTNER_PASSPORT_DETAILS_GIVEN_NAMES</v>
      </c>
      <c r="N14" s="6">
        <f t="shared" si="2"/>
        <v>0</v>
      </c>
      <c r="O14" s="6">
        <f t="shared" si="3"/>
        <v>0</v>
      </c>
    </row>
    <row r="15" spans="1:15" s="6" customFormat="1" ht="20.100000000000001" customHeight="1">
      <c r="A15" s="105"/>
      <c r="B15" s="105">
        <v>1</v>
      </c>
      <c r="C15" s="74" t="s">
        <v>1912</v>
      </c>
      <c r="D15" s="7" t="s">
        <v>14</v>
      </c>
      <c r="E15" s="240"/>
      <c r="F15" s="241"/>
      <c r="G15" s="242"/>
      <c r="J15" s="6">
        <f t="shared" si="4"/>
        <v>0</v>
      </c>
      <c r="K15" s="129">
        <f>IF(B15=1,0,1)</f>
        <v>0</v>
      </c>
      <c r="L15" s="127">
        <f>IF(A15="Hide",1,IF($J$7=1,B15,1))</f>
        <v>1</v>
      </c>
      <c r="M15" s="52" t="str">
        <f>formData!B71</f>
        <v>YOUR_PARTNER_PASSPORT_DETAILS_SEX</v>
      </c>
      <c r="N15" s="6">
        <f t="shared" si="2"/>
        <v>0</v>
      </c>
      <c r="O15" s="6">
        <f t="shared" si="3"/>
        <v>0</v>
      </c>
    </row>
    <row r="16" spans="1:15" s="6" customFormat="1" ht="20.100000000000001" customHeight="1">
      <c r="A16" s="105"/>
      <c r="B16" s="105"/>
      <c r="C16" s="74" t="s">
        <v>1912</v>
      </c>
      <c r="D16" s="31" t="s">
        <v>1976</v>
      </c>
      <c r="E16" s="219"/>
      <c r="F16" s="220"/>
      <c r="G16" s="221"/>
      <c r="J16" s="6">
        <f t="shared" si="4"/>
        <v>0</v>
      </c>
      <c r="K16" s="130">
        <f>IF(LEN(E16)=0,0,1)</f>
        <v>0</v>
      </c>
      <c r="L16" s="126">
        <f>IF(A16="Hide",0,IF($J$7=1,E16,0))</f>
        <v>0</v>
      </c>
      <c r="M16" s="52" t="str">
        <f>formData!B72</f>
        <v>YOUR_PARTNER_PASSPORT_DETAILS_DATE_OF_BIRTH</v>
      </c>
      <c r="N16" s="6">
        <f t="shared" si="2"/>
        <v>0</v>
      </c>
      <c r="O16" s="6">
        <f t="shared" si="3"/>
        <v>0</v>
      </c>
    </row>
    <row r="17" spans="1:15" s="6" customFormat="1" ht="20.100000000000001" customHeight="1">
      <c r="A17" s="105"/>
      <c r="B17" s="105"/>
      <c r="C17" s="74" t="s">
        <v>1912</v>
      </c>
      <c r="D17" s="7" t="s">
        <v>15</v>
      </c>
      <c r="E17" s="234"/>
      <c r="F17" s="235"/>
      <c r="G17" s="236"/>
      <c r="J17" s="6">
        <f t="shared" si="4"/>
        <v>0</v>
      </c>
      <c r="K17" s="130">
        <f>IF(LEN(E17)=0,0,1)</f>
        <v>0</v>
      </c>
      <c r="L17" s="126">
        <f>IF(A17="Hide",0,IF($J$7=1,E17,0))</f>
        <v>0</v>
      </c>
      <c r="M17" s="52" t="str">
        <f>formData!B73</f>
        <v>YOUR_PARTNER_PASSPORT_DETAILS_PASSPORT_NUMBER</v>
      </c>
      <c r="N17" s="6">
        <f t="shared" si="2"/>
        <v>0</v>
      </c>
      <c r="O17" s="6">
        <f t="shared" si="3"/>
        <v>0</v>
      </c>
    </row>
    <row r="18" spans="1:15" s="6" customFormat="1" ht="20.100000000000001" customHeight="1">
      <c r="A18" s="105"/>
      <c r="B18" s="105">
        <v>1</v>
      </c>
      <c r="C18" s="74" t="s">
        <v>1912</v>
      </c>
      <c r="D18" s="7" t="s">
        <v>16</v>
      </c>
      <c r="E18" s="240"/>
      <c r="F18" s="241"/>
      <c r="G18" s="242"/>
      <c r="J18" s="6">
        <f t="shared" si="4"/>
        <v>0</v>
      </c>
      <c r="K18" s="129">
        <f>IF(B18=1,0,1)</f>
        <v>0</v>
      </c>
      <c r="L18" s="127">
        <f>IF(A18="Hide",1,IF($J$7=1,B18,1))</f>
        <v>1</v>
      </c>
      <c r="M18" s="52" t="str">
        <f>formData!B74</f>
        <v>YOUR_PARTNER_PASSPORT_DETAILS_COUNTRY_OF_PASSPORT</v>
      </c>
      <c r="N18" s="6">
        <f t="shared" si="2"/>
        <v>0</v>
      </c>
      <c r="O18" s="6">
        <f t="shared" si="3"/>
        <v>0</v>
      </c>
    </row>
    <row r="19" spans="1:15" s="6" customFormat="1" ht="20.100000000000001" customHeight="1">
      <c r="A19" s="105"/>
      <c r="B19" s="105">
        <v>1</v>
      </c>
      <c r="C19" s="74" t="s">
        <v>1912</v>
      </c>
      <c r="D19" s="7" t="s">
        <v>17</v>
      </c>
      <c r="E19" s="240"/>
      <c r="F19" s="241"/>
      <c r="G19" s="242"/>
      <c r="J19" s="6">
        <f t="shared" si="4"/>
        <v>0</v>
      </c>
      <c r="K19" s="129">
        <f>IF(B19=1,0,1)</f>
        <v>0</v>
      </c>
      <c r="L19" s="127">
        <f>IF(A19="Hide",1,IF($J$7=1,B19,1))</f>
        <v>1</v>
      </c>
      <c r="M19" s="52" t="str">
        <f>formData!B75</f>
        <v>YOUR_PARTNER_PASSPORT_DETAILS_NATIONALITY_OF_PASSPORT_HOLDER</v>
      </c>
      <c r="N19" s="6">
        <f t="shared" si="2"/>
        <v>0</v>
      </c>
      <c r="O19" s="6">
        <f t="shared" si="3"/>
        <v>0</v>
      </c>
    </row>
    <row r="20" spans="1:15" s="6" customFormat="1" ht="20.100000000000001" customHeight="1">
      <c r="A20" s="105"/>
      <c r="B20" s="105"/>
      <c r="C20" s="74" t="s">
        <v>1912</v>
      </c>
      <c r="D20" s="31" t="s">
        <v>1973</v>
      </c>
      <c r="E20" s="219"/>
      <c r="F20" s="220"/>
      <c r="G20" s="221"/>
      <c r="J20" s="6">
        <f t="shared" ref="J20:J23" si="5">IF($C20="*",IF($A20="Hide",0,$J$7),0)</f>
        <v>0</v>
      </c>
      <c r="K20" s="130">
        <f>IF(LEN(E20)=0,0,1)</f>
        <v>0</v>
      </c>
      <c r="L20" s="126">
        <f>IF(A20="Hide",0,IF($J$7=1,E20,0))</f>
        <v>0</v>
      </c>
      <c r="M20" s="52" t="str">
        <f>formData!B76</f>
        <v>YOUR_PARTNER_PASSPORT_DETAILS_DATE_OF_ISSUE</v>
      </c>
      <c r="N20" s="6">
        <f t="shared" si="2"/>
        <v>0</v>
      </c>
      <c r="O20" s="6">
        <f t="shared" si="3"/>
        <v>0</v>
      </c>
    </row>
    <row r="21" spans="1:15" s="6" customFormat="1" ht="20.100000000000001" customHeight="1">
      <c r="A21" s="105"/>
      <c r="B21" s="105"/>
      <c r="C21" s="74" t="s">
        <v>1912</v>
      </c>
      <c r="D21" s="31" t="s">
        <v>1972</v>
      </c>
      <c r="E21" s="219"/>
      <c r="F21" s="220"/>
      <c r="G21" s="221"/>
      <c r="J21" s="6">
        <f t="shared" si="5"/>
        <v>0</v>
      </c>
      <c r="K21" s="130">
        <f>IF(LEN(E21)=0,0,1)</f>
        <v>0</v>
      </c>
      <c r="L21" s="126">
        <f>IF(A21="Hide",0,IF($J$7=1,E21,0))</f>
        <v>0</v>
      </c>
      <c r="M21" s="52" t="str">
        <f>formData!B77</f>
        <v>YOUR_PARTNER_PASSPORT_DETAILS_DATE_OF_EXPIRY</v>
      </c>
      <c r="N21" s="6">
        <f t="shared" si="2"/>
        <v>0</v>
      </c>
      <c r="O21" s="6">
        <f t="shared" si="3"/>
        <v>0</v>
      </c>
    </row>
    <row r="22" spans="1:15" s="6" customFormat="1" ht="20.100000000000001" hidden="1" customHeight="1">
      <c r="A22" s="106" t="str">
        <f>IF($B$18=44,"Show","HIDE")</f>
        <v>HIDE</v>
      </c>
      <c r="B22" s="105">
        <v>1</v>
      </c>
      <c r="C22" s="74" t="s">
        <v>1912</v>
      </c>
      <c r="D22" s="7" t="s">
        <v>18</v>
      </c>
      <c r="E22" s="198"/>
      <c r="F22" s="199"/>
      <c r="G22" s="200"/>
      <c r="J22" s="6">
        <f t="shared" si="5"/>
        <v>0</v>
      </c>
      <c r="K22" s="129">
        <f>IF(B22=1,0,1)</f>
        <v>0</v>
      </c>
      <c r="L22" s="127">
        <f>IF(A22="Hide",1,IF($J$7=1,B22,1))</f>
        <v>1</v>
      </c>
      <c r="M22" s="131" t="str">
        <f>formData!B78</f>
        <v>YOUR_PARTNER_PASSPORT_DETAILS_PLACE_OF_ISSUE_CHINA</v>
      </c>
      <c r="N22" s="6">
        <f t="shared" ref="N22" si="6">IF(J22=1,1,0)</f>
        <v>0</v>
      </c>
      <c r="O22" s="6">
        <f t="shared" ref="O22" si="7">+J22*K22</f>
        <v>0</v>
      </c>
    </row>
    <row r="23" spans="1:15" s="6" customFormat="1" ht="20.100000000000001" customHeight="1">
      <c r="A23" s="106" t="str">
        <f>IF($B$18=44,"HIDE","Show")</f>
        <v>Show</v>
      </c>
      <c r="B23" s="105"/>
      <c r="C23" s="74" t="s">
        <v>1912</v>
      </c>
      <c r="D23" s="7" t="s">
        <v>18</v>
      </c>
      <c r="E23" s="198"/>
      <c r="F23" s="199"/>
      <c r="G23" s="200"/>
      <c r="J23" s="6">
        <f t="shared" si="5"/>
        <v>0</v>
      </c>
      <c r="K23" s="130">
        <f>IF(LEN(E23)=0,0,1)</f>
        <v>0</v>
      </c>
      <c r="L23" s="126">
        <f>IF(A23="Hide",0,IF($J$7=1,E23,0))</f>
        <v>0</v>
      </c>
      <c r="M23" s="52" t="str">
        <f>formData!B79</f>
        <v>YOUR_PARTNER_PASSPORT_DETAILS_PLACE_OF_ISSUE</v>
      </c>
      <c r="N23" s="6">
        <f t="shared" si="2"/>
        <v>0</v>
      </c>
      <c r="O23" s="6">
        <f t="shared" si="3"/>
        <v>0</v>
      </c>
    </row>
    <row r="24" spans="1:15" s="6" customFormat="1" ht="20.100000000000001" customHeight="1">
      <c r="A24" s="105"/>
      <c r="B24" s="105"/>
      <c r="D24" s="10"/>
      <c r="E24" s="2"/>
      <c r="N24" s="6">
        <f t="shared" si="2"/>
        <v>0</v>
      </c>
      <c r="O24" s="6">
        <f t="shared" si="3"/>
        <v>0</v>
      </c>
    </row>
    <row r="25" spans="1:15" ht="24.95" customHeight="1">
      <c r="A25" s="104"/>
      <c r="B25" s="104"/>
      <c r="C25" s="74"/>
      <c r="D25" s="256" t="s">
        <v>45</v>
      </c>
      <c r="E25" s="254"/>
      <c r="F25" s="254"/>
      <c r="G25" s="255"/>
      <c r="N25" s="6">
        <f t="shared" si="2"/>
        <v>0</v>
      </c>
      <c r="O25" s="6">
        <f t="shared" si="3"/>
        <v>0</v>
      </c>
    </row>
    <row r="26" spans="1:15" s="6" customFormat="1" ht="30" customHeight="1">
      <c r="A26" s="105"/>
      <c r="B26" s="105">
        <v>1</v>
      </c>
      <c r="C26" s="74" t="s">
        <v>1912</v>
      </c>
      <c r="D26" s="7" t="s">
        <v>55</v>
      </c>
      <c r="E26" s="240"/>
      <c r="F26" s="241"/>
      <c r="G26" s="242"/>
      <c r="J26" s="6">
        <f t="shared" ref="J26:J27" si="8">IF($C26="*",IF($A26="Hide",0,$J$7),0)</f>
        <v>0</v>
      </c>
      <c r="K26" s="129">
        <f>IF(B26=1,0,1)</f>
        <v>0</v>
      </c>
      <c r="L26" s="127">
        <f>IF(A26="Hide",1,IF($J$7=1,B26,1))</f>
        <v>1</v>
      </c>
      <c r="M26" s="52" t="str">
        <f>formData!B80</f>
        <v>YOUR_PARTNER_AUSTRALIAN_VISA_GRANT_PREVIOUS_VISA</v>
      </c>
      <c r="N26" s="6">
        <f t="shared" si="2"/>
        <v>0</v>
      </c>
      <c r="O26" s="6">
        <f t="shared" si="3"/>
        <v>0</v>
      </c>
    </row>
    <row r="27" spans="1:15" s="6" customFormat="1" ht="20.100000000000001" customHeight="1">
      <c r="A27" s="106"/>
      <c r="B27" s="105"/>
      <c r="D27" s="26" t="s">
        <v>56</v>
      </c>
      <c r="E27" s="234"/>
      <c r="F27" s="235"/>
      <c r="G27" s="236"/>
      <c r="J27" s="6">
        <f t="shared" si="8"/>
        <v>0</v>
      </c>
      <c r="K27" s="130">
        <f>IF(LEN(E27)=0,0,1)</f>
        <v>0</v>
      </c>
      <c r="L27" s="126">
        <f>IF(A27="Hide",0,IF($J$7=1,E27,0))</f>
        <v>0</v>
      </c>
      <c r="M27" s="52" t="str">
        <f>formData!B81</f>
        <v>YOUR_PARTNER_AUSTRALIAN_VISA_GRANT_NUMBER</v>
      </c>
      <c r="N27" s="6">
        <f t="shared" si="2"/>
        <v>0</v>
      </c>
      <c r="O27" s="6">
        <f t="shared" si="3"/>
        <v>0</v>
      </c>
    </row>
    <row r="28" spans="1:15" s="6" customFormat="1" ht="20.100000000000001" customHeight="1">
      <c r="A28" s="105"/>
      <c r="B28" s="105"/>
      <c r="D28" s="9"/>
      <c r="E28" s="2"/>
      <c r="N28" s="6">
        <f t="shared" si="2"/>
        <v>0</v>
      </c>
      <c r="O28" s="6">
        <f t="shared" si="3"/>
        <v>0</v>
      </c>
    </row>
    <row r="29" spans="1:15" ht="24.95" customHeight="1">
      <c r="A29" s="104"/>
      <c r="B29" s="104">
        <v>1</v>
      </c>
      <c r="C29" s="74"/>
      <c r="D29" s="253" t="s">
        <v>2</v>
      </c>
      <c r="E29" s="254"/>
      <c r="F29" s="254"/>
      <c r="G29" s="255"/>
      <c r="N29" s="6">
        <f t="shared" si="2"/>
        <v>0</v>
      </c>
      <c r="O29" s="6">
        <f t="shared" si="3"/>
        <v>0</v>
      </c>
    </row>
    <row r="30" spans="1:15" s="6" customFormat="1" ht="20.100000000000001" customHeight="1">
      <c r="A30" s="105"/>
      <c r="B30" s="105">
        <v>1</v>
      </c>
      <c r="C30" s="74" t="s">
        <v>1912</v>
      </c>
      <c r="D30" s="7" t="s">
        <v>54</v>
      </c>
      <c r="E30" s="240"/>
      <c r="F30" s="241"/>
      <c r="G30" s="242"/>
      <c r="J30" s="6">
        <f t="shared" ref="J30:J33" si="9">IF($C30="*",IF($A30="Hide",0,$J$7),0)</f>
        <v>0</v>
      </c>
      <c r="K30" s="129">
        <f>IF(B30=1,0,1)</f>
        <v>0</v>
      </c>
      <c r="L30" s="127">
        <f>IF(A30="Hide",1,IF($J$7=1,B30,1))</f>
        <v>1</v>
      </c>
      <c r="M30" s="52" t="str">
        <f>formData!B82</f>
        <v>YOUR_PARTNER_NATIONAL_IDENTITY_HAVE_NATIONAL_ID</v>
      </c>
      <c r="N30" s="6">
        <f t="shared" si="2"/>
        <v>0</v>
      </c>
      <c r="O30" s="6">
        <f t="shared" si="3"/>
        <v>0</v>
      </c>
    </row>
    <row r="31" spans="1:15" s="6" customFormat="1" ht="20.100000000000001" hidden="1" customHeight="1">
      <c r="A31" s="106" t="str">
        <f t="shared" ref="A31:A36" si="10">IF($B$30=2,"Show","HIDE")</f>
        <v>HIDE</v>
      </c>
      <c r="B31" s="105"/>
      <c r="C31" s="74" t="s">
        <v>1912</v>
      </c>
      <c r="D31" s="7" t="s">
        <v>12</v>
      </c>
      <c r="E31" s="198"/>
      <c r="F31" s="199"/>
      <c r="G31" s="200"/>
      <c r="J31" s="6">
        <f t="shared" si="9"/>
        <v>0</v>
      </c>
      <c r="K31" s="130">
        <f>IF(LEN(E31)=0,0,1)</f>
        <v>0</v>
      </c>
      <c r="L31" s="126">
        <f>IF(A31="Hide",0,IF($J$7=1,E31,0))</f>
        <v>0</v>
      </c>
      <c r="M31" s="52" t="str">
        <f>formData!B83</f>
        <v>YOUR_PARTNER_NATIONAL_IDENTITY_FAMILY_NAME</v>
      </c>
      <c r="N31" s="6">
        <f t="shared" si="2"/>
        <v>0</v>
      </c>
      <c r="O31" s="6">
        <f t="shared" si="3"/>
        <v>0</v>
      </c>
    </row>
    <row r="32" spans="1:15" s="6" customFormat="1" ht="20.100000000000001" hidden="1" customHeight="1">
      <c r="A32" s="106" t="str">
        <f t="shared" si="10"/>
        <v>HIDE</v>
      </c>
      <c r="B32" s="105"/>
      <c r="C32" s="74" t="s">
        <v>1912</v>
      </c>
      <c r="D32" s="7" t="s">
        <v>13</v>
      </c>
      <c r="E32" s="198"/>
      <c r="F32" s="199"/>
      <c r="G32" s="200"/>
      <c r="J32" s="6">
        <f t="shared" si="9"/>
        <v>0</v>
      </c>
      <c r="K32" s="130">
        <f>IF(LEN(E32)=0,0,1)</f>
        <v>0</v>
      </c>
      <c r="L32" s="126">
        <f>IF(A32="Hide",0,IF($J$7=1,E32,0))</f>
        <v>0</v>
      </c>
      <c r="M32" s="52" t="str">
        <f>formData!B84</f>
        <v>YOUR_PARTNER_NATIONAL_IDENTITY_GIVEN_NAMES</v>
      </c>
      <c r="N32" s="6">
        <f t="shared" si="2"/>
        <v>0</v>
      </c>
      <c r="O32" s="6">
        <f t="shared" si="3"/>
        <v>0</v>
      </c>
    </row>
    <row r="33" spans="1:15" s="6" customFormat="1" ht="20.100000000000001" hidden="1" customHeight="1">
      <c r="A33" s="106" t="str">
        <f t="shared" si="10"/>
        <v>HIDE</v>
      </c>
      <c r="B33" s="105"/>
      <c r="C33" s="74" t="s">
        <v>1912</v>
      </c>
      <c r="D33" s="7" t="s">
        <v>22</v>
      </c>
      <c r="E33" s="234"/>
      <c r="F33" s="235"/>
      <c r="G33" s="236"/>
      <c r="J33" s="6">
        <f t="shared" si="9"/>
        <v>0</v>
      </c>
      <c r="K33" s="130">
        <f>IF(LEN(E33)=0,0,1)</f>
        <v>0</v>
      </c>
      <c r="L33" s="126">
        <f>IF(A33="Hide",0,IF($J$7=1,E33,0))</f>
        <v>0</v>
      </c>
      <c r="M33" s="52" t="str">
        <f>formData!B85</f>
        <v>YOUR_PARTNER_NATIONAL_IDENTITY_ID_NUMBER</v>
      </c>
      <c r="N33" s="6">
        <f t="shared" si="2"/>
        <v>0</v>
      </c>
      <c r="O33" s="6">
        <f t="shared" si="3"/>
        <v>0</v>
      </c>
    </row>
    <row r="34" spans="1:15" s="6" customFormat="1" ht="20.100000000000001" hidden="1" customHeight="1">
      <c r="A34" s="106" t="str">
        <f t="shared" si="10"/>
        <v>HIDE</v>
      </c>
      <c r="B34" s="105">
        <v>1</v>
      </c>
      <c r="C34" s="74" t="s">
        <v>1912</v>
      </c>
      <c r="D34" s="7" t="s">
        <v>23</v>
      </c>
      <c r="E34" s="240"/>
      <c r="F34" s="241"/>
      <c r="G34" s="242"/>
      <c r="J34" s="6">
        <f t="shared" ref="J34:J36" si="11">IF($C34="*",IF($A34="Hide",0,$J$7),0)</f>
        <v>0</v>
      </c>
      <c r="K34" s="129">
        <f>IF(B34=1,0,1)</f>
        <v>0</v>
      </c>
      <c r="L34" s="127">
        <f>IF(A34="Hide",1,IF($J$7=1,B34,1))</f>
        <v>1</v>
      </c>
      <c r="M34" s="52" t="str">
        <f>formData!B86</f>
        <v>YOUR_PARTNER_NATIONAL_IDENTITY_COUNTRY_OF_ISSUE</v>
      </c>
      <c r="N34" s="6">
        <f t="shared" si="2"/>
        <v>0</v>
      </c>
      <c r="O34" s="6">
        <f t="shared" si="3"/>
        <v>0</v>
      </c>
    </row>
    <row r="35" spans="1:15" s="6" customFormat="1" ht="20.100000000000001" hidden="1" customHeight="1">
      <c r="A35" s="106" t="str">
        <f t="shared" si="10"/>
        <v>HIDE</v>
      </c>
      <c r="B35" s="105"/>
      <c r="C35" s="74"/>
      <c r="D35" s="31" t="s">
        <v>1973</v>
      </c>
      <c r="E35" s="219"/>
      <c r="F35" s="220"/>
      <c r="G35" s="221"/>
      <c r="J35" s="6">
        <f t="shared" si="11"/>
        <v>0</v>
      </c>
      <c r="K35" s="130">
        <f>IF(LEN(E35)=0,0,1)</f>
        <v>0</v>
      </c>
      <c r="L35" s="126">
        <f>IF(A35="Hide",0,IF($J$7=1,E35,0))</f>
        <v>0</v>
      </c>
      <c r="M35" s="52" t="str">
        <f>formData!B87</f>
        <v>YOUR_PARTNER_NATIONAL_IDENTITY_DATE_OF_ISSUE</v>
      </c>
      <c r="N35" s="6">
        <f t="shared" si="2"/>
        <v>0</v>
      </c>
      <c r="O35" s="6">
        <f t="shared" si="3"/>
        <v>0</v>
      </c>
    </row>
    <row r="36" spans="1:15" s="6" customFormat="1" ht="20.100000000000001" hidden="1" customHeight="1">
      <c r="A36" s="106" t="str">
        <f t="shared" si="10"/>
        <v>HIDE</v>
      </c>
      <c r="B36" s="105"/>
      <c r="C36" s="74"/>
      <c r="D36" s="31" t="s">
        <v>1972</v>
      </c>
      <c r="E36" s="219"/>
      <c r="F36" s="220"/>
      <c r="G36" s="221"/>
      <c r="J36" s="6">
        <f t="shared" si="11"/>
        <v>0</v>
      </c>
      <c r="K36" s="130">
        <f>IF(LEN(E36)=0,0,1)</f>
        <v>0</v>
      </c>
      <c r="L36" s="126">
        <f>IF(A36="Hide",0,IF($J$7=1,E36,0))</f>
        <v>0</v>
      </c>
      <c r="M36" s="52" t="str">
        <f>formData!B88</f>
        <v>YOUR_PARTNER_NATIONAL_IDENTITY_DATE_OF_EXPIRY</v>
      </c>
      <c r="N36" s="6">
        <f t="shared" si="2"/>
        <v>0</v>
      </c>
      <c r="O36" s="6">
        <f t="shared" si="3"/>
        <v>0</v>
      </c>
    </row>
    <row r="37" spans="1:15" s="6" customFormat="1" ht="20.100000000000001" hidden="1" customHeight="1">
      <c r="A37" s="106" t="str">
        <f>IF($B$30=3,"Show","HIDE")</f>
        <v>HIDE</v>
      </c>
      <c r="B37" s="105"/>
      <c r="C37" s="74" t="s">
        <v>1912</v>
      </c>
      <c r="D37" s="244" t="s">
        <v>2037</v>
      </c>
      <c r="E37" s="245"/>
      <c r="F37" s="245"/>
      <c r="G37" s="246"/>
      <c r="N37" s="6">
        <f t="shared" si="2"/>
        <v>0</v>
      </c>
      <c r="O37" s="6">
        <f t="shared" si="3"/>
        <v>0</v>
      </c>
    </row>
    <row r="38" spans="1:15" s="6" customFormat="1" ht="46.5" hidden="1" customHeight="1">
      <c r="A38" s="106" t="str">
        <f>IF($B$30=3,"Show","HIDE")</f>
        <v>HIDE</v>
      </c>
      <c r="B38" s="105"/>
      <c r="D38" s="247"/>
      <c r="E38" s="248"/>
      <c r="F38" s="248"/>
      <c r="G38" s="249"/>
      <c r="J38" s="6">
        <f>IF($C37="*",IF($A38="Hide",0,$J$7),0)</f>
        <v>0</v>
      </c>
      <c r="K38" s="158">
        <f>IF(LEN(D38)=0,0,1)</f>
        <v>0</v>
      </c>
      <c r="L38" s="157">
        <f>IF(A38="Hide",0,IF($J$5=1,D38,0))</f>
        <v>0</v>
      </c>
      <c r="M38" s="131" t="str">
        <f>formData!B89</f>
        <v>YOUR_PARTNER_NATIONAL_IDENTITY_GIVE_REASON</v>
      </c>
      <c r="N38" s="6">
        <f t="shared" si="2"/>
        <v>0</v>
      </c>
      <c r="O38" s="6">
        <f t="shared" si="3"/>
        <v>0</v>
      </c>
    </row>
    <row r="39" spans="1:15" s="6" customFormat="1" ht="20.100000000000001" customHeight="1">
      <c r="A39" s="105"/>
      <c r="B39" s="105"/>
      <c r="D39" s="9"/>
      <c r="E39" s="14"/>
      <c r="F39" s="14"/>
      <c r="G39" s="14"/>
      <c r="N39" s="6">
        <f t="shared" si="2"/>
        <v>0</v>
      </c>
      <c r="O39" s="6">
        <f t="shared" si="3"/>
        <v>0</v>
      </c>
    </row>
    <row r="40" spans="1:15" s="6" customFormat="1" ht="24.95" customHeight="1">
      <c r="A40" s="105"/>
      <c r="B40" s="105"/>
      <c r="C40" s="74"/>
      <c r="D40" s="256" t="s">
        <v>47</v>
      </c>
      <c r="E40" s="254"/>
      <c r="F40" s="254"/>
      <c r="G40" s="255"/>
      <c r="N40" s="6">
        <f t="shared" si="2"/>
        <v>0</v>
      </c>
      <c r="O40" s="6">
        <f t="shared" si="3"/>
        <v>0</v>
      </c>
    </row>
    <row r="41" spans="1:15" s="6" customFormat="1" ht="20.100000000000001" customHeight="1">
      <c r="A41" s="105"/>
      <c r="B41" s="105"/>
      <c r="C41" s="74" t="s">
        <v>1912</v>
      </c>
      <c r="D41" s="7" t="s">
        <v>24</v>
      </c>
      <c r="E41" s="198"/>
      <c r="F41" s="199"/>
      <c r="G41" s="200"/>
      <c r="J41" s="6">
        <f t="shared" ref="J41:J42" si="12">IF($C41="*",IF($A41="Hide",0,$J$7),0)</f>
        <v>0</v>
      </c>
      <c r="K41" s="130">
        <f>IF(LEN(E41)=0,0,1)</f>
        <v>0</v>
      </c>
      <c r="L41" s="126">
        <f>IF(A41="Hide",0,IF($J$7=1,E41,0))</f>
        <v>0</v>
      </c>
      <c r="M41" s="52" t="str">
        <f>formData!B90</f>
        <v>YOUR_PARTNER_PLACE_OF_BIRTH_CITY</v>
      </c>
      <c r="N41" s="6">
        <f t="shared" si="2"/>
        <v>0</v>
      </c>
      <c r="O41" s="6">
        <f t="shared" si="3"/>
        <v>0</v>
      </c>
    </row>
    <row r="42" spans="1:15" s="6" customFormat="1" ht="20.100000000000001" customHeight="1">
      <c r="A42" s="105"/>
      <c r="B42" s="105"/>
      <c r="C42" s="74" t="s">
        <v>1912</v>
      </c>
      <c r="D42" s="7" t="s">
        <v>25</v>
      </c>
      <c r="E42" s="198"/>
      <c r="F42" s="199"/>
      <c r="G42" s="200"/>
      <c r="J42" s="6">
        <f t="shared" si="12"/>
        <v>0</v>
      </c>
      <c r="K42" s="130">
        <f>IF(LEN(E42)=0,0,1)</f>
        <v>0</v>
      </c>
      <c r="L42" s="126">
        <f>IF(A42="Hide",0,IF($J$7=1,E42,0))</f>
        <v>0</v>
      </c>
      <c r="M42" s="52" t="str">
        <f>formData!B91</f>
        <v>YOUR_PARTNER_PLACE_OF_BIRTH_STATE_PROVINCE</v>
      </c>
      <c r="N42" s="6">
        <f t="shared" si="2"/>
        <v>0</v>
      </c>
      <c r="O42" s="6">
        <f t="shared" si="3"/>
        <v>0</v>
      </c>
    </row>
    <row r="43" spans="1:15" s="6" customFormat="1" ht="20.100000000000001" customHeight="1">
      <c r="A43" s="105"/>
      <c r="B43" s="105">
        <v>1</v>
      </c>
      <c r="C43" s="74" t="s">
        <v>1912</v>
      </c>
      <c r="D43" s="7" t="s">
        <v>26</v>
      </c>
      <c r="E43" s="240"/>
      <c r="F43" s="241"/>
      <c r="G43" s="242"/>
      <c r="J43" s="6">
        <f t="shared" ref="J43" si="13">IF($C43="*",IF($A43="Hide",0,$J$7),0)</f>
        <v>0</v>
      </c>
      <c r="K43" s="129">
        <f>IF(B43=1,0,1)</f>
        <v>0</v>
      </c>
      <c r="L43" s="127">
        <f>IF(A43="Hide",1,IF($J$7=1,B43,1))</f>
        <v>1</v>
      </c>
      <c r="M43" s="52" t="str">
        <f>formData!B92</f>
        <v>YOUR_PARTNER_PLACE_OF_BIRTH_COUNTRY</v>
      </c>
      <c r="N43" s="6">
        <f t="shared" si="2"/>
        <v>0</v>
      </c>
      <c r="O43" s="6">
        <f t="shared" si="3"/>
        <v>0</v>
      </c>
    </row>
    <row r="44" spans="1:15" s="6" customFormat="1" ht="20.100000000000001" customHeight="1">
      <c r="A44" s="105"/>
      <c r="B44" s="105"/>
      <c r="D44" s="9"/>
      <c r="E44" s="2"/>
      <c r="N44" s="6">
        <f t="shared" si="2"/>
        <v>0</v>
      </c>
      <c r="O44" s="6">
        <f t="shared" si="3"/>
        <v>0</v>
      </c>
    </row>
    <row r="45" spans="1:15" ht="24.95" customHeight="1">
      <c r="A45" s="104"/>
      <c r="B45" s="104">
        <v>1</v>
      </c>
      <c r="C45" s="74"/>
      <c r="D45" s="256" t="s">
        <v>48</v>
      </c>
      <c r="E45" s="254"/>
      <c r="F45" s="254"/>
      <c r="G45" s="255"/>
      <c r="N45" s="6">
        <f t="shared" si="2"/>
        <v>0</v>
      </c>
      <c r="O45" s="6">
        <f t="shared" si="3"/>
        <v>0</v>
      </c>
    </row>
    <row r="46" spans="1:15" s="6" customFormat="1" ht="30" customHeight="1">
      <c r="A46" s="105"/>
      <c r="B46" s="105">
        <v>1</v>
      </c>
      <c r="C46" s="74" t="s">
        <v>1912</v>
      </c>
      <c r="D46" s="7" t="s">
        <v>52</v>
      </c>
      <c r="E46" s="240"/>
      <c r="F46" s="241"/>
      <c r="G46" s="242"/>
      <c r="J46" s="6">
        <f t="shared" ref="J46:J48" si="14">IF($C46="*",IF($A46="Hide",0,$J$7),0)</f>
        <v>0</v>
      </c>
      <c r="K46" s="129">
        <f>IF(B46=1,0,1)</f>
        <v>0</v>
      </c>
      <c r="L46" s="127">
        <f>IF(A46="Hide",1,IF($J$7=1,B46,1))</f>
        <v>1</v>
      </c>
      <c r="M46" s="52" t="str">
        <f>formData!B93</f>
        <v>YOUR_PARTNER_OTHER_NAMES_HAVE_OTHER_NAMES</v>
      </c>
      <c r="N46" s="6">
        <f t="shared" si="2"/>
        <v>0</v>
      </c>
      <c r="O46" s="6">
        <f t="shared" si="3"/>
        <v>0</v>
      </c>
    </row>
    <row r="47" spans="1:15" s="6" customFormat="1" ht="20.100000000000001" hidden="1" customHeight="1">
      <c r="A47" s="106" t="str">
        <f>IF($B$46=2,"Show","HIDE")</f>
        <v>HIDE</v>
      </c>
      <c r="B47" s="105"/>
      <c r="C47" s="74" t="s">
        <v>1912</v>
      </c>
      <c r="D47" s="7" t="s">
        <v>12</v>
      </c>
      <c r="E47" s="198"/>
      <c r="F47" s="199"/>
      <c r="G47" s="200"/>
      <c r="J47" s="6">
        <f t="shared" si="14"/>
        <v>0</v>
      </c>
      <c r="K47" s="130">
        <f>IF(LEN(E47)=0,0,1)</f>
        <v>0</v>
      </c>
      <c r="L47" s="126">
        <f>IF(A47="Hide",0,IF($J$7=1,E47,0))</f>
        <v>0</v>
      </c>
      <c r="M47" s="52" t="str">
        <f>formData!B94</f>
        <v>YOUR_PARTNER_OTHER_NAMES_FAMILY_NAME</v>
      </c>
      <c r="N47" s="6">
        <f t="shared" si="2"/>
        <v>0</v>
      </c>
      <c r="O47" s="6">
        <f t="shared" si="3"/>
        <v>0</v>
      </c>
    </row>
    <row r="48" spans="1:15" s="6" customFormat="1" ht="20.100000000000001" hidden="1" customHeight="1">
      <c r="A48" s="106" t="str">
        <f>IF($B$46=2,"Show","HIDE")</f>
        <v>HIDE</v>
      </c>
      <c r="B48" s="105"/>
      <c r="C48" s="74" t="s">
        <v>1912</v>
      </c>
      <c r="D48" s="7" t="s">
        <v>13</v>
      </c>
      <c r="E48" s="198"/>
      <c r="F48" s="199"/>
      <c r="G48" s="200"/>
      <c r="J48" s="6">
        <f t="shared" si="14"/>
        <v>0</v>
      </c>
      <c r="K48" s="130">
        <f>IF(LEN(E48)=0,0,1)</f>
        <v>0</v>
      </c>
      <c r="L48" s="126">
        <f>IF(A48="Hide",0,IF($J$7=1,E48,0))</f>
        <v>0</v>
      </c>
      <c r="M48" s="52" t="str">
        <f>formData!B95</f>
        <v>YOUR_PARTNER_OTHER_NAMES_GIVEN_NAMES</v>
      </c>
      <c r="N48" s="6">
        <f t="shared" si="2"/>
        <v>0</v>
      </c>
      <c r="O48" s="6">
        <f t="shared" si="3"/>
        <v>0</v>
      </c>
    </row>
    <row r="49" spans="1:15" s="6" customFormat="1" ht="20.100000000000001" hidden="1" customHeight="1">
      <c r="A49" s="106" t="str">
        <f>IF($B$46=2,"Show","HIDE")</f>
        <v>HIDE</v>
      </c>
      <c r="B49" s="105">
        <v>1</v>
      </c>
      <c r="C49" s="74" t="s">
        <v>1912</v>
      </c>
      <c r="D49" s="7" t="s">
        <v>53</v>
      </c>
      <c r="E49" s="240"/>
      <c r="F49" s="241"/>
      <c r="G49" s="242"/>
      <c r="J49" s="6">
        <f t="shared" ref="J49" si="15">IF($C49="*",IF($A49="Hide",0,$J$7),0)</f>
        <v>0</v>
      </c>
      <c r="K49" s="129">
        <f>IF(B49=1,0,1)</f>
        <v>0</v>
      </c>
      <c r="L49" s="127">
        <f>IF(A49="Hide",1,IF($J$7=1,B49,1))</f>
        <v>1</v>
      </c>
      <c r="M49" s="52" t="str">
        <f>formData!B96</f>
        <v>YOUR_PARTNER_OTHER_NAMES_REASON</v>
      </c>
      <c r="N49" s="6">
        <f t="shared" si="2"/>
        <v>0</v>
      </c>
      <c r="O49" s="6">
        <f t="shared" si="3"/>
        <v>0</v>
      </c>
    </row>
    <row r="50" spans="1:15" s="6" customFormat="1" ht="20.100000000000001" hidden="1" customHeight="1">
      <c r="A50" s="106" t="str">
        <f>IF($B$46=2,"Show","HIDE")</f>
        <v>HIDE</v>
      </c>
      <c r="B50" s="105"/>
      <c r="D50" s="25" t="s">
        <v>30</v>
      </c>
      <c r="E50" s="110"/>
      <c r="F50" s="110"/>
      <c r="G50" s="111"/>
      <c r="N50" s="6">
        <f t="shared" si="2"/>
        <v>0</v>
      </c>
      <c r="O50" s="6">
        <f t="shared" si="3"/>
        <v>0</v>
      </c>
    </row>
    <row r="51" spans="1:15" s="6" customFormat="1" ht="60" hidden="1" customHeight="1">
      <c r="A51" s="106" t="str">
        <f>IF($B$46=2,"Show","HIDE")</f>
        <v>HIDE</v>
      </c>
      <c r="B51" s="105"/>
      <c r="D51" s="270"/>
      <c r="E51" s="271"/>
      <c r="F51" s="271"/>
      <c r="G51" s="272"/>
      <c r="J51" s="157">
        <f t="shared" ref="J51" si="16">IF($C51="*",IF($A51="Hide",0,$J$7),0)</f>
        <v>0</v>
      </c>
      <c r="K51" s="158">
        <f>IF(LEN(D51)=0,0,1)</f>
        <v>0</v>
      </c>
      <c r="L51" s="157">
        <f>IF(A51="Hide",0,IF($J$7=1,D51,0))</f>
        <v>0</v>
      </c>
      <c r="M51" s="52" t="str">
        <f>formData!B97</f>
        <v>YOUR_PARTNER_OTHER_NAMES_GIVE_DETAILS</v>
      </c>
      <c r="N51" s="6">
        <f t="shared" si="2"/>
        <v>0</v>
      </c>
      <c r="O51" s="6">
        <f t="shared" si="3"/>
        <v>0</v>
      </c>
    </row>
    <row r="52" spans="1:15" s="6" customFormat="1" ht="20.100000000000001" customHeight="1">
      <c r="A52" s="105"/>
      <c r="B52" s="105"/>
      <c r="D52" s="9"/>
      <c r="E52" s="9"/>
      <c r="N52" s="6">
        <f t="shared" si="2"/>
        <v>0</v>
      </c>
      <c r="O52" s="6">
        <f t="shared" si="3"/>
        <v>0</v>
      </c>
    </row>
    <row r="53" spans="1:15" ht="24.95" customHeight="1">
      <c r="A53" s="104"/>
      <c r="B53" s="104"/>
      <c r="C53" s="74"/>
      <c r="D53" s="253" t="s">
        <v>5</v>
      </c>
      <c r="E53" s="254"/>
      <c r="F53" s="254"/>
      <c r="G53" s="255"/>
      <c r="N53" s="6">
        <f t="shared" si="2"/>
        <v>0</v>
      </c>
      <c r="O53" s="6">
        <f t="shared" si="3"/>
        <v>0</v>
      </c>
    </row>
    <row r="54" spans="1:15" s="6" customFormat="1" ht="30" customHeight="1">
      <c r="A54" s="105"/>
      <c r="B54" s="105">
        <v>1</v>
      </c>
      <c r="C54" s="74" t="s">
        <v>1912</v>
      </c>
      <c r="D54" s="7" t="s">
        <v>49</v>
      </c>
      <c r="E54" s="240"/>
      <c r="F54" s="241"/>
      <c r="G54" s="242"/>
      <c r="J54" s="6">
        <f t="shared" ref="J54:J55" si="17">IF($C54="*",IF($A54="Hide",0,$J$7),0)</f>
        <v>0</v>
      </c>
      <c r="K54" s="129">
        <f>IF(B54=1,0,1)</f>
        <v>0</v>
      </c>
      <c r="L54" s="127">
        <f>IF(A54="Hide",1,IF($J$7=1,B54,1))</f>
        <v>1</v>
      </c>
      <c r="M54" s="52" t="str">
        <f>formData!B98</f>
        <v>YOUR_PARTNER_CITIZENSHIP_CITIZEN_OF_COUNTRY_OF_PASSPORT</v>
      </c>
      <c r="N54" s="6">
        <f t="shared" si="2"/>
        <v>0</v>
      </c>
      <c r="O54" s="6">
        <f t="shared" si="3"/>
        <v>0</v>
      </c>
    </row>
    <row r="55" spans="1:15" s="6" customFormat="1" ht="20.100000000000001" customHeight="1">
      <c r="A55" s="105"/>
      <c r="B55" s="105">
        <v>1</v>
      </c>
      <c r="C55" s="74" t="s">
        <v>1912</v>
      </c>
      <c r="D55" s="7" t="s">
        <v>50</v>
      </c>
      <c r="E55" s="240"/>
      <c r="F55" s="241"/>
      <c r="G55" s="242"/>
      <c r="J55" s="6">
        <f t="shared" si="17"/>
        <v>0</v>
      </c>
      <c r="K55" s="129">
        <f>IF(B55=1,0,1)</f>
        <v>0</v>
      </c>
      <c r="L55" s="127">
        <f>IF(A55="Hide",1,IF($J$7=1,B55,1))</f>
        <v>1</v>
      </c>
      <c r="M55" s="52" t="str">
        <f>formData!B99</f>
        <v>YOUR_PARTNER_CITIZENSHIP_CITIZEN_OF_OTHER_COUNTRY</v>
      </c>
      <c r="N55" s="6">
        <f t="shared" si="2"/>
        <v>0</v>
      </c>
      <c r="O55" s="6">
        <f t="shared" si="3"/>
        <v>0</v>
      </c>
    </row>
    <row r="56" spans="1:15" s="6" customFormat="1" ht="20.100000000000001" hidden="1" customHeight="1">
      <c r="A56" s="106" t="str">
        <f>IF($B$55=2,"Show","HIDE")</f>
        <v>HIDE</v>
      </c>
      <c r="B56" s="105">
        <v>1</v>
      </c>
      <c r="C56" s="74" t="s">
        <v>1912</v>
      </c>
      <c r="D56" s="11" t="s">
        <v>32</v>
      </c>
      <c r="E56" s="240"/>
      <c r="F56" s="241"/>
      <c r="G56" s="242"/>
      <c r="J56" s="6">
        <f t="shared" ref="J56:J57" si="18">IF($C56="*",IF($A56="Hide",0,$J$7),0)</f>
        <v>0</v>
      </c>
      <c r="K56" s="129">
        <f>IF(B56=1,0,1)</f>
        <v>0</v>
      </c>
      <c r="L56" s="127">
        <f>IF(A56="Hide",1,IF($J$7=1,B56,1))</f>
        <v>1</v>
      </c>
      <c r="M56" s="52" t="str">
        <f>formData!B100</f>
        <v>YOUR_PARTNER_CITIZENSHIP_LIST_COUNTRIES1</v>
      </c>
      <c r="N56" s="6">
        <f t="shared" si="2"/>
        <v>0</v>
      </c>
      <c r="O56" s="6">
        <f t="shared" si="3"/>
        <v>0</v>
      </c>
    </row>
    <row r="57" spans="1:15" s="6" customFormat="1" ht="20.100000000000001" customHeight="1">
      <c r="A57" s="105"/>
      <c r="B57" s="105">
        <v>1</v>
      </c>
      <c r="D57" s="9"/>
      <c r="E57" s="2"/>
      <c r="J57" s="6">
        <f t="shared" si="18"/>
        <v>0</v>
      </c>
      <c r="K57" s="129">
        <f>IF(B57=1,0,1)</f>
        <v>0</v>
      </c>
      <c r="L57" s="127">
        <f>IF(A57="Hide",1,IF($J$7=1,B57,1))</f>
        <v>1</v>
      </c>
      <c r="M57" s="52" t="str">
        <f>formData!B101</f>
        <v>YOUR_PARTNER_CITIZENSHIP_LIST_COUNTRIES2</v>
      </c>
      <c r="N57" s="6">
        <f t="shared" si="2"/>
        <v>0</v>
      </c>
      <c r="O57" s="6">
        <f t="shared" si="3"/>
        <v>0</v>
      </c>
    </row>
    <row r="58" spans="1:15" ht="24.95" customHeight="1">
      <c r="A58" s="104"/>
      <c r="B58" s="104">
        <v>1</v>
      </c>
      <c r="C58" s="74"/>
      <c r="D58" s="253" t="s">
        <v>6</v>
      </c>
      <c r="E58" s="254"/>
      <c r="F58" s="254"/>
      <c r="G58" s="255"/>
      <c r="N58" s="6">
        <f t="shared" si="2"/>
        <v>0</v>
      </c>
      <c r="O58" s="6">
        <f t="shared" si="3"/>
        <v>0</v>
      </c>
    </row>
    <row r="59" spans="1:15" s="6" customFormat="1" ht="30" customHeight="1">
      <c r="A59" s="105"/>
      <c r="B59" s="105">
        <v>1</v>
      </c>
      <c r="C59" s="74" t="s">
        <v>1912</v>
      </c>
      <c r="D59" s="7" t="s">
        <v>51</v>
      </c>
      <c r="E59" s="240"/>
      <c r="F59" s="241"/>
      <c r="G59" s="242"/>
      <c r="J59" s="6">
        <f t="shared" ref="J59:J62" si="19">IF($C59="*",IF($A59="Hide",0,$J$7),0)</f>
        <v>0</v>
      </c>
      <c r="K59" s="129">
        <f>IF(B59=1,0,1)</f>
        <v>0</v>
      </c>
      <c r="L59" s="127">
        <f>IF(A59="Hide",1,IF($J$7=1,B59,1))</f>
        <v>1</v>
      </c>
      <c r="M59" s="52" t="str">
        <f>formData!B102</f>
        <v>YOUR_PARTNER_OTHER_TRAVEL_DOCS_HAVE_OTHER_TRAVEL_DOC</v>
      </c>
      <c r="N59" s="6">
        <f t="shared" si="2"/>
        <v>0</v>
      </c>
      <c r="O59" s="6">
        <f t="shared" si="3"/>
        <v>0</v>
      </c>
    </row>
    <row r="60" spans="1:15" s="6" customFormat="1" ht="20.100000000000001" hidden="1" customHeight="1">
      <c r="A60" s="106" t="str">
        <f>IF($B$59=2,"Show","HIDE")</f>
        <v>HIDE</v>
      </c>
      <c r="B60" s="105">
        <v>1</v>
      </c>
      <c r="C60" s="74" t="s">
        <v>1912</v>
      </c>
      <c r="D60" s="7" t="s">
        <v>34</v>
      </c>
      <c r="E60" s="240"/>
      <c r="F60" s="241"/>
      <c r="G60" s="242"/>
      <c r="J60" s="6">
        <f t="shared" si="19"/>
        <v>0</v>
      </c>
      <c r="K60" s="129">
        <f>IF(B60=1,0,1)</f>
        <v>0</v>
      </c>
      <c r="L60" s="127">
        <f>IF(A60="Hide",1,IF($J$7=1,B60,1))</f>
        <v>1</v>
      </c>
      <c r="M60" s="52" t="str">
        <f>formData!B103</f>
        <v>YOUR_PARTNER_OTHER_TRAVEL_DOCS_TYPE_OF_DOCUMENT</v>
      </c>
      <c r="N60" s="6">
        <f t="shared" si="2"/>
        <v>0</v>
      </c>
      <c r="O60" s="6">
        <f t="shared" si="3"/>
        <v>0</v>
      </c>
    </row>
    <row r="61" spans="1:15" s="6" customFormat="1" ht="20.100000000000001" hidden="1" customHeight="1">
      <c r="A61" s="106" t="str">
        <f t="shared" ref="A61:A70" si="20">IF($B$59=2,"Show","HIDE")</f>
        <v>HIDE</v>
      </c>
      <c r="B61" s="105"/>
      <c r="C61" s="74" t="s">
        <v>1912</v>
      </c>
      <c r="D61" s="7" t="s">
        <v>12</v>
      </c>
      <c r="E61" s="198"/>
      <c r="F61" s="199"/>
      <c r="G61" s="200"/>
      <c r="J61" s="6">
        <f t="shared" si="19"/>
        <v>0</v>
      </c>
      <c r="K61" s="130">
        <f>IF(LEN(E61)=0,0,1)</f>
        <v>0</v>
      </c>
      <c r="L61" s="126">
        <f>IF(A61="Hide",0,IF($J$7=1,E61,0))</f>
        <v>0</v>
      </c>
      <c r="M61" s="52" t="str">
        <f>formData!B104</f>
        <v>YOUR_PARTNER_OTHER_PASSPORT_TRAVEL_DOCS_FAMILY_NAME</v>
      </c>
      <c r="N61" s="6">
        <f t="shared" si="2"/>
        <v>0</v>
      </c>
      <c r="O61" s="6">
        <f t="shared" si="3"/>
        <v>0</v>
      </c>
    </row>
    <row r="62" spans="1:15" s="6" customFormat="1" ht="20.100000000000001" hidden="1" customHeight="1">
      <c r="A62" s="106" t="str">
        <f t="shared" si="20"/>
        <v>HIDE</v>
      </c>
      <c r="B62" s="105"/>
      <c r="C62" s="74" t="s">
        <v>1912</v>
      </c>
      <c r="D62" s="7" t="s">
        <v>13</v>
      </c>
      <c r="E62" s="198"/>
      <c r="F62" s="199"/>
      <c r="G62" s="200"/>
      <c r="J62" s="6">
        <f t="shared" si="19"/>
        <v>0</v>
      </c>
      <c r="K62" s="130">
        <f>IF(LEN(E62)=0,0,1)</f>
        <v>0</v>
      </c>
      <c r="L62" s="126">
        <f>IF(A62="Hide",0,IF($J$7=1,E62,0))</f>
        <v>0</v>
      </c>
      <c r="M62" s="52" t="str">
        <f>formData!B105</f>
        <v>YOUR_PARTNER_OTHER_TRAVEL_DOCS_GIVEN_NAMES</v>
      </c>
      <c r="N62" s="6">
        <f t="shared" si="2"/>
        <v>0</v>
      </c>
      <c r="O62" s="6">
        <f t="shared" si="3"/>
        <v>0</v>
      </c>
    </row>
    <row r="63" spans="1:15" s="6" customFormat="1" ht="20.100000000000001" hidden="1" customHeight="1">
      <c r="A63" s="106" t="str">
        <f t="shared" si="20"/>
        <v>HIDE</v>
      </c>
      <c r="B63" s="105">
        <v>1</v>
      </c>
      <c r="C63" s="74" t="s">
        <v>1912</v>
      </c>
      <c r="D63" s="7" t="s">
        <v>14</v>
      </c>
      <c r="E63" s="240"/>
      <c r="F63" s="241"/>
      <c r="G63" s="242"/>
      <c r="J63" s="6">
        <f t="shared" ref="J63:J65" si="21">IF($C63="*",IF($A63="Hide",0,$J$7),0)</f>
        <v>0</v>
      </c>
      <c r="K63" s="129">
        <f>IF(B63=1,0,1)</f>
        <v>0</v>
      </c>
      <c r="L63" s="127">
        <f>IF(A63="Hide",1,IF($J$7=1,B63,1))</f>
        <v>1</v>
      </c>
      <c r="M63" s="52" t="str">
        <f>formData!B106</f>
        <v>YOUR_PARTNER_OTHER_TRAVEL_DOCS_SEX</v>
      </c>
      <c r="N63" s="6">
        <f t="shared" si="2"/>
        <v>0</v>
      </c>
      <c r="O63" s="6">
        <f t="shared" si="3"/>
        <v>0</v>
      </c>
    </row>
    <row r="64" spans="1:15" s="6" customFormat="1" ht="20.100000000000001" hidden="1" customHeight="1">
      <c r="A64" s="106" t="str">
        <f t="shared" si="20"/>
        <v>HIDE</v>
      </c>
      <c r="B64" s="105"/>
      <c r="C64" s="74" t="s">
        <v>1912</v>
      </c>
      <c r="D64" s="31" t="s">
        <v>1976</v>
      </c>
      <c r="E64" s="219"/>
      <c r="F64" s="220"/>
      <c r="G64" s="221"/>
      <c r="J64" s="6">
        <f t="shared" si="21"/>
        <v>0</v>
      </c>
      <c r="K64" s="130">
        <f>IF(LEN(E64)=0,0,1)</f>
        <v>0</v>
      </c>
      <c r="L64" s="126">
        <f>IF(A64="Hide",0,IF($J$7=1,E64,0))</f>
        <v>0</v>
      </c>
      <c r="M64" s="52" t="str">
        <f>formData!B107</f>
        <v>YOUR_PARTNER_OTHER_TRAVEL_DOCS_DATE_OF_BIRTH</v>
      </c>
      <c r="N64" s="6">
        <f t="shared" si="2"/>
        <v>0</v>
      </c>
      <c r="O64" s="6">
        <f t="shared" si="3"/>
        <v>0</v>
      </c>
    </row>
    <row r="65" spans="1:15" s="6" customFormat="1" ht="20.100000000000001" hidden="1" customHeight="1">
      <c r="A65" s="106" t="str">
        <f t="shared" si="20"/>
        <v>HIDE</v>
      </c>
      <c r="B65" s="105"/>
      <c r="C65" s="74" t="s">
        <v>1912</v>
      </c>
      <c r="D65" s="7" t="s">
        <v>35</v>
      </c>
      <c r="E65" s="234"/>
      <c r="F65" s="235"/>
      <c r="G65" s="236"/>
      <c r="J65" s="6">
        <f t="shared" si="21"/>
        <v>0</v>
      </c>
      <c r="K65" s="130">
        <f>IF(LEN(E65)=0,0,1)</f>
        <v>0</v>
      </c>
      <c r="L65" s="126">
        <f>IF(A65="Hide",0,IF($J$7=1,E65,0))</f>
        <v>0</v>
      </c>
      <c r="M65" s="52" t="str">
        <f>formData!B108</f>
        <v>YOUR_PARTNER_OTHER_TRAVEL_DOCS_PASSPORT_NUMBER</v>
      </c>
      <c r="N65" s="6">
        <f t="shared" si="2"/>
        <v>0</v>
      </c>
      <c r="O65" s="6">
        <f t="shared" si="3"/>
        <v>0</v>
      </c>
    </row>
    <row r="66" spans="1:15" s="6" customFormat="1" ht="20.100000000000001" hidden="1" customHeight="1">
      <c r="A66" s="106" t="str">
        <f t="shared" si="20"/>
        <v>HIDE</v>
      </c>
      <c r="B66" s="105">
        <v>1</v>
      </c>
      <c r="C66" s="74" t="s">
        <v>1912</v>
      </c>
      <c r="D66" s="7" t="s">
        <v>23</v>
      </c>
      <c r="E66" s="240"/>
      <c r="F66" s="241"/>
      <c r="G66" s="242"/>
      <c r="J66" s="6">
        <f t="shared" ref="J66:J70" si="22">IF($C66="*",IF($A66="Hide",0,$J$7),0)</f>
        <v>0</v>
      </c>
      <c r="K66" s="129">
        <f>IF(B66=1,0,1)</f>
        <v>0</v>
      </c>
      <c r="L66" s="127">
        <f>IF(A66="Hide",1,IF($J$7=1,B66,1))</f>
        <v>1</v>
      </c>
      <c r="M66" s="52" t="str">
        <f>formData!B109</f>
        <v>YOUR_PARTNER_OTHER_TRAVEL_DOCS_COUNTRY_OF_ISSUE</v>
      </c>
      <c r="N66" s="6">
        <f t="shared" si="2"/>
        <v>0</v>
      </c>
      <c r="O66" s="6">
        <f t="shared" si="3"/>
        <v>0</v>
      </c>
    </row>
    <row r="67" spans="1:15" s="6" customFormat="1" ht="20.100000000000001" hidden="1" customHeight="1">
      <c r="A67" s="106" t="str">
        <f t="shared" si="20"/>
        <v>HIDE</v>
      </c>
      <c r="B67" s="105">
        <v>1</v>
      </c>
      <c r="C67" s="74" t="s">
        <v>1912</v>
      </c>
      <c r="D67" s="7" t="s">
        <v>36</v>
      </c>
      <c r="E67" s="198"/>
      <c r="F67" s="199"/>
      <c r="G67" s="200"/>
      <c r="J67" s="6">
        <f t="shared" si="22"/>
        <v>0</v>
      </c>
      <c r="K67" s="129">
        <f>IF(B67=1,0,1)</f>
        <v>0</v>
      </c>
      <c r="L67" s="127">
        <f>IF(A67="Hide",1,IF($J$7=1,B67,1))</f>
        <v>1</v>
      </c>
      <c r="M67" s="52" t="str">
        <f>formData!B110</f>
        <v>YOUR_PARTNER_OTHER_TRAVEL_DOCS_NATIONALITY_OF_PASSPORT_HOLDER</v>
      </c>
      <c r="N67" s="6">
        <f t="shared" si="2"/>
        <v>0</v>
      </c>
      <c r="O67" s="6">
        <f t="shared" si="3"/>
        <v>0</v>
      </c>
    </row>
    <row r="68" spans="1:15" s="6" customFormat="1" ht="20.100000000000001" hidden="1" customHeight="1">
      <c r="A68" s="106" t="str">
        <f t="shared" si="20"/>
        <v>HIDE</v>
      </c>
      <c r="B68" s="105"/>
      <c r="C68" s="74" t="s">
        <v>1912</v>
      </c>
      <c r="D68" s="31" t="s">
        <v>1973</v>
      </c>
      <c r="E68" s="219"/>
      <c r="F68" s="220"/>
      <c r="G68" s="221"/>
      <c r="J68" s="6">
        <f t="shared" si="22"/>
        <v>0</v>
      </c>
      <c r="K68" s="130">
        <f>IF(LEN(E68)=0,0,1)</f>
        <v>0</v>
      </c>
      <c r="L68" s="126">
        <f>IF(A68="Hide",0,IF($J$7=1,E68,0))</f>
        <v>0</v>
      </c>
      <c r="M68" s="52" t="str">
        <f>formData!B111</f>
        <v>YOUR_PARTNER_OTHER_TRAVEL_DOCS_DATE_OF_ISSUE</v>
      </c>
      <c r="N68" s="6">
        <f t="shared" si="2"/>
        <v>0</v>
      </c>
      <c r="O68" s="6">
        <f t="shared" si="3"/>
        <v>0</v>
      </c>
    </row>
    <row r="69" spans="1:15" s="6" customFormat="1" ht="20.100000000000001" hidden="1" customHeight="1">
      <c r="A69" s="106" t="str">
        <f t="shared" si="20"/>
        <v>HIDE</v>
      </c>
      <c r="B69" s="105"/>
      <c r="C69" s="74" t="s">
        <v>1912</v>
      </c>
      <c r="D69" s="31" t="s">
        <v>1972</v>
      </c>
      <c r="E69" s="219"/>
      <c r="F69" s="220"/>
      <c r="G69" s="221"/>
      <c r="J69" s="6">
        <f t="shared" si="22"/>
        <v>0</v>
      </c>
      <c r="K69" s="130">
        <f>IF(LEN(E69)=0,0,1)</f>
        <v>0</v>
      </c>
      <c r="L69" s="126">
        <f>IF(A69="Hide",0,IF($J$7=1,E69,0))</f>
        <v>0</v>
      </c>
      <c r="M69" s="52" t="str">
        <f>formData!B112</f>
        <v>YOUR_PARTNER_OTHER_TRAVEL_DOCS_EXPIRY_DATE</v>
      </c>
      <c r="N69" s="6">
        <f t="shared" si="2"/>
        <v>0</v>
      </c>
      <c r="O69" s="6">
        <f t="shared" si="3"/>
        <v>0</v>
      </c>
    </row>
    <row r="70" spans="1:15" s="6" customFormat="1" ht="20.100000000000001" hidden="1" customHeight="1">
      <c r="A70" s="106" t="str">
        <f t="shared" si="20"/>
        <v>HIDE</v>
      </c>
      <c r="B70" s="105"/>
      <c r="C70" s="74" t="s">
        <v>1912</v>
      </c>
      <c r="D70" s="7" t="s">
        <v>18</v>
      </c>
      <c r="E70" s="198"/>
      <c r="F70" s="199"/>
      <c r="G70" s="200"/>
      <c r="J70" s="6">
        <f t="shared" si="22"/>
        <v>0</v>
      </c>
      <c r="K70" s="130">
        <f>IF(LEN(E70)=0,0,1)</f>
        <v>0</v>
      </c>
      <c r="L70" s="126">
        <f>IF(A70="Hide",0,IF($J$7=1,E70,0))</f>
        <v>0</v>
      </c>
      <c r="M70" s="52" t="str">
        <f>formData!B113</f>
        <v>YOUR_PARTNER_OTHER_TRAVEL_DOCS_PLACE_OF_ISSUE</v>
      </c>
      <c r="N70" s="6">
        <f t="shared" si="2"/>
        <v>0</v>
      </c>
      <c r="O70" s="6">
        <f t="shared" si="3"/>
        <v>0</v>
      </c>
    </row>
    <row r="71" spans="1:15" s="6" customFormat="1" ht="20.100000000000001" customHeight="1">
      <c r="A71" s="105"/>
      <c r="B71" s="105"/>
      <c r="D71" s="9"/>
      <c r="E71" s="2"/>
      <c r="N71" s="6">
        <f t="shared" si="2"/>
        <v>0</v>
      </c>
      <c r="O71" s="6">
        <f t="shared" si="3"/>
        <v>0</v>
      </c>
    </row>
    <row r="72" spans="1:15" ht="24.95" customHeight="1">
      <c r="A72" s="104"/>
      <c r="B72" s="104">
        <v>1</v>
      </c>
      <c r="C72" s="74"/>
      <c r="D72" s="253" t="s">
        <v>7</v>
      </c>
      <c r="E72" s="254"/>
      <c r="F72" s="254"/>
      <c r="G72" s="255"/>
      <c r="N72" s="6">
        <f t="shared" si="2"/>
        <v>0</v>
      </c>
      <c r="O72" s="6">
        <f t="shared" si="3"/>
        <v>0</v>
      </c>
    </row>
    <row r="73" spans="1:15" s="6" customFormat="1" ht="20.100000000000001" customHeight="1">
      <c r="A73" s="105"/>
      <c r="B73" s="105">
        <v>1</v>
      </c>
      <c r="C73" s="74" t="s">
        <v>1912</v>
      </c>
      <c r="D73" s="7" t="s">
        <v>61</v>
      </c>
      <c r="E73" s="240"/>
      <c r="F73" s="241"/>
      <c r="G73" s="242"/>
      <c r="J73" s="6">
        <f t="shared" ref="J73:J75" si="23">IF($C73="*",IF($A73="Hide",0,$J$7),0)</f>
        <v>0</v>
      </c>
      <c r="K73" s="129">
        <f>IF(B73=1,0,1)</f>
        <v>0</v>
      </c>
      <c r="L73" s="127">
        <f>IF(A73="Hide",1,IF($J$7=1,B73,1))</f>
        <v>1</v>
      </c>
      <c r="M73" s="52" t="str">
        <f>formData!B114</f>
        <v>YOUR_PARTNER_OTHER_IDENTITY_DOCS_HAVE_OTHER_ID</v>
      </c>
      <c r="N73" s="6">
        <f t="shared" si="2"/>
        <v>0</v>
      </c>
      <c r="O73" s="6">
        <f t="shared" si="3"/>
        <v>0</v>
      </c>
    </row>
    <row r="74" spans="1:15" s="6" customFormat="1" ht="20.100000000000001" hidden="1" customHeight="1">
      <c r="A74" s="106" t="str">
        <f>IF($B$73=2,"Show","HIDE")</f>
        <v>HIDE</v>
      </c>
      <c r="B74" s="105"/>
      <c r="C74" s="74" t="s">
        <v>1912</v>
      </c>
      <c r="D74" s="7" t="s">
        <v>12</v>
      </c>
      <c r="E74" s="198"/>
      <c r="F74" s="199"/>
      <c r="G74" s="200"/>
      <c r="J74" s="6">
        <f t="shared" si="23"/>
        <v>0</v>
      </c>
      <c r="K74" s="130">
        <f>IF(LEN(E74)=0,0,1)</f>
        <v>0</v>
      </c>
      <c r="L74" s="126">
        <f>IF(A74="Hide",0,IF($J$7=1,E74,0))</f>
        <v>0</v>
      </c>
      <c r="M74" s="52" t="str">
        <f>formData!B115</f>
        <v>YOUR_PARTNER_OTHER_TRAVEL_DOCS_FAMILY_NAME</v>
      </c>
      <c r="N74" s="6">
        <f t="shared" si="2"/>
        <v>0</v>
      </c>
      <c r="O74" s="6">
        <f t="shared" si="3"/>
        <v>0</v>
      </c>
    </row>
    <row r="75" spans="1:15" s="6" customFormat="1" ht="20.100000000000001" hidden="1" customHeight="1">
      <c r="A75" s="106" t="str">
        <f>IF($B$73=2,"Show","HIDE")</f>
        <v>HIDE</v>
      </c>
      <c r="B75" s="105"/>
      <c r="C75" s="74" t="s">
        <v>1912</v>
      </c>
      <c r="D75" s="7" t="s">
        <v>13</v>
      </c>
      <c r="E75" s="198"/>
      <c r="F75" s="199"/>
      <c r="G75" s="200"/>
      <c r="J75" s="6">
        <f t="shared" si="23"/>
        <v>0</v>
      </c>
      <c r="K75" s="130">
        <f>IF(LEN(E75)=0,0,1)</f>
        <v>0</v>
      </c>
      <c r="L75" s="126">
        <f>IF(A75="Hide",0,IF($J$7=1,E75,0))</f>
        <v>0</v>
      </c>
      <c r="M75" s="52" t="str">
        <f>formData!B116</f>
        <v>YOUR_PARTNER_OTHER_IDENTITY_TRAVEL_DOCS_GIVEN_NAMES</v>
      </c>
      <c r="N75" s="6">
        <f t="shared" si="2"/>
        <v>0</v>
      </c>
      <c r="O75" s="6">
        <f t="shared" si="3"/>
        <v>0</v>
      </c>
    </row>
    <row r="76" spans="1:15" s="6" customFormat="1" ht="20.100000000000001" hidden="1" customHeight="1">
      <c r="A76" s="106" t="str">
        <f>IF($B$73=2,"Show","HIDE")</f>
        <v>HIDE</v>
      </c>
      <c r="B76" s="105">
        <v>1</v>
      </c>
      <c r="C76" s="74" t="s">
        <v>1912</v>
      </c>
      <c r="D76" s="7" t="s">
        <v>34</v>
      </c>
      <c r="E76" s="240"/>
      <c r="F76" s="241"/>
      <c r="G76" s="242"/>
      <c r="J76" s="6">
        <f t="shared" ref="J76:J77" si="24">IF($C76="*",IF($A76="Hide",0,$J$7),0)</f>
        <v>0</v>
      </c>
      <c r="K76" s="129">
        <f>IF(B76=1,0,1)</f>
        <v>0</v>
      </c>
      <c r="L76" s="127">
        <f>IF(A76="Hide",1,IF($J$7=1,B76,1))</f>
        <v>1</v>
      </c>
      <c r="M76" s="52" t="str">
        <f>formData!B117</f>
        <v>YOUR_PARTNER_OTHER_IDENTITY_DOCS_TYPE_OF_DOCUMENT</v>
      </c>
      <c r="N76" s="6">
        <f t="shared" si="2"/>
        <v>0</v>
      </c>
      <c r="O76" s="6">
        <f t="shared" si="3"/>
        <v>0</v>
      </c>
    </row>
    <row r="77" spans="1:15" s="6" customFormat="1" ht="20.100000000000001" hidden="1" customHeight="1">
      <c r="A77" s="106" t="str">
        <f>IF($B$73=2,"Show","HIDE")</f>
        <v>HIDE</v>
      </c>
      <c r="B77" s="105"/>
      <c r="C77" s="74" t="s">
        <v>1912</v>
      </c>
      <c r="D77" s="7" t="s">
        <v>22</v>
      </c>
      <c r="E77" s="234"/>
      <c r="F77" s="235"/>
      <c r="G77" s="236"/>
      <c r="J77" s="6">
        <f t="shared" si="24"/>
        <v>0</v>
      </c>
      <c r="K77" s="130">
        <f>IF(LEN(E77)=0,0,1)</f>
        <v>0</v>
      </c>
      <c r="L77" s="126">
        <f>IF(A77="Hide",0,IF($J$7=1,E77,0))</f>
        <v>0</v>
      </c>
      <c r="M77" s="52" t="str">
        <f>formData!B118</f>
        <v>YOUR_PARTNER_OTHER_IDENTITY_DOCS_ID_NUMBER</v>
      </c>
      <c r="N77" s="6">
        <f t="shared" si="2"/>
        <v>0</v>
      </c>
      <c r="O77" s="6">
        <f t="shared" si="3"/>
        <v>0</v>
      </c>
    </row>
    <row r="78" spans="1:15" s="6" customFormat="1" ht="20.100000000000001" hidden="1" customHeight="1">
      <c r="A78" s="106" t="str">
        <f>IF($B$73=2,"Show","HIDE")</f>
        <v>HIDE</v>
      </c>
      <c r="B78" s="105">
        <v>1</v>
      </c>
      <c r="C78" s="74" t="s">
        <v>1912</v>
      </c>
      <c r="D78" s="7" t="s">
        <v>23</v>
      </c>
      <c r="E78" s="240"/>
      <c r="F78" s="241"/>
      <c r="G78" s="242"/>
      <c r="J78" s="6">
        <f t="shared" ref="J78" si="25">IF($C78="*",IF($A78="Hide",0,$J$7),0)</f>
        <v>0</v>
      </c>
      <c r="K78" s="129">
        <f>IF(B78=1,0,1)</f>
        <v>0</v>
      </c>
      <c r="L78" s="127">
        <f>IF(A78="Hide",1,IF($J$7=1,B78,1))</f>
        <v>1</v>
      </c>
      <c r="M78" s="52" t="str">
        <f>formData!B119</f>
        <v>YOUR_PARTNER_OTHER_IDENTITY_DOCS_COUNTRY_OF_ISSUE</v>
      </c>
      <c r="N78" s="6">
        <f>IF(J78=1,1,0)</f>
        <v>0</v>
      </c>
      <c r="O78" s="6">
        <f>+J78*K78</f>
        <v>0</v>
      </c>
    </row>
    <row r="79" spans="1:15">
      <c r="A79" s="104"/>
      <c r="B79" s="104"/>
    </row>
    <row r="80" spans="1:15">
      <c r="A80" s="104"/>
      <c r="B80" s="104"/>
    </row>
  </sheetData>
  <sheetProtection algorithmName="SHA-512" hashValue="iuz8xUwlpVe3sZjx0UjT4r8070P+11NrM7M6MEqAVN4+S7EP0KTLENzDKKQrbdysxsBo2rxQ4NpJv8Fq5mB2pA==" saltValue="dg/NmpzRWQbJB99MdbcDyQ==" spinCount="100000" sheet="1" objects="1" scenarios="1"/>
  <mergeCells count="66">
    <mergeCell ref="D37:G37"/>
    <mergeCell ref="D38:G38"/>
    <mergeCell ref="D10:G10"/>
    <mergeCell ref="D9:G9"/>
    <mergeCell ref="D2:G2"/>
    <mergeCell ref="D4:G4"/>
    <mergeCell ref="D6:G6"/>
    <mergeCell ref="E7:G7"/>
    <mergeCell ref="E8:G8"/>
    <mergeCell ref="E34:G34"/>
    <mergeCell ref="D12:G12"/>
    <mergeCell ref="E13:G13"/>
    <mergeCell ref="E14:G14"/>
    <mergeCell ref="D25:G25"/>
    <mergeCell ref="E26:G26"/>
    <mergeCell ref="E15:G15"/>
    <mergeCell ref="E16:G16"/>
    <mergeCell ref="E17:G17"/>
    <mergeCell ref="E18:G18"/>
    <mergeCell ref="E22:G22"/>
    <mergeCell ref="E61:G61"/>
    <mergeCell ref="E49:G49"/>
    <mergeCell ref="E43:G43"/>
    <mergeCell ref="D29:G29"/>
    <mergeCell ref="E30:G30"/>
    <mergeCell ref="E31:G31"/>
    <mergeCell ref="E32:G32"/>
    <mergeCell ref="D40:G40"/>
    <mergeCell ref="E41:G41"/>
    <mergeCell ref="E35:G35"/>
    <mergeCell ref="E36:G36"/>
    <mergeCell ref="E42:G42"/>
    <mergeCell ref="D45:G45"/>
    <mergeCell ref="E46:G46"/>
    <mergeCell ref="E47:G47"/>
    <mergeCell ref="E48:G48"/>
    <mergeCell ref="E55:G55"/>
    <mergeCell ref="D51:G51"/>
    <mergeCell ref="D53:G53"/>
    <mergeCell ref="E54:G54"/>
    <mergeCell ref="E56:G56"/>
    <mergeCell ref="D58:G58"/>
    <mergeCell ref="E59:G59"/>
    <mergeCell ref="E60:G60"/>
    <mergeCell ref="E76:G76"/>
    <mergeCell ref="E68:G68"/>
    <mergeCell ref="E63:G63"/>
    <mergeCell ref="E64:G64"/>
    <mergeCell ref="E65:G65"/>
    <mergeCell ref="E66:G66"/>
    <mergeCell ref="E67:G67"/>
    <mergeCell ref="E62:G62"/>
    <mergeCell ref="E77:G77"/>
    <mergeCell ref="E78:G78"/>
    <mergeCell ref="E69:G69"/>
    <mergeCell ref="E70:G70"/>
    <mergeCell ref="D72:G72"/>
    <mergeCell ref="E73:G73"/>
    <mergeCell ref="E74:G74"/>
    <mergeCell ref="E75:G75"/>
    <mergeCell ref="E19:G19"/>
    <mergeCell ref="E20:G20"/>
    <mergeCell ref="E21:G21"/>
    <mergeCell ref="E23:G23"/>
    <mergeCell ref="E33:G33"/>
    <mergeCell ref="E27:G27"/>
  </mergeCells>
  <dataValidations count="4">
    <dataValidation type="date" allowBlank="1" showInputMessage="1" showErrorMessage="1" errorTitle="Date of expiry" error="Please enter a valid date" sqref="E21:G22 E69:G69 E36:G36" xr:uid="{00000000-0002-0000-0800-000000000000}">
      <formula1>1</formula1>
      <formula2>54789</formula2>
    </dataValidation>
    <dataValidation type="date" allowBlank="1" showInputMessage="1" showErrorMessage="1" errorTitle="Date of issue" error="Please enter a valid date" sqref="E20:G20 E68:G68 E35:G35" xr:uid="{00000000-0002-0000-0800-000001000000}">
      <formula1>1</formula1>
      <formula2>54789</formula2>
    </dataValidation>
    <dataValidation type="date" allowBlank="1" showInputMessage="1" showErrorMessage="1" errorTitle="Date of birth" error="Please enter a valid date" sqref="E16:G16 E64:G64" xr:uid="{00000000-0002-0000-0800-000002000000}">
      <formula1>1</formula1>
      <formula2>54789</formula2>
    </dataValidation>
    <dataValidation type="textLength" operator="lessThanOrEqual" allowBlank="1" showInputMessage="1" showErrorMessage="1" errorTitle="Give Details" error="The maximum length of text that you can enter is 300 characters" sqref="D10:G10 D51:G51 D38:G38" xr:uid="{00000000-0002-0000-0800-000003000000}">
      <formula1>300</formula1>
    </dataValidation>
  </dataValidations>
  <hyperlinks>
    <hyperlink ref="G3" location="yourPartner!G3" display="SAVE" xr:uid="{00000000-0004-0000-0800-000000000000}"/>
    <hyperlink ref="D3" location="index!C1" display="INDEX" xr:uid="{00000000-0004-0000-0800-000001000000}"/>
  </hyperlinks>
  <pageMargins left="0.7" right="0.7" top="0.75" bottom="0.75" header="0.3" footer="0.3"/>
  <pageSetup paperSize="9" scale="8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Drop Down 1">
              <controlPr locked="0" defaultSize="0" autoLine="0" autoPict="0">
                <anchor moveWithCells="1">
                  <from>
                    <xdr:col>4</xdr:col>
                    <xdr:colOff>0</xdr:colOff>
                    <xdr:row>25</xdr:row>
                    <xdr:rowOff>66675</xdr:rowOff>
                  </from>
                  <to>
                    <xdr:col>7</xdr:col>
                    <xdr:colOff>0</xdr:colOff>
                    <xdr:row>25</xdr:row>
                    <xdr:rowOff>314325</xdr:rowOff>
                  </to>
                </anchor>
              </controlPr>
            </control>
          </mc:Choice>
        </mc:AlternateContent>
        <mc:AlternateContent xmlns:mc="http://schemas.openxmlformats.org/markup-compatibility/2006">
          <mc:Choice Requires="x14">
            <control shapeId="6146" r:id="rId5" name="Drop Down 2">
              <controlPr locked="0" defaultSize="0" autoLine="0" autoPict="0">
                <anchor moveWithCells="1">
                  <from>
                    <xdr:col>4</xdr:col>
                    <xdr:colOff>0</xdr:colOff>
                    <xdr:row>6</xdr:row>
                    <xdr:rowOff>0</xdr:rowOff>
                  </from>
                  <to>
                    <xdr:col>7</xdr:col>
                    <xdr:colOff>0</xdr:colOff>
                    <xdr:row>7</xdr:row>
                    <xdr:rowOff>0</xdr:rowOff>
                  </to>
                </anchor>
              </controlPr>
            </control>
          </mc:Choice>
        </mc:AlternateContent>
        <mc:AlternateContent xmlns:mc="http://schemas.openxmlformats.org/markup-compatibility/2006">
          <mc:Choice Requires="x14">
            <control shapeId="6148" r:id="rId6" name="Drop Down 4">
              <controlPr locked="0" defaultSize="0" autoLine="0" autoPict="0">
                <anchor moveWithCells="1">
                  <from>
                    <xdr:col>4</xdr:col>
                    <xdr:colOff>0</xdr:colOff>
                    <xdr:row>7</xdr:row>
                    <xdr:rowOff>0</xdr:rowOff>
                  </from>
                  <to>
                    <xdr:col>7</xdr:col>
                    <xdr:colOff>0</xdr:colOff>
                    <xdr:row>8</xdr:row>
                    <xdr:rowOff>0</xdr:rowOff>
                  </to>
                </anchor>
              </controlPr>
            </control>
          </mc:Choice>
        </mc:AlternateContent>
        <mc:AlternateContent xmlns:mc="http://schemas.openxmlformats.org/markup-compatibility/2006">
          <mc:Choice Requires="x14">
            <control shapeId="6150" r:id="rId7" name="Drop Down 6">
              <controlPr locked="0" defaultSize="0" autoLine="0" autoPict="0">
                <anchor moveWithCells="1">
                  <from>
                    <xdr:col>4</xdr:col>
                    <xdr:colOff>0</xdr:colOff>
                    <xdr:row>14</xdr:row>
                    <xdr:rowOff>0</xdr:rowOff>
                  </from>
                  <to>
                    <xdr:col>7</xdr:col>
                    <xdr:colOff>0</xdr:colOff>
                    <xdr:row>15</xdr:row>
                    <xdr:rowOff>0</xdr:rowOff>
                  </to>
                </anchor>
              </controlPr>
            </control>
          </mc:Choice>
        </mc:AlternateContent>
        <mc:AlternateContent xmlns:mc="http://schemas.openxmlformats.org/markup-compatibility/2006">
          <mc:Choice Requires="x14">
            <control shapeId="6151" r:id="rId8" name="Drop Down 7">
              <controlPr locked="0" defaultSize="0" autoLine="0" autoPict="0" macro="[0]!DropDownYourPartnerChinaPlaceofIssue_Change">
                <anchor moveWithCells="1">
                  <from>
                    <xdr:col>4</xdr:col>
                    <xdr:colOff>0</xdr:colOff>
                    <xdr:row>17</xdr:row>
                    <xdr:rowOff>0</xdr:rowOff>
                  </from>
                  <to>
                    <xdr:col>7</xdr:col>
                    <xdr:colOff>0</xdr:colOff>
                    <xdr:row>18</xdr:row>
                    <xdr:rowOff>0</xdr:rowOff>
                  </to>
                </anchor>
              </controlPr>
            </control>
          </mc:Choice>
        </mc:AlternateContent>
        <mc:AlternateContent xmlns:mc="http://schemas.openxmlformats.org/markup-compatibility/2006">
          <mc:Choice Requires="x14">
            <control shapeId="6152" r:id="rId9" name="Drop Down 8">
              <controlPr locked="0" defaultSize="0" autoLine="0" autoPict="0">
                <anchor moveWithCells="1">
                  <from>
                    <xdr:col>4</xdr:col>
                    <xdr:colOff>0</xdr:colOff>
                    <xdr:row>18</xdr:row>
                    <xdr:rowOff>0</xdr:rowOff>
                  </from>
                  <to>
                    <xdr:col>7</xdr:col>
                    <xdr:colOff>0</xdr:colOff>
                    <xdr:row>19</xdr:row>
                    <xdr:rowOff>0</xdr:rowOff>
                  </to>
                </anchor>
              </controlPr>
            </control>
          </mc:Choice>
        </mc:AlternateContent>
        <mc:AlternateContent xmlns:mc="http://schemas.openxmlformats.org/markup-compatibility/2006">
          <mc:Choice Requires="x14">
            <control shapeId="6154" r:id="rId10" name="Drop Down 10">
              <controlPr locked="0" defaultSize="0" autoLine="0" autoPict="0" macro="[0]!DropDownNationalIdentity_Change">
                <anchor moveWithCells="1">
                  <from>
                    <xdr:col>4</xdr:col>
                    <xdr:colOff>0</xdr:colOff>
                    <xdr:row>29</xdr:row>
                    <xdr:rowOff>0</xdr:rowOff>
                  </from>
                  <to>
                    <xdr:col>7</xdr:col>
                    <xdr:colOff>0</xdr:colOff>
                    <xdr:row>30</xdr:row>
                    <xdr:rowOff>0</xdr:rowOff>
                  </to>
                </anchor>
              </controlPr>
            </control>
          </mc:Choice>
        </mc:AlternateContent>
        <mc:AlternateContent xmlns:mc="http://schemas.openxmlformats.org/markup-compatibility/2006">
          <mc:Choice Requires="x14">
            <control shapeId="6155" r:id="rId11" name="Drop Down 11">
              <controlPr locked="0" defaultSize="0" autoLine="0" autoPict="0">
                <anchor moveWithCells="1">
                  <from>
                    <xdr:col>4</xdr:col>
                    <xdr:colOff>0</xdr:colOff>
                    <xdr:row>33</xdr:row>
                    <xdr:rowOff>0</xdr:rowOff>
                  </from>
                  <to>
                    <xdr:col>7</xdr:col>
                    <xdr:colOff>0</xdr:colOff>
                    <xdr:row>39</xdr:row>
                    <xdr:rowOff>0</xdr:rowOff>
                  </to>
                </anchor>
              </controlPr>
            </control>
          </mc:Choice>
        </mc:AlternateContent>
        <mc:AlternateContent xmlns:mc="http://schemas.openxmlformats.org/markup-compatibility/2006">
          <mc:Choice Requires="x14">
            <control shapeId="6156" r:id="rId12" name="Drop Down 12">
              <controlPr locked="0" defaultSize="0" autoLine="0" autoPict="0">
                <anchor moveWithCells="1">
                  <from>
                    <xdr:col>4</xdr:col>
                    <xdr:colOff>0</xdr:colOff>
                    <xdr:row>42</xdr:row>
                    <xdr:rowOff>0</xdr:rowOff>
                  </from>
                  <to>
                    <xdr:col>7</xdr:col>
                    <xdr:colOff>0</xdr:colOff>
                    <xdr:row>43</xdr:row>
                    <xdr:rowOff>0</xdr:rowOff>
                  </to>
                </anchor>
              </controlPr>
            </control>
          </mc:Choice>
        </mc:AlternateContent>
        <mc:AlternateContent xmlns:mc="http://schemas.openxmlformats.org/markup-compatibility/2006">
          <mc:Choice Requires="x14">
            <control shapeId="6157" r:id="rId13" name="Drop Down 13">
              <controlPr locked="0" defaultSize="0" autoLine="0" autoPict="0">
                <anchor moveWithCells="1">
                  <from>
                    <xdr:col>4</xdr:col>
                    <xdr:colOff>0</xdr:colOff>
                    <xdr:row>48</xdr:row>
                    <xdr:rowOff>0</xdr:rowOff>
                  </from>
                  <to>
                    <xdr:col>7</xdr:col>
                    <xdr:colOff>0</xdr:colOff>
                    <xdr:row>52</xdr:row>
                    <xdr:rowOff>0</xdr:rowOff>
                  </to>
                </anchor>
              </controlPr>
            </control>
          </mc:Choice>
        </mc:AlternateContent>
        <mc:AlternateContent xmlns:mc="http://schemas.openxmlformats.org/markup-compatibility/2006">
          <mc:Choice Requires="x14">
            <control shapeId="6158" r:id="rId14" name="Drop Down 14">
              <controlPr locked="0" defaultSize="0" autoLine="0" autoPict="0" macro="[0]!DropDownOtherNamesOrSpelling_Change">
                <anchor moveWithCells="1">
                  <from>
                    <xdr:col>4</xdr:col>
                    <xdr:colOff>0</xdr:colOff>
                    <xdr:row>45</xdr:row>
                    <xdr:rowOff>66675</xdr:rowOff>
                  </from>
                  <to>
                    <xdr:col>7</xdr:col>
                    <xdr:colOff>0</xdr:colOff>
                    <xdr:row>45</xdr:row>
                    <xdr:rowOff>314325</xdr:rowOff>
                  </to>
                </anchor>
              </controlPr>
            </control>
          </mc:Choice>
        </mc:AlternateContent>
        <mc:AlternateContent xmlns:mc="http://schemas.openxmlformats.org/markup-compatibility/2006">
          <mc:Choice Requires="x14">
            <control shapeId="6159" r:id="rId15" name="Drop Down 15">
              <controlPr locked="0" defaultSize="0" autoLine="0" autoPict="0">
                <anchor moveWithCells="1">
                  <from>
                    <xdr:col>4</xdr:col>
                    <xdr:colOff>0</xdr:colOff>
                    <xdr:row>53</xdr:row>
                    <xdr:rowOff>66675</xdr:rowOff>
                  </from>
                  <to>
                    <xdr:col>7</xdr:col>
                    <xdr:colOff>0</xdr:colOff>
                    <xdr:row>53</xdr:row>
                    <xdr:rowOff>314325</xdr:rowOff>
                  </to>
                </anchor>
              </controlPr>
            </control>
          </mc:Choice>
        </mc:AlternateContent>
        <mc:AlternateContent xmlns:mc="http://schemas.openxmlformats.org/markup-compatibility/2006">
          <mc:Choice Requires="x14">
            <control shapeId="6160" r:id="rId16" name="Drop Down 16">
              <controlPr locked="0" defaultSize="0" autoLine="0" autoPict="0" macro="[0]!DropDownIsPartnerCitizenOfAnotherCountry_Change">
                <anchor moveWithCells="1">
                  <from>
                    <xdr:col>4</xdr:col>
                    <xdr:colOff>0</xdr:colOff>
                    <xdr:row>54</xdr:row>
                    <xdr:rowOff>0</xdr:rowOff>
                  </from>
                  <to>
                    <xdr:col>7</xdr:col>
                    <xdr:colOff>0</xdr:colOff>
                    <xdr:row>55</xdr:row>
                    <xdr:rowOff>0</xdr:rowOff>
                  </to>
                </anchor>
              </controlPr>
            </control>
          </mc:Choice>
        </mc:AlternateContent>
        <mc:AlternateContent xmlns:mc="http://schemas.openxmlformats.org/markup-compatibility/2006">
          <mc:Choice Requires="x14">
            <control shapeId="6161" r:id="rId17" name="Drop Down 17">
              <controlPr locked="0" defaultSize="0" autoLine="0" autoPict="0">
                <anchor moveWithCells="1">
                  <from>
                    <xdr:col>4</xdr:col>
                    <xdr:colOff>0</xdr:colOff>
                    <xdr:row>55</xdr:row>
                    <xdr:rowOff>0</xdr:rowOff>
                  </from>
                  <to>
                    <xdr:col>4</xdr:col>
                    <xdr:colOff>1724025</xdr:colOff>
                    <xdr:row>57</xdr:row>
                    <xdr:rowOff>0</xdr:rowOff>
                  </to>
                </anchor>
              </controlPr>
            </control>
          </mc:Choice>
        </mc:AlternateContent>
        <mc:AlternateContent xmlns:mc="http://schemas.openxmlformats.org/markup-compatibility/2006">
          <mc:Choice Requires="x14">
            <control shapeId="6162" r:id="rId18" name="Drop Down 18">
              <controlPr locked="0" defaultSize="0" autoLine="0" autoPict="0">
                <anchor moveWithCells="1">
                  <from>
                    <xdr:col>4</xdr:col>
                    <xdr:colOff>1857375</xdr:colOff>
                    <xdr:row>54</xdr:row>
                    <xdr:rowOff>381000</xdr:rowOff>
                  </from>
                  <to>
                    <xdr:col>7</xdr:col>
                    <xdr:colOff>0</xdr:colOff>
                    <xdr:row>57</xdr:row>
                    <xdr:rowOff>0</xdr:rowOff>
                  </to>
                </anchor>
              </controlPr>
            </control>
          </mc:Choice>
        </mc:AlternateContent>
        <mc:AlternateContent xmlns:mc="http://schemas.openxmlformats.org/markup-compatibility/2006">
          <mc:Choice Requires="x14">
            <control shapeId="6163" r:id="rId19" name="Drop Down 19">
              <controlPr locked="0" defaultSize="0" autoLine="0" autoPict="0" macro="[0]!DropDownPartnerHasOtherPassportOrTravelDoc_Change">
                <anchor moveWithCells="1">
                  <from>
                    <xdr:col>4</xdr:col>
                    <xdr:colOff>0</xdr:colOff>
                    <xdr:row>58</xdr:row>
                    <xdr:rowOff>76200</xdr:rowOff>
                  </from>
                  <to>
                    <xdr:col>7</xdr:col>
                    <xdr:colOff>0</xdr:colOff>
                    <xdr:row>58</xdr:row>
                    <xdr:rowOff>333375</xdr:rowOff>
                  </to>
                </anchor>
              </controlPr>
            </control>
          </mc:Choice>
        </mc:AlternateContent>
        <mc:AlternateContent xmlns:mc="http://schemas.openxmlformats.org/markup-compatibility/2006">
          <mc:Choice Requires="x14">
            <control shapeId="6164" r:id="rId20" name="Drop Down 20">
              <controlPr locked="0" defaultSize="0" autoLine="0" autoPict="0">
                <anchor moveWithCells="1">
                  <from>
                    <xdr:col>4</xdr:col>
                    <xdr:colOff>0</xdr:colOff>
                    <xdr:row>59</xdr:row>
                    <xdr:rowOff>0</xdr:rowOff>
                  </from>
                  <to>
                    <xdr:col>7</xdr:col>
                    <xdr:colOff>0</xdr:colOff>
                    <xdr:row>71</xdr:row>
                    <xdr:rowOff>0</xdr:rowOff>
                  </to>
                </anchor>
              </controlPr>
            </control>
          </mc:Choice>
        </mc:AlternateContent>
        <mc:AlternateContent xmlns:mc="http://schemas.openxmlformats.org/markup-compatibility/2006">
          <mc:Choice Requires="x14">
            <control shapeId="6166" r:id="rId21" name="Drop Down 22">
              <controlPr locked="0" defaultSize="0" autoLine="0" autoPict="0">
                <anchor moveWithCells="1">
                  <from>
                    <xdr:col>4</xdr:col>
                    <xdr:colOff>0</xdr:colOff>
                    <xdr:row>62</xdr:row>
                    <xdr:rowOff>0</xdr:rowOff>
                  </from>
                  <to>
                    <xdr:col>7</xdr:col>
                    <xdr:colOff>0</xdr:colOff>
                    <xdr:row>71</xdr:row>
                    <xdr:rowOff>0</xdr:rowOff>
                  </to>
                </anchor>
              </controlPr>
            </control>
          </mc:Choice>
        </mc:AlternateContent>
        <mc:AlternateContent xmlns:mc="http://schemas.openxmlformats.org/markup-compatibility/2006">
          <mc:Choice Requires="x14">
            <control shapeId="6167" r:id="rId22" name="Drop Down 23">
              <controlPr locked="0" defaultSize="0" autoLine="0" autoPict="0">
                <anchor moveWithCells="1">
                  <from>
                    <xdr:col>4</xdr:col>
                    <xdr:colOff>0</xdr:colOff>
                    <xdr:row>65</xdr:row>
                    <xdr:rowOff>0</xdr:rowOff>
                  </from>
                  <to>
                    <xdr:col>7</xdr:col>
                    <xdr:colOff>0</xdr:colOff>
                    <xdr:row>71</xdr:row>
                    <xdr:rowOff>0</xdr:rowOff>
                  </to>
                </anchor>
              </controlPr>
            </control>
          </mc:Choice>
        </mc:AlternateContent>
        <mc:AlternateContent xmlns:mc="http://schemas.openxmlformats.org/markup-compatibility/2006">
          <mc:Choice Requires="x14">
            <control shapeId="6168" r:id="rId23" name="Drop Down 24">
              <controlPr defaultSize="0" autoLine="0" autoPict="0">
                <anchor moveWithCells="1">
                  <from>
                    <xdr:col>4</xdr:col>
                    <xdr:colOff>0</xdr:colOff>
                    <xdr:row>66</xdr:row>
                    <xdr:rowOff>0</xdr:rowOff>
                  </from>
                  <to>
                    <xdr:col>7</xdr:col>
                    <xdr:colOff>0</xdr:colOff>
                    <xdr:row>71</xdr:row>
                    <xdr:rowOff>0</xdr:rowOff>
                  </to>
                </anchor>
              </controlPr>
            </control>
          </mc:Choice>
        </mc:AlternateContent>
        <mc:AlternateContent xmlns:mc="http://schemas.openxmlformats.org/markup-compatibility/2006">
          <mc:Choice Requires="x14">
            <control shapeId="6169" r:id="rId24" name="Drop Down 25">
              <controlPr locked="0" defaultSize="0" autoLine="0" autoPict="0">
                <anchor moveWithCells="1">
                  <from>
                    <xdr:col>4</xdr:col>
                    <xdr:colOff>0</xdr:colOff>
                    <xdr:row>75</xdr:row>
                    <xdr:rowOff>0</xdr:rowOff>
                  </from>
                  <to>
                    <xdr:col>7</xdr:col>
                    <xdr:colOff>0</xdr:colOff>
                    <xdr:row>79</xdr:row>
                    <xdr:rowOff>85725</xdr:rowOff>
                  </to>
                </anchor>
              </controlPr>
            </control>
          </mc:Choice>
        </mc:AlternateContent>
        <mc:AlternateContent xmlns:mc="http://schemas.openxmlformats.org/markup-compatibility/2006">
          <mc:Choice Requires="x14">
            <control shapeId="6170" r:id="rId25" name="Drop Down 26">
              <controlPr locked="0" defaultSize="0" autoLine="0" autoPict="0" macro="[0]!DropDownPartnerHasOtherIdentityDoc_Change">
                <anchor moveWithCells="1">
                  <from>
                    <xdr:col>4</xdr:col>
                    <xdr:colOff>0</xdr:colOff>
                    <xdr:row>72</xdr:row>
                    <xdr:rowOff>0</xdr:rowOff>
                  </from>
                  <to>
                    <xdr:col>7</xdr:col>
                    <xdr:colOff>0</xdr:colOff>
                    <xdr:row>73</xdr:row>
                    <xdr:rowOff>0</xdr:rowOff>
                  </to>
                </anchor>
              </controlPr>
            </control>
          </mc:Choice>
        </mc:AlternateContent>
        <mc:AlternateContent xmlns:mc="http://schemas.openxmlformats.org/markup-compatibility/2006">
          <mc:Choice Requires="x14">
            <control shapeId="6172" r:id="rId26" name="Drop Down 28">
              <controlPr locked="0" defaultSize="0" autoLine="0" autoPict="0">
                <anchor moveWithCells="1">
                  <from>
                    <xdr:col>4</xdr:col>
                    <xdr:colOff>0</xdr:colOff>
                    <xdr:row>77</xdr:row>
                    <xdr:rowOff>0</xdr:rowOff>
                  </from>
                  <to>
                    <xdr:col>7</xdr:col>
                    <xdr:colOff>0</xdr:colOff>
                    <xdr:row>79</xdr:row>
                    <xdr:rowOff>85725</xdr:rowOff>
                  </to>
                </anchor>
              </controlPr>
            </control>
          </mc:Choice>
        </mc:AlternateContent>
        <mc:AlternateContent xmlns:mc="http://schemas.openxmlformats.org/markup-compatibility/2006">
          <mc:Choice Requires="x14">
            <control shapeId="6173" r:id="rId27" name="Drop Down 29">
              <controlPr locked="0" defaultSize="0" autoLine="0" autoPict="0">
                <anchor moveWithCells="1">
                  <from>
                    <xdr:col>4</xdr:col>
                    <xdr:colOff>0</xdr:colOff>
                    <xdr:row>66</xdr:row>
                    <xdr:rowOff>0</xdr:rowOff>
                  </from>
                  <to>
                    <xdr:col>7</xdr:col>
                    <xdr:colOff>0</xdr:colOff>
                    <xdr:row>71</xdr:row>
                    <xdr:rowOff>0</xdr:rowOff>
                  </to>
                </anchor>
              </controlPr>
            </control>
          </mc:Choice>
        </mc:AlternateContent>
        <mc:AlternateContent xmlns:mc="http://schemas.openxmlformats.org/markup-compatibility/2006">
          <mc:Choice Requires="x14">
            <control shapeId="6174" r:id="rId28" name="Drop Down 30">
              <controlPr locked="0" defaultSize="0" autoLine="0" autoPict="0" macro="[0]!DropDownYourDetailsChinaPlaceofIssue_Change">
                <anchor moveWithCells="1">
                  <from>
                    <xdr:col>4</xdr:col>
                    <xdr:colOff>0</xdr:colOff>
                    <xdr:row>21</xdr:row>
                    <xdr:rowOff>0</xdr:rowOff>
                  </from>
                  <to>
                    <xdr:col>7</xdr:col>
                    <xdr:colOff>0</xdr:colOff>
                    <xdr:row>23</xdr:row>
                    <xdr:rowOff>0</xdr:rowOff>
                  </to>
                </anchor>
              </controlPr>
            </control>
          </mc:Choice>
        </mc:AlternateContent>
        <mc:AlternateContent xmlns:mc="http://schemas.openxmlformats.org/markup-compatibility/2006">
          <mc:Choice Requires="x14">
            <control shapeId="6175" r:id="rId29" name="Drop Down 31">
              <controlPr locked="0" defaultSize="0" autoLine="0" autoPict="0">
                <anchor moveWithCells="1">
                  <from>
                    <xdr:col>4</xdr:col>
                    <xdr:colOff>0</xdr:colOff>
                    <xdr:row>33</xdr:row>
                    <xdr:rowOff>0</xdr:rowOff>
                  </from>
                  <to>
                    <xdr:col>7</xdr:col>
                    <xdr:colOff>0</xdr:colOff>
                    <xdr:row>39</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8" tint="0.59999389629810485"/>
    <pageSetUpPr fitToPage="1"/>
  </sheetPr>
  <dimension ref="A1:P134"/>
  <sheetViews>
    <sheetView showGridLines="0" showRowColHeaders="0" topLeftCell="C1" workbookViewId="0">
      <selection activeCell="D3" sqref="D3"/>
    </sheetView>
  </sheetViews>
  <sheetFormatPr defaultColWidth="9.33203125" defaultRowHeight="12.75"/>
  <cols>
    <col min="1" max="1" width="9.6640625" style="32" hidden="1" customWidth="1"/>
    <col min="2" max="2" width="9.33203125" style="32" hidden="1" customWidth="1"/>
    <col min="3" max="3" width="3.83203125" style="32" customWidth="1"/>
    <col min="4" max="4" width="50.83203125" style="32" customWidth="1"/>
    <col min="5" max="5" width="40.83203125" style="32" customWidth="1"/>
    <col min="6" max="7" width="10.83203125" style="32" customWidth="1"/>
    <col min="8" max="8" width="3.83203125" style="32" customWidth="1"/>
    <col min="9" max="9" width="9.33203125" style="32" customWidth="1"/>
    <col min="10" max="12" width="9.33203125" style="32" hidden="1" customWidth="1"/>
    <col min="13" max="13" width="80.1640625" style="32" hidden="1" customWidth="1"/>
    <col min="14" max="15" width="9.33203125" style="32" hidden="1" customWidth="1"/>
    <col min="16" max="16" width="9.33203125" style="32" customWidth="1"/>
    <col min="17" max="16384" width="9.33203125" style="32"/>
  </cols>
  <sheetData>
    <row r="1" spans="1:16" ht="39.950000000000003" customHeight="1">
      <c r="B1" s="106"/>
      <c r="J1" s="4" t="s">
        <v>1960</v>
      </c>
      <c r="K1" s="4" t="s">
        <v>1960</v>
      </c>
      <c r="L1" s="4" t="s">
        <v>1960</v>
      </c>
      <c r="M1" s="4" t="s">
        <v>1960</v>
      </c>
      <c r="N1" s="4" t="s">
        <v>1960</v>
      </c>
      <c r="O1" s="4" t="s">
        <v>1960</v>
      </c>
    </row>
    <row r="2" spans="1:16" s="78" customFormat="1" ht="39.950000000000003" customHeight="1">
      <c r="B2" s="159"/>
      <c r="D2" s="212" t="s">
        <v>8</v>
      </c>
      <c r="E2" s="212"/>
      <c r="F2" s="212"/>
      <c r="G2" s="212"/>
      <c r="J2" s="79" t="s">
        <v>1965</v>
      </c>
      <c r="K2" s="79"/>
      <c r="L2" s="79"/>
      <c r="M2" s="79"/>
      <c r="N2" s="79"/>
      <c r="O2" s="79"/>
    </row>
    <row r="3" spans="1:16" ht="30" customHeight="1">
      <c r="B3" s="106"/>
      <c r="D3" s="120" t="s">
        <v>40</v>
      </c>
      <c r="F3" s="87"/>
      <c r="G3" s="88" t="s">
        <v>1224</v>
      </c>
      <c r="J3" s="4" t="s">
        <v>1961</v>
      </c>
      <c r="K3" s="4" t="s">
        <v>1962</v>
      </c>
      <c r="L3" s="4" t="s">
        <v>1963</v>
      </c>
      <c r="M3" s="4" t="s">
        <v>1964</v>
      </c>
      <c r="N3" s="4"/>
      <c r="O3" s="4"/>
    </row>
    <row r="4" spans="1:16" ht="30" customHeight="1">
      <c r="A4" s="106"/>
      <c r="B4" s="106"/>
      <c r="C4" s="70"/>
      <c r="D4" s="184" t="s">
        <v>62</v>
      </c>
      <c r="E4" s="184"/>
      <c r="F4" s="184"/>
      <c r="G4" s="184"/>
      <c r="H4" s="70"/>
      <c r="J4" s="4"/>
      <c r="K4" s="125">
        <f>IF(N4=O4,1,0)</f>
        <v>1</v>
      </c>
      <c r="L4" s="4"/>
      <c r="M4" s="4"/>
      <c r="N4" s="4">
        <f>SUM(N6:N100)</f>
        <v>0</v>
      </c>
      <c r="O4" s="4">
        <f>SUM(O6:O100)</f>
        <v>0</v>
      </c>
    </row>
    <row r="5" spans="1:16" ht="20.100000000000001" customHeight="1">
      <c r="A5" s="106"/>
      <c r="B5" s="106"/>
      <c r="D5" s="5"/>
      <c r="E5" s="5"/>
      <c r="J5" s="4"/>
      <c r="K5" s="4"/>
      <c r="L5" s="4"/>
      <c r="M5" s="4"/>
      <c r="N5" s="4"/>
      <c r="O5" s="4"/>
    </row>
    <row r="6" spans="1:16" s="1" customFormat="1" ht="20.100000000000001" customHeight="1">
      <c r="A6" s="112"/>
      <c r="B6" s="112">
        <v>1</v>
      </c>
      <c r="C6" s="74" t="s">
        <v>1912</v>
      </c>
      <c r="D6" s="61" t="s">
        <v>88</v>
      </c>
      <c r="E6" s="293"/>
      <c r="F6" s="294"/>
      <c r="G6" s="295"/>
      <c r="J6" s="6">
        <f>IF(applicantDetails!B19=2,1,0)</f>
        <v>0</v>
      </c>
      <c r="K6" s="129">
        <f>IF(B6=1,0,1)</f>
        <v>0</v>
      </c>
      <c r="L6" s="127">
        <f>IF(J6,B6,1)</f>
        <v>1</v>
      </c>
      <c r="M6" s="52" t="str">
        <f>formData!B121</f>
        <v>ACCOMPANYING_CHILD1_RELATIONSHIP_TO_PRIMARY_APPLICANT</v>
      </c>
      <c r="N6" s="6">
        <f>IF(J6=1,1,0)</f>
        <v>0</v>
      </c>
      <c r="O6" s="6">
        <f>+J6*K6</f>
        <v>0</v>
      </c>
    </row>
    <row r="7" spans="1:16" ht="20.100000000000001" customHeight="1">
      <c r="A7" s="106"/>
      <c r="B7" s="106"/>
      <c r="D7" s="5"/>
      <c r="E7" s="5"/>
      <c r="J7" s="32">
        <f>J6</f>
        <v>0</v>
      </c>
      <c r="M7" s="52"/>
    </row>
    <row r="8" spans="1:16" ht="24.95" customHeight="1">
      <c r="A8" s="106"/>
      <c r="B8" s="106"/>
      <c r="C8" s="74"/>
      <c r="D8" s="256" t="s">
        <v>44</v>
      </c>
      <c r="E8" s="284"/>
      <c r="F8" s="284"/>
      <c r="G8" s="285"/>
      <c r="J8" s="6"/>
      <c r="K8" s="6"/>
      <c r="L8" s="6"/>
      <c r="M8" s="52"/>
      <c r="N8" s="6">
        <f t="shared" ref="N8:N24" si="0">IF(J8=1,1,0)</f>
        <v>0</v>
      </c>
      <c r="O8" s="6">
        <f t="shared" ref="O8:O24" si="1">+J8*K8</f>
        <v>0</v>
      </c>
    </row>
    <row r="9" spans="1:16" s="34" customFormat="1" ht="20.100000000000001" customHeight="1">
      <c r="A9" s="113"/>
      <c r="B9" s="113">
        <v>1</v>
      </c>
      <c r="C9" s="74" t="s">
        <v>1912</v>
      </c>
      <c r="D9" s="7" t="s">
        <v>57</v>
      </c>
      <c r="E9" s="240"/>
      <c r="F9" s="241"/>
      <c r="G9" s="242"/>
      <c r="J9" s="6">
        <f t="shared" ref="J9" si="2">IF($C9="*",IF($A9="Hide",0,$J$7),0)</f>
        <v>0</v>
      </c>
      <c r="K9" s="129">
        <f>IF(B9=1,0,1)</f>
        <v>0</v>
      </c>
      <c r="L9" s="127">
        <f>IF(A9="Hide",1,IF($J$7=1,B9,1))</f>
        <v>1</v>
      </c>
      <c r="M9" s="52" t="str">
        <f>formData!B122</f>
        <v>ACCOMPANYING_CHILD1_CURRENT_LOCATION_COUNTRY</v>
      </c>
      <c r="N9" s="6">
        <f t="shared" si="0"/>
        <v>0</v>
      </c>
      <c r="O9" s="6">
        <f t="shared" si="1"/>
        <v>0</v>
      </c>
      <c r="P9" s="32"/>
    </row>
    <row r="10" spans="1:16" s="34" customFormat="1" ht="20.100000000000001" customHeight="1">
      <c r="A10" s="113"/>
      <c r="B10" s="113">
        <v>1</v>
      </c>
      <c r="C10" s="74" t="s">
        <v>1912</v>
      </c>
      <c r="D10" s="7" t="s">
        <v>58</v>
      </c>
      <c r="E10" s="240"/>
      <c r="F10" s="241"/>
      <c r="G10" s="242"/>
      <c r="J10" s="6">
        <f>IF($C10="*",IF($A10="Hide",0,$J$7),0)</f>
        <v>0</v>
      </c>
      <c r="K10" s="129">
        <f>IF(B10=1,0,1)</f>
        <v>0</v>
      </c>
      <c r="L10" s="127">
        <f>IF(A10="Hide",1,IF($J$7=1,B10,1))</f>
        <v>1</v>
      </c>
      <c r="M10" s="52" t="str">
        <f>formData!B123</f>
        <v>ACCOMPANYING_CHILD1_CURRENT_LOCATION_LEGAL_STATUS</v>
      </c>
      <c r="N10" s="6">
        <f t="shared" si="0"/>
        <v>0</v>
      </c>
      <c r="O10" s="6">
        <f t="shared" si="1"/>
        <v>0</v>
      </c>
      <c r="P10" s="32"/>
    </row>
    <row r="11" spans="1:16" s="34" customFormat="1" ht="20.100000000000001" customHeight="1">
      <c r="A11" s="113"/>
      <c r="B11" s="113"/>
      <c r="D11" s="296" t="s">
        <v>66</v>
      </c>
      <c r="E11" s="297"/>
      <c r="F11" s="297"/>
      <c r="G11" s="298"/>
      <c r="J11" s="6"/>
      <c r="K11" s="6"/>
      <c r="L11" s="6"/>
      <c r="M11" s="52"/>
      <c r="N11" s="6">
        <f t="shared" si="0"/>
        <v>0</v>
      </c>
      <c r="O11" s="6">
        <f t="shared" si="1"/>
        <v>0</v>
      </c>
      <c r="P11" s="32"/>
    </row>
    <row r="12" spans="1:16" s="34" customFormat="1" ht="60" customHeight="1">
      <c r="A12" s="113"/>
      <c r="B12" s="113"/>
      <c r="D12" s="270"/>
      <c r="E12" s="271"/>
      <c r="F12" s="271"/>
      <c r="G12" s="272"/>
      <c r="J12" s="157">
        <f>IF($C12="*",IF($A12="Hide",0,$J$7),0)</f>
        <v>0</v>
      </c>
      <c r="K12" s="158">
        <f>IF(LEN(D12)=0,0,1)</f>
        <v>0</v>
      </c>
      <c r="L12" s="157">
        <f>IF(A12="Hide",0,IF($J$7=1,D12,0))</f>
        <v>0</v>
      </c>
      <c r="M12" s="52" t="str">
        <f>formData!B124</f>
        <v>ACCOMPANYING_CHILD1_CURRENT_LOCATION_GIVE_DETAILS</v>
      </c>
      <c r="N12" s="6">
        <f t="shared" si="0"/>
        <v>0</v>
      </c>
      <c r="O12" s="6">
        <f t="shared" si="1"/>
        <v>0</v>
      </c>
      <c r="P12" s="32"/>
    </row>
    <row r="13" spans="1:16" s="34" customFormat="1" ht="20.100000000000001" customHeight="1">
      <c r="A13" s="113"/>
      <c r="B13" s="113"/>
      <c r="D13" s="10"/>
      <c r="E13" s="56"/>
      <c r="M13" s="52"/>
      <c r="N13" s="6">
        <f t="shared" si="0"/>
        <v>0</v>
      </c>
      <c r="O13" s="6">
        <f t="shared" si="1"/>
        <v>0</v>
      </c>
      <c r="P13" s="32"/>
    </row>
    <row r="14" spans="1:16" ht="24.95" customHeight="1">
      <c r="A14" s="106"/>
      <c r="B14" s="106"/>
      <c r="D14" s="256" t="s">
        <v>46</v>
      </c>
      <c r="E14" s="284"/>
      <c r="F14" s="284"/>
      <c r="G14" s="285"/>
      <c r="M14" s="52"/>
      <c r="N14" s="6">
        <f t="shared" si="0"/>
        <v>0</v>
      </c>
      <c r="O14" s="6">
        <f t="shared" si="1"/>
        <v>0</v>
      </c>
    </row>
    <row r="15" spans="1:16" ht="19.5" customHeight="1">
      <c r="A15" s="106"/>
      <c r="B15" s="106">
        <v>1</v>
      </c>
      <c r="C15" s="74" t="s">
        <v>1912</v>
      </c>
      <c r="D15" s="31" t="s">
        <v>1992</v>
      </c>
      <c r="E15" s="278"/>
      <c r="F15" s="279"/>
      <c r="G15" s="280"/>
      <c r="J15" s="6">
        <f t="shared" ref="J15:J20" si="3">IF($C15="*",IF($A15="Hide",0,$J$7),0)</f>
        <v>0</v>
      </c>
      <c r="K15" s="129">
        <f>IF(B15=1,0,1)</f>
        <v>0</v>
      </c>
      <c r="L15" s="127">
        <f>IF(A15="Hide",1,IF($J$7=1,B15,1))</f>
        <v>1</v>
      </c>
      <c r="M15" s="131" t="str">
        <f>formData!B125</f>
        <v>ACCOMPANYING_CHILD1_PASSPORT_DETAILS_OVER_FIVE_YEARS_OF_AGE</v>
      </c>
      <c r="N15" s="6">
        <f>IF(J15=1,1,0)</f>
        <v>0</v>
      </c>
      <c r="O15" s="6">
        <f>+J15*K15</f>
        <v>0</v>
      </c>
    </row>
    <row r="16" spans="1:16" ht="19.5" hidden="1" customHeight="1">
      <c r="A16" s="106" t="str">
        <f>IF($B$15=3,"Show","HIDE")</f>
        <v>HIDE</v>
      </c>
      <c r="B16" s="106">
        <v>1</v>
      </c>
      <c r="C16" s="74" t="s">
        <v>1912</v>
      </c>
      <c r="D16" s="31" t="s">
        <v>1994</v>
      </c>
      <c r="E16" s="176"/>
      <c r="F16" s="177"/>
      <c r="G16" s="178"/>
      <c r="J16" s="6">
        <f t="shared" si="3"/>
        <v>0</v>
      </c>
      <c r="K16" s="129">
        <f>IF(B16=1,0,1)</f>
        <v>0</v>
      </c>
      <c r="L16" s="127">
        <f>IF(A16="Hide",1,IF($J$7=1,B16,1))</f>
        <v>1</v>
      </c>
      <c r="M16" s="131" t="str">
        <f>formData!B126</f>
        <v>ACCOMPANYING_CHILD1_PASSPORT_DETAILS_CURRENT_PASSPORT</v>
      </c>
      <c r="N16" s="6">
        <f>IF(J16=1,1,0)</f>
        <v>0</v>
      </c>
      <c r="O16" s="6">
        <f t="shared" ref="O16" si="4">+J16*K16</f>
        <v>0</v>
      </c>
    </row>
    <row r="17" spans="1:16" s="34" customFormat="1" ht="20.100000000000001" customHeight="1">
      <c r="A17" s="113"/>
      <c r="B17" s="113"/>
      <c r="C17" s="74" t="s">
        <v>1912</v>
      </c>
      <c r="D17" s="7" t="s">
        <v>12</v>
      </c>
      <c r="E17" s="278">
        <f>applicantDetails!E23</f>
        <v>0</v>
      </c>
      <c r="F17" s="279"/>
      <c r="G17" s="280"/>
      <c r="J17" s="6">
        <f t="shared" si="3"/>
        <v>0</v>
      </c>
      <c r="K17" s="130">
        <f>IF(LEN(E17)=0,0,1)</f>
        <v>1</v>
      </c>
      <c r="L17" s="126">
        <f>IF(A17="Hide",0,IF($J$7=1,E17,0))</f>
        <v>0</v>
      </c>
      <c r="M17" s="52" t="str">
        <f>formData!B127</f>
        <v>ACCOMPANYING_CHILD1_PASSPORT_DETAILS_FAMILY_NAME</v>
      </c>
      <c r="N17" s="6">
        <f t="shared" si="0"/>
        <v>0</v>
      </c>
      <c r="O17" s="6">
        <f t="shared" si="1"/>
        <v>0</v>
      </c>
      <c r="P17" s="32"/>
    </row>
    <row r="18" spans="1:16" s="34" customFormat="1" ht="20.100000000000001" customHeight="1">
      <c r="A18" s="113"/>
      <c r="B18" s="113"/>
      <c r="C18" s="74" t="s">
        <v>1912</v>
      </c>
      <c r="D18" s="7" t="s">
        <v>13</v>
      </c>
      <c r="E18" s="278">
        <f>applicantDetails!E24</f>
        <v>0</v>
      </c>
      <c r="F18" s="279"/>
      <c r="G18" s="280"/>
      <c r="J18" s="6">
        <f t="shared" si="3"/>
        <v>0</v>
      </c>
      <c r="K18" s="130">
        <f>IF(LEN(E18)=0,0,1)</f>
        <v>1</v>
      </c>
      <c r="L18" s="126">
        <f>IF(A18="Hide",0,IF($J$7=1,E18,0))</f>
        <v>0</v>
      </c>
      <c r="M18" s="52" t="str">
        <f>formData!B128</f>
        <v>ACCOMPANYING_CHILD1_PASSPORT_DETAILS_GIVEN_NAMES</v>
      </c>
      <c r="N18" s="6">
        <f t="shared" si="0"/>
        <v>0</v>
      </c>
      <c r="O18" s="6">
        <f t="shared" si="1"/>
        <v>0</v>
      </c>
      <c r="P18" s="32"/>
    </row>
    <row r="19" spans="1:16" s="34" customFormat="1" ht="20.100000000000001" customHeight="1">
      <c r="A19" s="113"/>
      <c r="B19" s="113">
        <v>1</v>
      </c>
      <c r="C19" s="74" t="s">
        <v>1912</v>
      </c>
      <c r="D19" s="7" t="s">
        <v>14</v>
      </c>
      <c r="E19" s="92"/>
      <c r="F19" s="93"/>
      <c r="G19" s="94"/>
      <c r="J19" s="6">
        <f t="shared" si="3"/>
        <v>0</v>
      </c>
      <c r="K19" s="129">
        <f>IF(B19=1,0,1)</f>
        <v>0</v>
      </c>
      <c r="L19" s="127">
        <f>IF(A19="Hide",1,IF($J$7=1,B19,1))</f>
        <v>1</v>
      </c>
      <c r="M19" s="52" t="str">
        <f>formData!B129</f>
        <v>ACCOMPANYING_CHILD1_PASSPORT_DETAILS_SEX</v>
      </c>
      <c r="N19" s="6">
        <f>IF(J19=1,1,0)</f>
        <v>0</v>
      </c>
      <c r="O19" s="6">
        <f>+J19*K19</f>
        <v>0</v>
      </c>
      <c r="P19" s="32"/>
    </row>
    <row r="20" spans="1:16" s="34" customFormat="1" ht="20.100000000000001" customHeight="1">
      <c r="A20" s="113"/>
      <c r="B20" s="113"/>
      <c r="C20" s="74" t="s">
        <v>1912</v>
      </c>
      <c r="D20" s="31" t="s">
        <v>1976</v>
      </c>
      <c r="E20" s="219"/>
      <c r="F20" s="220"/>
      <c r="G20" s="221"/>
      <c r="J20" s="6">
        <f t="shared" si="3"/>
        <v>0</v>
      </c>
      <c r="K20" s="130">
        <f>IF(LEN(E20)=0,0,1)</f>
        <v>0</v>
      </c>
      <c r="L20" s="126">
        <f>IF(A20="Hide",0,IF($J$7=1,E20,0))</f>
        <v>0</v>
      </c>
      <c r="M20" s="52" t="str">
        <f>formData!B130</f>
        <v>ACCOMPANYING_CHILD1_PASSPORT_DETAILS_DATE_OF_BIRTH</v>
      </c>
      <c r="N20" s="6">
        <f t="shared" si="0"/>
        <v>0</v>
      </c>
      <c r="O20" s="6">
        <f t="shared" si="1"/>
        <v>0</v>
      </c>
      <c r="P20" s="32"/>
    </row>
    <row r="21" spans="1:16" s="34" customFormat="1" ht="20.100000000000001" hidden="1" customHeight="1">
      <c r="A21" s="106" t="str">
        <f>IF(OR($B$15=2,AND($B$15=3,$B$16=2)),"Show","HIDE")</f>
        <v>HIDE</v>
      </c>
      <c r="B21" s="113"/>
      <c r="C21" s="74" t="s">
        <v>1912</v>
      </c>
      <c r="D21" s="7" t="s">
        <v>15</v>
      </c>
      <c r="E21" s="234"/>
      <c r="F21" s="235"/>
      <c r="G21" s="236"/>
      <c r="J21" s="6">
        <f t="shared" ref="J21:J24" si="5">IF($C21="*",IF($A21="Hide",0,$J$7),0)</f>
        <v>0</v>
      </c>
      <c r="K21" s="130">
        <f>IF(LEN(E21)=0,0,1)</f>
        <v>0</v>
      </c>
      <c r="L21" s="126">
        <f>IF(A21="Hide",0,IF($J$7=1,E21,0))</f>
        <v>0</v>
      </c>
      <c r="M21" s="52" t="str">
        <f>formData!B131</f>
        <v>ACCOMPANYING_CHILD1_PASSPORT_DETAILS_PASSPORT_NUMBER</v>
      </c>
      <c r="N21" s="6">
        <f t="shared" si="0"/>
        <v>0</v>
      </c>
      <c r="O21" s="6">
        <f t="shared" si="1"/>
        <v>0</v>
      </c>
      <c r="P21" s="32"/>
    </row>
    <row r="22" spans="1:16" s="34" customFormat="1" ht="20.100000000000001" hidden="1" customHeight="1">
      <c r="A22" s="113" t="str">
        <f>A21</f>
        <v>HIDE</v>
      </c>
      <c r="B22" s="113">
        <v>1</v>
      </c>
      <c r="C22" s="74" t="s">
        <v>1912</v>
      </c>
      <c r="D22" s="7" t="s">
        <v>16</v>
      </c>
      <c r="E22" s="240"/>
      <c r="F22" s="241"/>
      <c r="G22" s="242"/>
      <c r="J22" s="6">
        <f t="shared" si="5"/>
        <v>0</v>
      </c>
      <c r="K22" s="129">
        <f>IF(B22=1,0,1)</f>
        <v>0</v>
      </c>
      <c r="L22" s="127">
        <f>IF(A22="Hide",1,IF($J$7=1,B22,1))</f>
        <v>1</v>
      </c>
      <c r="M22" s="52" t="str">
        <f>formData!B132</f>
        <v>ACCOMPANYING_CHILD1_PASSPORT_DETAILS_COUNTRY_OF_PASSPORT</v>
      </c>
      <c r="N22" s="6">
        <f t="shared" si="0"/>
        <v>0</v>
      </c>
      <c r="O22" s="6">
        <f t="shared" si="1"/>
        <v>0</v>
      </c>
      <c r="P22" s="32"/>
    </row>
    <row r="23" spans="1:16" s="34" customFormat="1" ht="20.100000000000001" hidden="1" customHeight="1">
      <c r="A23" s="113" t="str">
        <f>A22</f>
        <v>HIDE</v>
      </c>
      <c r="B23" s="113">
        <v>1</v>
      </c>
      <c r="C23" s="74" t="s">
        <v>1912</v>
      </c>
      <c r="D23" s="7" t="s">
        <v>17</v>
      </c>
      <c r="E23" s="240"/>
      <c r="F23" s="241"/>
      <c r="G23" s="242"/>
      <c r="J23" s="6">
        <f t="shared" si="5"/>
        <v>0</v>
      </c>
      <c r="K23" s="129">
        <f>IF(B23=1,0,1)</f>
        <v>0</v>
      </c>
      <c r="L23" s="127">
        <f>IF(A23="Hide",1,IF($J$7=1,B23,1))</f>
        <v>1</v>
      </c>
      <c r="M23" s="52" t="str">
        <f>formData!B133</f>
        <v>ACCOMPANYING_CHILD1_PASSPORT_DETAILS_NATIONALITY_OF_PASSPORT_HOLDER</v>
      </c>
      <c r="N23" s="6">
        <f t="shared" si="0"/>
        <v>0</v>
      </c>
      <c r="O23" s="6">
        <f t="shared" si="1"/>
        <v>0</v>
      </c>
      <c r="P23" s="32"/>
    </row>
    <row r="24" spans="1:16" s="34" customFormat="1" ht="20.100000000000001" hidden="1" customHeight="1">
      <c r="A24" s="113" t="str">
        <f>A23</f>
        <v>HIDE</v>
      </c>
      <c r="B24" s="113"/>
      <c r="C24" s="74" t="s">
        <v>1912</v>
      </c>
      <c r="D24" s="31" t="s">
        <v>1973</v>
      </c>
      <c r="E24" s="219"/>
      <c r="F24" s="220"/>
      <c r="G24" s="221"/>
      <c r="J24" s="6">
        <f t="shared" si="5"/>
        <v>0</v>
      </c>
      <c r="K24" s="130">
        <f>IF(LEN(E24)=0,0,1)</f>
        <v>0</v>
      </c>
      <c r="L24" s="126">
        <f>IF(A24="Hide",0,IF($J$7=1,E24,0))</f>
        <v>0</v>
      </c>
      <c r="M24" s="52" t="str">
        <f>formData!B134</f>
        <v>ACCOMPANYING_CHILD1_PASSPORT_DETAILS_DATE_OF_ISSUE</v>
      </c>
      <c r="N24" s="6">
        <f t="shared" si="0"/>
        <v>0</v>
      </c>
      <c r="O24" s="6">
        <f t="shared" si="1"/>
        <v>0</v>
      </c>
      <c r="P24" s="32"/>
    </row>
    <row r="25" spans="1:16" s="34" customFormat="1" ht="20.100000000000001" hidden="1" customHeight="1">
      <c r="A25" s="113" t="str">
        <f>A24</f>
        <v>HIDE</v>
      </c>
      <c r="B25" s="113"/>
      <c r="C25" s="74" t="s">
        <v>1912</v>
      </c>
      <c r="D25" s="31" t="s">
        <v>1972</v>
      </c>
      <c r="E25" s="219"/>
      <c r="F25" s="220"/>
      <c r="G25" s="221"/>
      <c r="J25" s="6">
        <f>IF($C25="*",IF($A25="Hide",0,$J$7),0)</f>
        <v>0</v>
      </c>
      <c r="K25" s="130">
        <f t="shared" ref="K25:K27" si="6">IF(LEN(E25)=0,0,1)</f>
        <v>0</v>
      </c>
      <c r="L25" s="126">
        <f t="shared" ref="L25:L27" si="7">IF(A25="Hide",0,IF($J$7=1,E25,0))</f>
        <v>0</v>
      </c>
      <c r="M25" s="52" t="str">
        <f>formData!B135</f>
        <v>ACCOMPANYING_CHILD1_PASSPORT_DETAILS_EXPIRY_DATE</v>
      </c>
      <c r="N25" s="6">
        <f>IF(J25=1,1,0)</f>
        <v>0</v>
      </c>
      <c r="O25" s="6">
        <f>+J25*K25</f>
        <v>0</v>
      </c>
      <c r="P25" s="32"/>
    </row>
    <row r="26" spans="1:16" s="34" customFormat="1" ht="20.100000000000001" hidden="1" customHeight="1">
      <c r="A26" s="106" t="str">
        <f>IF(OR(AND($B$15=2,B22=44),AND($B$15=3,$B$16=2,B22=44)),"Show","HIDE")</f>
        <v>HIDE</v>
      </c>
      <c r="B26" s="113">
        <v>1</v>
      </c>
      <c r="C26" s="74" t="s">
        <v>1912</v>
      </c>
      <c r="D26" s="7" t="s">
        <v>18</v>
      </c>
      <c r="E26" s="198"/>
      <c r="F26" s="199"/>
      <c r="G26" s="200"/>
      <c r="J26" s="6">
        <f>IF($C26="*",IF($A26="Hide",0,$J$7),0)</f>
        <v>0</v>
      </c>
      <c r="K26" s="129">
        <f>IF(B26=1,0,1)</f>
        <v>0</v>
      </c>
      <c r="L26" s="127">
        <f>IF(A26="Hide",1,IF($J$7=1,B26,1))</f>
        <v>1</v>
      </c>
      <c r="M26" s="131" t="str">
        <f>formData!B136</f>
        <v>ACCOMPANYING_CHILD1_PASSPORT_DETAILS_PLACE_OF_ISSUE_CHINA</v>
      </c>
      <c r="N26" s="6">
        <f>IF(J26=1,1,0)</f>
        <v>0</v>
      </c>
      <c r="O26" s="6">
        <f>+J26*K26</f>
        <v>0</v>
      </c>
      <c r="P26" s="32"/>
    </row>
    <row r="27" spans="1:16" s="34" customFormat="1" ht="20.100000000000001" hidden="1" customHeight="1">
      <c r="A27" s="113" t="str">
        <f>IF(OR(AND($B$15=2,NOT(B22=44)),AND($B$15=3,$B$16=2,NOT(B22=44))),"Show","HIDE")</f>
        <v>HIDE</v>
      </c>
      <c r="B27" s="113"/>
      <c r="C27" s="74" t="s">
        <v>1912</v>
      </c>
      <c r="D27" s="7" t="s">
        <v>18</v>
      </c>
      <c r="E27" s="198"/>
      <c r="F27" s="199"/>
      <c r="G27" s="200"/>
      <c r="J27" s="6">
        <f>IF($C27="*",IF($A27="Hide",0,$J$7),0)</f>
        <v>0</v>
      </c>
      <c r="K27" s="130">
        <f t="shared" si="6"/>
        <v>0</v>
      </c>
      <c r="L27" s="126">
        <f t="shared" si="7"/>
        <v>0</v>
      </c>
      <c r="M27" s="52" t="str">
        <f>formData!B137</f>
        <v>ACCOMPANYING_CHILD1_PASSPORT_DETAILS_PLACE_OF_ISSUE</v>
      </c>
      <c r="N27" s="6">
        <f t="shared" ref="N27:N47" si="8">IF(J27=1,1,0)</f>
        <v>0</v>
      </c>
      <c r="O27" s="6">
        <f t="shared" ref="O27:O47" si="9">+J27*K27</f>
        <v>0</v>
      </c>
      <c r="P27" s="32"/>
    </row>
    <row r="28" spans="1:16" s="34" customFormat="1" ht="20.100000000000001" customHeight="1">
      <c r="A28" s="113"/>
      <c r="B28" s="113"/>
      <c r="D28" s="9"/>
      <c r="E28" s="56"/>
      <c r="M28" s="52"/>
      <c r="N28" s="6">
        <f t="shared" si="8"/>
        <v>0</v>
      </c>
      <c r="O28" s="6">
        <f t="shared" si="9"/>
        <v>0</v>
      </c>
      <c r="P28" s="32"/>
    </row>
    <row r="29" spans="1:16" ht="24.95" customHeight="1">
      <c r="A29" s="106"/>
      <c r="B29" s="106"/>
      <c r="C29" s="74"/>
      <c r="D29" s="256" t="s">
        <v>45</v>
      </c>
      <c r="E29" s="284"/>
      <c r="F29" s="284"/>
      <c r="G29" s="285"/>
      <c r="M29" s="52"/>
      <c r="N29" s="6">
        <f t="shared" si="8"/>
        <v>0</v>
      </c>
      <c r="O29" s="6">
        <f t="shared" si="9"/>
        <v>0</v>
      </c>
    </row>
    <row r="30" spans="1:16" s="34" customFormat="1" ht="30" customHeight="1">
      <c r="A30" s="113"/>
      <c r="B30" s="113">
        <v>1</v>
      </c>
      <c r="C30" s="74" t="s">
        <v>1912</v>
      </c>
      <c r="D30" s="7" t="s">
        <v>68</v>
      </c>
      <c r="E30" s="240"/>
      <c r="F30" s="241"/>
      <c r="G30" s="242"/>
      <c r="J30" s="6">
        <f t="shared" ref="J30" si="10">IF($C30="*",IF($A30="Hide",0,$J$7),0)</f>
        <v>0</v>
      </c>
      <c r="K30" s="129">
        <f>IF(B30=1,0,1)</f>
        <v>0</v>
      </c>
      <c r="L30" s="127">
        <f>IF(A30="Hide",1,IF($J$7=1,B30,1))</f>
        <v>1</v>
      </c>
      <c r="M30" s="52" t="str">
        <f>formData!B138</f>
        <v>ACCOMPANYING_CHILD1_AUSTRALIAN_VISA_PREVIOUS_VISA</v>
      </c>
      <c r="N30" s="6">
        <f t="shared" si="8"/>
        <v>0</v>
      </c>
      <c r="O30" s="6">
        <f t="shared" si="9"/>
        <v>0</v>
      </c>
      <c r="P30" s="32"/>
    </row>
    <row r="31" spans="1:16" s="34" customFormat="1" ht="20.100000000000001" customHeight="1">
      <c r="A31" s="113"/>
      <c r="B31" s="113"/>
      <c r="D31" s="26" t="s">
        <v>56</v>
      </c>
      <c r="E31" s="234"/>
      <c r="F31" s="235"/>
      <c r="G31" s="236"/>
      <c r="J31" s="6">
        <f>IF($C31="*",IF($A31="Hide",0,$J$7),0)</f>
        <v>0</v>
      </c>
      <c r="K31" s="130">
        <f>IF(LEN(E31)=0,0,1)</f>
        <v>0</v>
      </c>
      <c r="L31" s="126">
        <f>IF(A31="Hide",0,IF($J$7=1,E31,0))</f>
        <v>0</v>
      </c>
      <c r="M31" s="52" t="str">
        <f>formData!B139</f>
        <v>ACCOMPANYING_CHILD1_AUSTRALIAN_VISA_GRANT_NUMBER</v>
      </c>
      <c r="N31" s="6">
        <f t="shared" si="8"/>
        <v>0</v>
      </c>
      <c r="O31" s="6">
        <f t="shared" si="9"/>
        <v>0</v>
      </c>
      <c r="P31" s="32"/>
    </row>
    <row r="32" spans="1:16" s="34" customFormat="1" ht="18" customHeight="1">
      <c r="A32" s="113"/>
      <c r="B32" s="113"/>
      <c r="D32" s="9"/>
      <c r="E32" s="19"/>
      <c r="F32" s="19"/>
      <c r="G32" s="19"/>
      <c r="M32" s="52"/>
      <c r="N32" s="6">
        <f t="shared" si="8"/>
        <v>0</v>
      </c>
      <c r="O32" s="6">
        <f t="shared" si="9"/>
        <v>0</v>
      </c>
      <c r="P32" s="32"/>
    </row>
    <row r="33" spans="1:16" s="34" customFormat="1" ht="24.95" customHeight="1">
      <c r="A33" s="113"/>
      <c r="B33" s="113">
        <v>1</v>
      </c>
      <c r="C33" s="74"/>
      <c r="D33" s="253" t="s">
        <v>2</v>
      </c>
      <c r="E33" s="254"/>
      <c r="F33" s="254"/>
      <c r="G33" s="255"/>
      <c r="M33" s="52"/>
      <c r="N33" s="6">
        <f t="shared" si="8"/>
        <v>0</v>
      </c>
      <c r="O33" s="6">
        <f t="shared" si="9"/>
        <v>0</v>
      </c>
      <c r="P33" s="32"/>
    </row>
    <row r="34" spans="1:16" s="34" customFormat="1" ht="20.100000000000001" customHeight="1">
      <c r="A34" s="113"/>
      <c r="B34" s="113">
        <v>1</v>
      </c>
      <c r="C34" s="74" t="s">
        <v>1912</v>
      </c>
      <c r="D34" s="7" t="s">
        <v>67</v>
      </c>
      <c r="E34" s="240"/>
      <c r="F34" s="241"/>
      <c r="G34" s="242"/>
      <c r="J34" s="6">
        <f t="shared" ref="J34:J40" si="11">IF($C34="*",IF($A34="Hide",0,$J$7),0)</f>
        <v>0</v>
      </c>
      <c r="K34" s="129">
        <f>IF(B34=1,0,1)</f>
        <v>0</v>
      </c>
      <c r="L34" s="127">
        <f>IF(A34="Hide",1,IF($J$7=1,B34,1))</f>
        <v>1</v>
      </c>
      <c r="M34" s="52" t="str">
        <f>formData!B140</f>
        <v>ACCOMPANYING_CHILD1_NATIONAL_IDENTITY_HAVE_NATIONAL_ID</v>
      </c>
      <c r="N34" s="6">
        <f t="shared" si="8"/>
        <v>0</v>
      </c>
      <c r="O34" s="6">
        <f t="shared" si="9"/>
        <v>0</v>
      </c>
      <c r="P34" s="32"/>
    </row>
    <row r="35" spans="1:16" s="34" customFormat="1" ht="20.100000000000001" hidden="1" customHeight="1">
      <c r="A35" s="106" t="str">
        <f>IF($B$34=2,"Show","HIDE")</f>
        <v>HIDE</v>
      </c>
      <c r="B35" s="113"/>
      <c r="C35" s="74" t="s">
        <v>1912</v>
      </c>
      <c r="D35" s="7" t="s">
        <v>12</v>
      </c>
      <c r="E35" s="198"/>
      <c r="F35" s="199"/>
      <c r="G35" s="200"/>
      <c r="J35" s="6">
        <f t="shared" si="11"/>
        <v>0</v>
      </c>
      <c r="K35" s="130">
        <f t="shared" ref="K35:K37" si="12">IF(LEN(E35)=0,0,1)</f>
        <v>0</v>
      </c>
      <c r="L35" s="126">
        <f t="shared" ref="L35:L37" si="13">IF(A35="Hide",0,IF($J$7=1,E35,0))</f>
        <v>0</v>
      </c>
      <c r="M35" s="52" t="str">
        <f>formData!B141</f>
        <v>ACCOMPANYING_CHILD1_NATIONAL_IDENTITY_FAMILY_NAME</v>
      </c>
      <c r="N35" s="6">
        <f t="shared" si="8"/>
        <v>0</v>
      </c>
      <c r="O35" s="6">
        <f t="shared" si="9"/>
        <v>0</v>
      </c>
      <c r="P35" s="32"/>
    </row>
    <row r="36" spans="1:16" s="34" customFormat="1" ht="20.100000000000001" hidden="1" customHeight="1">
      <c r="A36" s="106" t="str">
        <f t="shared" ref="A36:A40" si="14">IF($B$34=2,"Show","HIDE")</f>
        <v>HIDE</v>
      </c>
      <c r="B36" s="113"/>
      <c r="C36" s="74" t="s">
        <v>1912</v>
      </c>
      <c r="D36" s="7" t="s">
        <v>13</v>
      </c>
      <c r="E36" s="198"/>
      <c r="F36" s="199"/>
      <c r="G36" s="200"/>
      <c r="J36" s="6">
        <f t="shared" si="11"/>
        <v>0</v>
      </c>
      <c r="K36" s="130">
        <f t="shared" si="12"/>
        <v>0</v>
      </c>
      <c r="L36" s="126">
        <f t="shared" si="13"/>
        <v>0</v>
      </c>
      <c r="M36" s="52" t="str">
        <f>formData!B142</f>
        <v>ACCOMPANYING_CHILD1_NATIONAL_IDENTITY_GIVEN_NAMES</v>
      </c>
      <c r="N36" s="6">
        <f t="shared" si="8"/>
        <v>0</v>
      </c>
      <c r="O36" s="6">
        <f t="shared" si="9"/>
        <v>0</v>
      </c>
      <c r="P36" s="32"/>
    </row>
    <row r="37" spans="1:16" s="34" customFormat="1" ht="20.100000000000001" hidden="1" customHeight="1">
      <c r="A37" s="106" t="str">
        <f t="shared" si="14"/>
        <v>HIDE</v>
      </c>
      <c r="B37" s="113"/>
      <c r="C37" s="74" t="s">
        <v>1912</v>
      </c>
      <c r="D37" s="7" t="s">
        <v>22</v>
      </c>
      <c r="E37" s="234"/>
      <c r="F37" s="235"/>
      <c r="G37" s="236"/>
      <c r="J37" s="6">
        <f t="shared" si="11"/>
        <v>0</v>
      </c>
      <c r="K37" s="130">
        <f t="shared" si="12"/>
        <v>0</v>
      </c>
      <c r="L37" s="126">
        <f t="shared" si="13"/>
        <v>0</v>
      </c>
      <c r="M37" s="52" t="str">
        <f>formData!B143</f>
        <v>ACCOMPANYING_CHILD1_NATIONAL_IDENTITY_ID_NUMBER</v>
      </c>
      <c r="N37" s="6">
        <f t="shared" si="8"/>
        <v>0</v>
      </c>
      <c r="O37" s="6">
        <f t="shared" si="9"/>
        <v>0</v>
      </c>
      <c r="P37" s="32"/>
    </row>
    <row r="38" spans="1:16" s="34" customFormat="1" ht="20.100000000000001" hidden="1" customHeight="1">
      <c r="A38" s="106" t="str">
        <f t="shared" si="14"/>
        <v>HIDE</v>
      </c>
      <c r="B38" s="113">
        <v>1</v>
      </c>
      <c r="C38" s="74" t="s">
        <v>1912</v>
      </c>
      <c r="D38" s="7" t="s">
        <v>23</v>
      </c>
      <c r="E38" s="281"/>
      <c r="F38" s="282"/>
      <c r="G38" s="283"/>
      <c r="J38" s="6">
        <f t="shared" si="11"/>
        <v>0</v>
      </c>
      <c r="K38" s="129">
        <f>IF(B38=1,0,1)</f>
        <v>0</v>
      </c>
      <c r="L38" s="127">
        <f>IF(A38="Hide",1,IF($J$7=1,B38,1))</f>
        <v>1</v>
      </c>
      <c r="M38" s="52" t="str">
        <f>formData!B144</f>
        <v>ACCOMPANYING_CHILD1_NATIONAL_IDENTITY_DOCUMENTS_COUNTRY_OF_ISSUE</v>
      </c>
      <c r="N38" s="6">
        <f t="shared" si="8"/>
        <v>0</v>
      </c>
      <c r="O38" s="6">
        <f t="shared" si="9"/>
        <v>0</v>
      </c>
      <c r="P38" s="32"/>
    </row>
    <row r="39" spans="1:16" s="34" customFormat="1" ht="20.100000000000001" hidden="1" customHeight="1">
      <c r="A39" s="106" t="str">
        <f t="shared" si="14"/>
        <v>HIDE</v>
      </c>
      <c r="B39" s="113"/>
      <c r="C39" s="74"/>
      <c r="D39" s="31" t="s">
        <v>1973</v>
      </c>
      <c r="E39" s="219"/>
      <c r="F39" s="220"/>
      <c r="G39" s="221"/>
      <c r="J39" s="6">
        <f t="shared" si="11"/>
        <v>0</v>
      </c>
      <c r="K39" s="130">
        <f>IF(LEN(E39)=0,0,1)</f>
        <v>0</v>
      </c>
      <c r="L39" s="126">
        <f>IF(A39="Hide",0,IF($J$7=1,E39,0))</f>
        <v>0</v>
      </c>
      <c r="M39" s="52" t="str">
        <f>formData!B145</f>
        <v>ACCOMPANYING_CHILD1_NATIONAL_IDENTITY_DATE_OF_ISSUE</v>
      </c>
      <c r="N39" s="6">
        <f t="shared" si="8"/>
        <v>0</v>
      </c>
      <c r="O39" s="6">
        <f t="shared" si="9"/>
        <v>0</v>
      </c>
      <c r="P39" s="32"/>
    </row>
    <row r="40" spans="1:16" s="34" customFormat="1" ht="19.5" hidden="1" customHeight="1">
      <c r="A40" s="106" t="str">
        <f t="shared" si="14"/>
        <v>HIDE</v>
      </c>
      <c r="B40" s="113"/>
      <c r="C40" s="74"/>
      <c r="D40" s="31" t="s">
        <v>1972</v>
      </c>
      <c r="E40" s="219"/>
      <c r="F40" s="220"/>
      <c r="G40" s="221"/>
      <c r="J40" s="6">
        <f t="shared" si="11"/>
        <v>0</v>
      </c>
      <c r="K40" s="130">
        <f>IF(LEN(E40)=0,0,1)</f>
        <v>0</v>
      </c>
      <c r="L40" s="126">
        <f>IF(A40="Hide",0,IF($J$7=1,E40,0))</f>
        <v>0</v>
      </c>
      <c r="M40" s="52" t="str">
        <f>formData!B146</f>
        <v>ACCOMPANYING_CHILD1_NATIONAL_IDENTITY_EXPIRY_DATE</v>
      </c>
      <c r="N40" s="6">
        <f t="shared" si="8"/>
        <v>0</v>
      </c>
      <c r="O40" s="6">
        <f t="shared" si="9"/>
        <v>0</v>
      </c>
      <c r="P40" s="32"/>
    </row>
    <row r="41" spans="1:16" s="34" customFormat="1" ht="20.100000000000001" hidden="1" customHeight="1">
      <c r="A41" s="106" t="str">
        <f>IF($B$34=3,"Show","HIDE")</f>
        <v>HIDE</v>
      </c>
      <c r="B41" s="105"/>
      <c r="C41" s="74" t="s">
        <v>1912</v>
      </c>
      <c r="D41" s="244" t="s">
        <v>2037</v>
      </c>
      <c r="E41" s="245"/>
      <c r="F41" s="245"/>
      <c r="G41" s="246"/>
      <c r="H41" s="6"/>
      <c r="I41" s="6"/>
      <c r="J41" s="6"/>
      <c r="K41" s="6"/>
      <c r="L41" s="6"/>
      <c r="N41" s="6">
        <f t="shared" si="8"/>
        <v>0</v>
      </c>
      <c r="O41" s="6">
        <f t="shared" si="9"/>
        <v>0</v>
      </c>
      <c r="P41" s="32"/>
    </row>
    <row r="42" spans="1:16" s="6" customFormat="1" ht="46.5" hidden="1" customHeight="1">
      <c r="A42" s="106" t="str">
        <f>IF($B$34=3,"Show","HIDE")</f>
        <v>HIDE</v>
      </c>
      <c r="B42" s="105"/>
      <c r="D42" s="247"/>
      <c r="E42" s="248"/>
      <c r="F42" s="248"/>
      <c r="G42" s="249"/>
      <c r="J42" s="6">
        <f>IF($C41="*",IF($A42="Hide",0,$J$7),0)</f>
        <v>0</v>
      </c>
      <c r="K42" s="158">
        <f>IF(LEN(D42)=0,0,1)</f>
        <v>0</v>
      </c>
      <c r="L42" s="157">
        <f>IF(A42="Hide",0,IF($J$5=1,D42,0))</f>
        <v>0</v>
      </c>
      <c r="M42" s="131" t="str">
        <f>formData!B147</f>
        <v>ACCOMPANYING_CHILD1_NATIONAL_IDENTITY_GIVE_REASON</v>
      </c>
      <c r="N42" s="6">
        <f t="shared" si="8"/>
        <v>0</v>
      </c>
      <c r="O42" s="6">
        <f t="shared" si="9"/>
        <v>0</v>
      </c>
    </row>
    <row r="43" spans="1:16" s="34" customFormat="1" ht="20.100000000000001" customHeight="1">
      <c r="A43" s="113"/>
      <c r="B43" s="113"/>
      <c r="D43" s="9"/>
      <c r="E43" s="56"/>
      <c r="M43" s="52"/>
      <c r="N43" s="6">
        <f t="shared" si="8"/>
        <v>0</v>
      </c>
      <c r="O43" s="6">
        <f t="shared" si="9"/>
        <v>0</v>
      </c>
      <c r="P43" s="32"/>
    </row>
    <row r="44" spans="1:16" ht="24.95" customHeight="1">
      <c r="A44" s="106"/>
      <c r="B44" s="106"/>
      <c r="C44" s="74"/>
      <c r="D44" s="256" t="s">
        <v>47</v>
      </c>
      <c r="E44" s="284"/>
      <c r="F44" s="284"/>
      <c r="G44" s="285"/>
      <c r="M44" s="52"/>
      <c r="N44" s="6">
        <f t="shared" si="8"/>
        <v>0</v>
      </c>
      <c r="O44" s="6">
        <f t="shared" si="9"/>
        <v>0</v>
      </c>
    </row>
    <row r="45" spans="1:16" s="34" customFormat="1" ht="20.100000000000001" customHeight="1">
      <c r="A45" s="113"/>
      <c r="B45" s="113"/>
      <c r="C45" s="74" t="s">
        <v>1912</v>
      </c>
      <c r="D45" s="7" t="s">
        <v>24</v>
      </c>
      <c r="E45" s="198"/>
      <c r="F45" s="199"/>
      <c r="G45" s="200"/>
      <c r="J45" s="6">
        <f t="shared" ref="J45:J47" si="15">IF($C45="*",IF($A45="Hide",0,$J$7),0)</f>
        <v>0</v>
      </c>
      <c r="K45" s="130">
        <f t="shared" ref="K45:K46" si="16">IF(LEN(E45)=0,0,1)</f>
        <v>0</v>
      </c>
      <c r="L45" s="126">
        <f t="shared" ref="L45:L46" si="17">IF(A45="Hide",0,IF($J$7=1,E45,0))</f>
        <v>0</v>
      </c>
      <c r="M45" s="52" t="str">
        <f>formData!B148</f>
        <v>ACCOMPANYING_CHILD1_PLACE_OF_BIRTH_CITY</v>
      </c>
      <c r="N45" s="6">
        <f t="shared" si="8"/>
        <v>0</v>
      </c>
      <c r="O45" s="6">
        <f t="shared" si="9"/>
        <v>0</v>
      </c>
      <c r="P45" s="32"/>
    </row>
    <row r="46" spans="1:16" s="34" customFormat="1" ht="20.100000000000001" customHeight="1">
      <c r="A46" s="113"/>
      <c r="B46" s="113"/>
      <c r="C46" s="74" t="s">
        <v>1912</v>
      </c>
      <c r="D46" s="7" t="s">
        <v>25</v>
      </c>
      <c r="E46" s="198"/>
      <c r="F46" s="199"/>
      <c r="G46" s="200"/>
      <c r="J46" s="6">
        <f t="shared" si="15"/>
        <v>0</v>
      </c>
      <c r="K46" s="130">
        <f t="shared" si="16"/>
        <v>0</v>
      </c>
      <c r="L46" s="126">
        <f t="shared" si="17"/>
        <v>0</v>
      </c>
      <c r="M46" s="52" t="str">
        <f>formData!B149</f>
        <v>ACCOMPANYING_CHILD1_PLACE_OF_STATE_PROVINCE</v>
      </c>
      <c r="N46" s="6">
        <f t="shared" si="8"/>
        <v>0</v>
      </c>
      <c r="O46" s="6">
        <f t="shared" si="9"/>
        <v>0</v>
      </c>
      <c r="P46" s="32"/>
    </row>
    <row r="47" spans="1:16" s="34" customFormat="1" ht="20.100000000000001" customHeight="1">
      <c r="A47" s="113"/>
      <c r="B47" s="113">
        <v>1</v>
      </c>
      <c r="C47" s="74" t="s">
        <v>1912</v>
      </c>
      <c r="D47" s="7" t="s">
        <v>26</v>
      </c>
      <c r="E47" s="240"/>
      <c r="F47" s="241"/>
      <c r="G47" s="242"/>
      <c r="J47" s="6">
        <f t="shared" si="15"/>
        <v>0</v>
      </c>
      <c r="K47" s="129">
        <f>IF(B47=1,0,1)</f>
        <v>0</v>
      </c>
      <c r="L47" s="127">
        <f>IF(A47="Hide",1,IF($J$7=1,B47,1))</f>
        <v>1</v>
      </c>
      <c r="M47" s="52" t="str">
        <f>formData!B150</f>
        <v>ACCOMPANYING_CHILD1_PLACE_OF_BIRTH_COUNTRY</v>
      </c>
      <c r="N47" s="6">
        <f t="shared" si="8"/>
        <v>0</v>
      </c>
      <c r="O47" s="6">
        <f t="shared" si="9"/>
        <v>0</v>
      </c>
      <c r="P47" s="32"/>
    </row>
    <row r="48" spans="1:16" s="34" customFormat="1" ht="20.100000000000001" customHeight="1">
      <c r="A48" s="113"/>
      <c r="B48" s="113"/>
      <c r="D48" s="9"/>
      <c r="E48" s="9"/>
      <c r="M48" s="52"/>
      <c r="N48" s="6">
        <f t="shared" ref="N48:N100" si="18">IF(J48=1,1,0)</f>
        <v>0</v>
      </c>
      <c r="O48" s="6">
        <f t="shared" ref="O48:O100" si="19">+J48*K48</f>
        <v>0</v>
      </c>
      <c r="P48" s="32"/>
    </row>
    <row r="49" spans="1:16" ht="24.95" customHeight="1">
      <c r="A49" s="106"/>
      <c r="B49" s="106"/>
      <c r="C49" s="74"/>
      <c r="D49" s="256" t="s">
        <v>1970</v>
      </c>
      <c r="E49" s="284"/>
      <c r="F49" s="284"/>
      <c r="G49" s="285"/>
      <c r="M49" s="52"/>
      <c r="N49" s="6">
        <f t="shared" si="18"/>
        <v>0</v>
      </c>
      <c r="O49" s="6">
        <f t="shared" si="19"/>
        <v>0</v>
      </c>
    </row>
    <row r="50" spans="1:16" s="34" customFormat="1" ht="20.100000000000001" customHeight="1">
      <c r="A50" s="113"/>
      <c r="B50" s="113">
        <v>1</v>
      </c>
      <c r="C50" s="74" t="s">
        <v>1912</v>
      </c>
      <c r="D50" s="7" t="s">
        <v>27</v>
      </c>
      <c r="E50" s="240"/>
      <c r="F50" s="241"/>
      <c r="G50" s="242"/>
      <c r="J50" s="6">
        <f t="shared" ref="J50" si="20">IF($C50="*",IF($A50="Hide",0,$J$7),0)</f>
        <v>0</v>
      </c>
      <c r="K50" s="129">
        <f>IF(B50=1,0,1)</f>
        <v>0</v>
      </c>
      <c r="L50" s="127">
        <f>IF(A50="Hide",1,IF($J$7=1,B50,1))</f>
        <v>1</v>
      </c>
      <c r="M50" s="52" t="str">
        <f>formData!B151</f>
        <v>ACCOMPANYING_CHILD1_RELATIONSHIP_STATUS</v>
      </c>
      <c r="N50" s="6">
        <f t="shared" si="18"/>
        <v>0</v>
      </c>
      <c r="O50" s="6">
        <f t="shared" si="19"/>
        <v>0</v>
      </c>
      <c r="P50" s="32"/>
    </row>
    <row r="51" spans="1:16" s="34" customFormat="1" ht="20.100000000000001" customHeight="1">
      <c r="A51" s="113"/>
      <c r="B51" s="113"/>
      <c r="D51" s="9"/>
      <c r="E51" s="56"/>
      <c r="M51" s="52"/>
      <c r="N51" s="6">
        <f t="shared" si="18"/>
        <v>0</v>
      </c>
      <c r="O51" s="6">
        <f t="shared" si="19"/>
        <v>0</v>
      </c>
      <c r="P51" s="32"/>
    </row>
    <row r="52" spans="1:16" ht="24.95" customHeight="1">
      <c r="A52" s="106"/>
      <c r="B52" s="106">
        <v>1</v>
      </c>
      <c r="C52" s="74"/>
      <c r="D52" s="256" t="s">
        <v>48</v>
      </c>
      <c r="E52" s="284"/>
      <c r="F52" s="284"/>
      <c r="G52" s="285"/>
      <c r="M52" s="52"/>
      <c r="N52" s="6">
        <f t="shared" si="18"/>
        <v>0</v>
      </c>
      <c r="O52" s="6">
        <f t="shared" si="19"/>
        <v>0</v>
      </c>
    </row>
    <row r="53" spans="1:16" s="34" customFormat="1" ht="30" customHeight="1">
      <c r="A53" s="113"/>
      <c r="B53" s="113">
        <v>1</v>
      </c>
      <c r="C53" s="74" t="s">
        <v>1912</v>
      </c>
      <c r="D53" s="25" t="s">
        <v>1228</v>
      </c>
      <c r="E53" s="240"/>
      <c r="F53" s="241"/>
      <c r="G53" s="242"/>
      <c r="J53" s="6">
        <f t="shared" ref="J53:J56" si="21">IF($C53="*",IF($A53="Hide",0,$J$7),0)</f>
        <v>0</v>
      </c>
      <c r="K53" s="129">
        <f>IF(B53=1,0,1)</f>
        <v>0</v>
      </c>
      <c r="L53" s="127">
        <f>IF(A53="Hide",1,IF($J$7=1,B53,1))</f>
        <v>1</v>
      </c>
      <c r="M53" s="52" t="str">
        <f>formData!B152</f>
        <v>ACCOMPANYING_CHILD1_OTHER_NAMES_HAVE_OTHER_NAME</v>
      </c>
      <c r="N53" s="6">
        <f t="shared" si="18"/>
        <v>0</v>
      </c>
      <c r="O53" s="6">
        <f t="shared" si="19"/>
        <v>0</v>
      </c>
      <c r="P53" s="32"/>
    </row>
    <row r="54" spans="1:16" s="34" customFormat="1" ht="20.100000000000001" hidden="1" customHeight="1">
      <c r="A54" s="106" t="str">
        <f>IF($B$53=2,"Show","HIDE")</f>
        <v>HIDE</v>
      </c>
      <c r="B54" s="113"/>
      <c r="C54" s="74" t="s">
        <v>1912</v>
      </c>
      <c r="D54" s="7" t="s">
        <v>12</v>
      </c>
      <c r="E54" s="198"/>
      <c r="F54" s="199"/>
      <c r="G54" s="200"/>
      <c r="J54" s="6">
        <f t="shared" si="21"/>
        <v>0</v>
      </c>
      <c r="K54" s="130">
        <f>IF(LEN(E54)=0,0,1)</f>
        <v>0</v>
      </c>
      <c r="L54" s="126">
        <f>IF(A54="Hide",0,IF($J$7=1,E54,0))</f>
        <v>0</v>
      </c>
      <c r="M54" s="52" t="str">
        <f>formData!B153</f>
        <v>ACCOMPANYING_CHILD1_OTHER_NAMES_FAMILY_NAME</v>
      </c>
      <c r="N54" s="6">
        <f t="shared" si="18"/>
        <v>0</v>
      </c>
      <c r="O54" s="6">
        <f t="shared" si="19"/>
        <v>0</v>
      </c>
      <c r="P54" s="32"/>
    </row>
    <row r="55" spans="1:16" s="34" customFormat="1" ht="20.100000000000001" hidden="1" customHeight="1">
      <c r="A55" s="106" t="str">
        <f>IF($B$53=2,"Show","HIDE")</f>
        <v>HIDE</v>
      </c>
      <c r="B55" s="113"/>
      <c r="C55" s="74" t="s">
        <v>1912</v>
      </c>
      <c r="D55" s="7" t="s">
        <v>13</v>
      </c>
      <c r="E55" s="198"/>
      <c r="F55" s="199"/>
      <c r="G55" s="200"/>
      <c r="J55" s="6">
        <f t="shared" si="21"/>
        <v>0</v>
      </c>
      <c r="K55" s="130">
        <f>IF(LEN(E55)=0,0,1)</f>
        <v>0</v>
      </c>
      <c r="L55" s="126">
        <f>IF(A55="Hide",0,IF($J$7=1,E55,0))</f>
        <v>0</v>
      </c>
      <c r="M55" s="52" t="str">
        <f>formData!B154</f>
        <v>ACCOMPANYING_CHILD1_OTHER_NAMES_GIVEN_NAME</v>
      </c>
      <c r="N55" s="6">
        <f t="shared" si="18"/>
        <v>0</v>
      </c>
      <c r="O55" s="6">
        <f t="shared" si="19"/>
        <v>0</v>
      </c>
      <c r="P55" s="32"/>
    </row>
    <row r="56" spans="1:16" s="34" customFormat="1" ht="20.100000000000001" hidden="1" customHeight="1">
      <c r="A56" s="106" t="str">
        <f>IF($B$53=2,"Show","HIDE")</f>
        <v>HIDE</v>
      </c>
      <c r="B56" s="113">
        <v>1</v>
      </c>
      <c r="C56" s="74" t="s">
        <v>1912</v>
      </c>
      <c r="D56" s="7" t="s">
        <v>53</v>
      </c>
      <c r="E56" s="240"/>
      <c r="F56" s="241"/>
      <c r="G56" s="242"/>
      <c r="J56" s="6">
        <f t="shared" si="21"/>
        <v>0</v>
      </c>
      <c r="K56" s="129">
        <f>IF(B56=1,0,1)</f>
        <v>0</v>
      </c>
      <c r="L56" s="127">
        <f>IF(A56="Hide",1,IF($J$7=1,B56,1))</f>
        <v>1</v>
      </c>
      <c r="M56" s="52" t="str">
        <f>formData!B155</f>
        <v>ACCOMPANYING_CHILD1_OTHER_NAMES_REASON</v>
      </c>
      <c r="N56" s="6">
        <f t="shared" si="18"/>
        <v>0</v>
      </c>
      <c r="O56" s="6">
        <f t="shared" si="19"/>
        <v>0</v>
      </c>
      <c r="P56" s="32"/>
    </row>
    <row r="57" spans="1:16" s="34" customFormat="1" ht="20.100000000000001" hidden="1" customHeight="1">
      <c r="A57" s="106" t="str">
        <f>IF($B$53=2,"Show","HIDE")</f>
        <v>HIDE</v>
      </c>
      <c r="B57" s="113"/>
      <c r="D57" s="290" t="s">
        <v>30</v>
      </c>
      <c r="E57" s="291"/>
      <c r="F57" s="291"/>
      <c r="G57" s="292"/>
      <c r="M57" s="52"/>
      <c r="N57" s="6">
        <f t="shared" si="18"/>
        <v>0</v>
      </c>
      <c r="O57" s="6">
        <f t="shared" si="19"/>
        <v>0</v>
      </c>
      <c r="P57" s="32"/>
    </row>
    <row r="58" spans="1:16" s="34" customFormat="1" ht="60" hidden="1" customHeight="1">
      <c r="A58" s="106" t="str">
        <f>IF($B$53=2,"Show","HIDE")</f>
        <v>HIDE</v>
      </c>
      <c r="B58" s="113"/>
      <c r="D58" s="270"/>
      <c r="E58" s="271"/>
      <c r="F58" s="271"/>
      <c r="G58" s="272"/>
      <c r="J58" s="157">
        <f t="shared" ref="J58" si="22">IF($C58="*",IF($A58="Hide",0,$J$7),0)</f>
        <v>0</v>
      </c>
      <c r="K58" s="158">
        <f>IF(LEN(D58)=0,0,1)</f>
        <v>0</v>
      </c>
      <c r="L58" s="157">
        <f>IF(A58="Hide",0,IF($J$7=1,D58,0))</f>
        <v>0</v>
      </c>
      <c r="M58" s="52" t="str">
        <f>formData!B156</f>
        <v>ACCOMPANYING_CHILD1_OTHER_NAMES_GIVE_DETAILS</v>
      </c>
      <c r="N58" s="6">
        <f t="shared" si="18"/>
        <v>0</v>
      </c>
      <c r="O58" s="6">
        <f t="shared" si="19"/>
        <v>0</v>
      </c>
      <c r="P58" s="32"/>
    </row>
    <row r="59" spans="1:16" s="34" customFormat="1" ht="20.100000000000001" customHeight="1">
      <c r="A59" s="113"/>
      <c r="B59" s="113"/>
      <c r="D59" s="9"/>
      <c r="E59" s="56"/>
      <c r="M59" s="52"/>
      <c r="N59" s="6">
        <f t="shared" si="18"/>
        <v>0</v>
      </c>
      <c r="O59" s="6">
        <f t="shared" si="19"/>
        <v>0</v>
      </c>
      <c r="P59" s="32"/>
    </row>
    <row r="60" spans="1:16" ht="24.95" customHeight="1">
      <c r="A60" s="106"/>
      <c r="B60" s="106">
        <v>1</v>
      </c>
      <c r="C60" s="74"/>
      <c r="D60" s="256" t="s">
        <v>64</v>
      </c>
      <c r="E60" s="284"/>
      <c r="F60" s="284"/>
      <c r="G60" s="285"/>
      <c r="M60" s="52"/>
      <c r="N60" s="6">
        <f t="shared" si="18"/>
        <v>0</v>
      </c>
      <c r="O60" s="6">
        <f t="shared" si="19"/>
        <v>0</v>
      </c>
    </row>
    <row r="61" spans="1:16" s="34" customFormat="1" ht="30" customHeight="1">
      <c r="A61" s="113"/>
      <c r="B61" s="113">
        <v>1</v>
      </c>
      <c r="C61" s="74" t="s">
        <v>1912</v>
      </c>
      <c r="D61" s="7" t="s">
        <v>69</v>
      </c>
      <c r="E61" s="240"/>
      <c r="F61" s="241"/>
      <c r="G61" s="242"/>
      <c r="J61" s="6">
        <f t="shared" ref="J61:J77" si="23">IF($C61="*",IF($A61="Hide",0,$J$7),0)</f>
        <v>0</v>
      </c>
      <c r="K61" s="129">
        <f>IF(B61=1,0,1)</f>
        <v>0</v>
      </c>
      <c r="L61" s="127">
        <f>IF(A61="Hide",1,IF($J$7=1,B61,1))</f>
        <v>1</v>
      </c>
      <c r="M61" s="52" t="str">
        <f>formData!B157</f>
        <v>ACCOMPANYING_CHILD1_CITIZENSHIP_COUNTRY_OF_PASSPORT</v>
      </c>
      <c r="N61" s="6">
        <f t="shared" si="18"/>
        <v>0</v>
      </c>
      <c r="O61" s="6">
        <f t="shared" si="19"/>
        <v>0</v>
      </c>
      <c r="P61" s="32"/>
    </row>
    <row r="62" spans="1:16" s="34" customFormat="1" ht="20.100000000000001" customHeight="1">
      <c r="A62" s="113"/>
      <c r="B62" s="113">
        <v>1</v>
      </c>
      <c r="C62" s="74" t="s">
        <v>1912</v>
      </c>
      <c r="D62" s="7" t="s">
        <v>70</v>
      </c>
      <c r="E62" s="240"/>
      <c r="F62" s="241"/>
      <c r="G62" s="242"/>
      <c r="J62" s="6">
        <f t="shared" si="23"/>
        <v>0</v>
      </c>
      <c r="K62" s="129">
        <f>IF(B62=1,0,1)</f>
        <v>0</v>
      </c>
      <c r="L62" s="127">
        <f>IF(A62="Hide",1,IF($J$7=1,B62,1))</f>
        <v>1</v>
      </c>
      <c r="M62" s="52" t="str">
        <f>formData!B158</f>
        <v>ACCOMPANYING_CHILD1_CITIZENSHIP_OTHER_COUNTRY</v>
      </c>
      <c r="N62" s="6">
        <f t="shared" si="18"/>
        <v>0</v>
      </c>
      <c r="O62" s="6">
        <f t="shared" si="19"/>
        <v>0</v>
      </c>
      <c r="P62" s="32"/>
    </row>
    <row r="63" spans="1:16" s="34" customFormat="1" ht="20.100000000000001" hidden="1" customHeight="1">
      <c r="A63" s="106" t="str">
        <f>IF($B$62=2,"Show","HIDE")</f>
        <v>HIDE</v>
      </c>
      <c r="B63" s="113">
        <v>1</v>
      </c>
      <c r="C63" s="74" t="s">
        <v>1912</v>
      </c>
      <c r="D63" s="7" t="s">
        <v>32</v>
      </c>
      <c r="E63" s="240"/>
      <c r="F63" s="241"/>
      <c r="G63" s="242"/>
      <c r="J63" s="6">
        <f>IF($C63="*",IF($A63="Hide",0,$J$7),0)</f>
        <v>0</v>
      </c>
      <c r="K63" s="129">
        <f>IF(B63=1,0,1)</f>
        <v>0</v>
      </c>
      <c r="L63" s="127">
        <f>IF(A63="Hide",1,IF($J$7=1,B63,1))</f>
        <v>1</v>
      </c>
      <c r="M63" s="52" t="str">
        <f>formData!B159</f>
        <v>ACCOMPANYING_CHILD1_CITIZENSHIP_LIST COUNTRIES1</v>
      </c>
      <c r="N63" s="6">
        <f t="shared" si="18"/>
        <v>0</v>
      </c>
      <c r="O63" s="6">
        <f t="shared" si="19"/>
        <v>0</v>
      </c>
      <c r="P63" s="32"/>
    </row>
    <row r="64" spans="1:16" ht="20.100000000000001" customHeight="1">
      <c r="A64" s="106"/>
      <c r="B64" s="106">
        <v>1</v>
      </c>
      <c r="J64" s="6">
        <f>IF($C64="*",IF($A63="Hide",0,$J$7),0)</f>
        <v>0</v>
      </c>
      <c r="K64" s="129">
        <f>IF(B64=1,0,1)</f>
        <v>0</v>
      </c>
      <c r="L64" s="127">
        <f>IF(A64="Hide",1,IF($J$7=1,B64,1))</f>
        <v>1</v>
      </c>
      <c r="M64" s="52" t="str">
        <f>formData!B160</f>
        <v>ACCOMPANYING_CHILD1_CITIZENSHIP_LIST COUNTRIES2</v>
      </c>
      <c r="N64" s="6">
        <f t="shared" si="18"/>
        <v>0</v>
      </c>
      <c r="O64" s="6">
        <f t="shared" si="19"/>
        <v>0</v>
      </c>
    </row>
    <row r="65" spans="1:16" ht="24.95" customHeight="1">
      <c r="A65" s="106"/>
      <c r="B65" s="106">
        <v>1</v>
      </c>
      <c r="C65" s="74"/>
      <c r="D65" s="256" t="s">
        <v>60</v>
      </c>
      <c r="E65" s="284"/>
      <c r="F65" s="284"/>
      <c r="G65" s="285"/>
      <c r="M65" s="52"/>
      <c r="N65" s="6">
        <f t="shared" si="18"/>
        <v>0</v>
      </c>
      <c r="O65" s="6">
        <f t="shared" si="19"/>
        <v>0</v>
      </c>
    </row>
    <row r="66" spans="1:16" s="34" customFormat="1" ht="24">
      <c r="A66" s="113"/>
      <c r="B66" s="113">
        <v>1</v>
      </c>
      <c r="C66" s="74" t="s">
        <v>1912</v>
      </c>
      <c r="D66" s="7" t="s">
        <v>71</v>
      </c>
      <c r="E66" s="240"/>
      <c r="F66" s="241"/>
      <c r="G66" s="242"/>
      <c r="J66" s="6">
        <f t="shared" si="23"/>
        <v>0</v>
      </c>
      <c r="K66" s="129">
        <f>IF(B66=1,0,1)</f>
        <v>0</v>
      </c>
      <c r="L66" s="127">
        <f>IF(A66="Hide",1,IF($J$7=1,B66,1))</f>
        <v>1</v>
      </c>
      <c r="M66" s="52" t="str">
        <f>formData!B161</f>
        <v>ACCOMPANYING_CHILD1_OTHER_PASSPORT_OR_DOCUMENTS</v>
      </c>
      <c r="N66" s="6">
        <f t="shared" si="18"/>
        <v>0</v>
      </c>
      <c r="O66" s="6">
        <f t="shared" si="19"/>
        <v>0</v>
      </c>
      <c r="P66" s="32"/>
    </row>
    <row r="67" spans="1:16" s="34" customFormat="1" ht="20.100000000000001" hidden="1" customHeight="1">
      <c r="A67" s="106" t="str">
        <f>IF($B$66=2,"Show","HIDE")</f>
        <v>HIDE</v>
      </c>
      <c r="B67" s="113">
        <v>1</v>
      </c>
      <c r="C67" s="74" t="s">
        <v>1912</v>
      </c>
      <c r="D67" s="7" t="s">
        <v>34</v>
      </c>
      <c r="E67" s="240"/>
      <c r="F67" s="241"/>
      <c r="G67" s="242"/>
      <c r="J67" s="6">
        <f t="shared" si="23"/>
        <v>0</v>
      </c>
      <c r="K67" s="129">
        <f>IF(B67=1,0,1)</f>
        <v>0</v>
      </c>
      <c r="L67" s="127">
        <f>IF(A67="Hide",1,IF($J$7=1,B67,1))</f>
        <v>1</v>
      </c>
      <c r="M67" s="52" t="str">
        <f>formData!B162</f>
        <v>ACCOMPANYING_CHILD1_OTHER_TRAVEL_DOCS_TYPE_OF_DOCUMENT</v>
      </c>
      <c r="N67" s="6">
        <f t="shared" si="18"/>
        <v>0</v>
      </c>
      <c r="O67" s="6">
        <f t="shared" si="19"/>
        <v>0</v>
      </c>
      <c r="P67" s="32"/>
    </row>
    <row r="68" spans="1:16" s="34" customFormat="1" ht="20.100000000000001" hidden="1" customHeight="1">
      <c r="A68" s="106" t="str">
        <f t="shared" ref="A68:A77" si="24">IF($B$66=2,"Show","HIDE")</f>
        <v>HIDE</v>
      </c>
      <c r="B68" s="113"/>
      <c r="C68" s="74" t="s">
        <v>1912</v>
      </c>
      <c r="D68" s="7" t="s">
        <v>12</v>
      </c>
      <c r="E68" s="198"/>
      <c r="F68" s="199"/>
      <c r="G68" s="200"/>
      <c r="J68" s="6">
        <f t="shared" si="23"/>
        <v>0</v>
      </c>
      <c r="K68" s="130">
        <f>IF(LEN(E68)=0,0,1)</f>
        <v>0</v>
      </c>
      <c r="L68" s="126">
        <f>IF(A68="Hide",0,IF($J$7=1,E68,0))</f>
        <v>0</v>
      </c>
      <c r="M68" s="52" t="str">
        <f>formData!B163</f>
        <v>ACCOMPANYING_CHILD1_OTHER_PASSPORT_NAMES_FAMILY_NAME</v>
      </c>
      <c r="N68" s="6">
        <f t="shared" si="18"/>
        <v>0</v>
      </c>
      <c r="O68" s="6">
        <f t="shared" si="19"/>
        <v>0</v>
      </c>
      <c r="P68" s="32"/>
    </row>
    <row r="69" spans="1:16" s="34" customFormat="1" ht="20.100000000000001" hidden="1" customHeight="1">
      <c r="A69" s="106" t="str">
        <f t="shared" si="24"/>
        <v>HIDE</v>
      </c>
      <c r="B69" s="113"/>
      <c r="C69" s="74" t="s">
        <v>1912</v>
      </c>
      <c r="D69" s="7" t="s">
        <v>13</v>
      </c>
      <c r="E69" s="198"/>
      <c r="F69" s="199"/>
      <c r="G69" s="200"/>
      <c r="J69" s="6">
        <f t="shared" si="23"/>
        <v>0</v>
      </c>
      <c r="K69" s="130">
        <f>IF(LEN(E69)=0,0,1)</f>
        <v>0</v>
      </c>
      <c r="L69" s="126">
        <f>IF(A69="Hide",0,IF($J$7=1,E69,0))</f>
        <v>0</v>
      </c>
      <c r="M69" s="52" t="str">
        <f>formData!B164</f>
        <v>ACCOMPANYING_CHILD1_OTHER_PASSPORT_NAMES_GIVEN_NAME</v>
      </c>
      <c r="N69" s="6">
        <f t="shared" si="18"/>
        <v>0</v>
      </c>
      <c r="O69" s="6">
        <f t="shared" si="19"/>
        <v>0</v>
      </c>
      <c r="P69" s="32"/>
    </row>
    <row r="70" spans="1:16" s="34" customFormat="1" ht="20.100000000000001" hidden="1" customHeight="1">
      <c r="A70" s="106" t="str">
        <f t="shared" si="24"/>
        <v>HIDE</v>
      </c>
      <c r="B70" s="113">
        <v>1</v>
      </c>
      <c r="C70" s="74" t="s">
        <v>1912</v>
      </c>
      <c r="D70" s="7" t="s">
        <v>14</v>
      </c>
      <c r="E70" s="240"/>
      <c r="F70" s="241"/>
      <c r="G70" s="242"/>
      <c r="J70" s="6">
        <f t="shared" si="23"/>
        <v>0</v>
      </c>
      <c r="K70" s="129">
        <f>IF(B70=1,0,1)</f>
        <v>0</v>
      </c>
      <c r="L70" s="127">
        <f>IF(A70="Hide",1,IF($J$7=1,B70,1))</f>
        <v>1</v>
      </c>
      <c r="M70" s="52" t="str">
        <f>formData!B165</f>
        <v>ACCOMPANYING_CHILD1_OTHER_TRAVEL_DOCS_SEX</v>
      </c>
      <c r="N70" s="6">
        <f t="shared" si="18"/>
        <v>0</v>
      </c>
      <c r="O70" s="6">
        <f t="shared" si="19"/>
        <v>0</v>
      </c>
      <c r="P70" s="32"/>
    </row>
    <row r="71" spans="1:16" s="34" customFormat="1" ht="20.100000000000001" hidden="1" customHeight="1">
      <c r="A71" s="106" t="str">
        <f t="shared" si="24"/>
        <v>HIDE</v>
      </c>
      <c r="B71" s="113"/>
      <c r="C71" s="74" t="s">
        <v>1912</v>
      </c>
      <c r="D71" s="31" t="s">
        <v>1976</v>
      </c>
      <c r="E71" s="219"/>
      <c r="F71" s="220"/>
      <c r="G71" s="221"/>
      <c r="J71" s="6">
        <f t="shared" si="23"/>
        <v>0</v>
      </c>
      <c r="K71" s="130">
        <f>IF(LEN(E71)=0,0,1)</f>
        <v>0</v>
      </c>
      <c r="L71" s="126">
        <f>IF(A71="Hide",0,IF($J$7=1,E71,0))</f>
        <v>0</v>
      </c>
      <c r="M71" s="52" t="str">
        <f>formData!B166</f>
        <v>ACCOMPANYING_CHILD1_OTHER_TRAVEL_DOCS_DATE_OF_BIRTH</v>
      </c>
      <c r="N71" s="6">
        <f t="shared" si="18"/>
        <v>0</v>
      </c>
      <c r="O71" s="6">
        <f t="shared" si="19"/>
        <v>0</v>
      </c>
      <c r="P71" s="32"/>
    </row>
    <row r="72" spans="1:16" s="34" customFormat="1" ht="20.100000000000001" hidden="1" customHeight="1">
      <c r="A72" s="106" t="str">
        <f t="shared" si="24"/>
        <v>HIDE</v>
      </c>
      <c r="B72" s="113"/>
      <c r="C72" s="74" t="s">
        <v>1912</v>
      </c>
      <c r="D72" s="7" t="s">
        <v>35</v>
      </c>
      <c r="E72" s="234"/>
      <c r="F72" s="235"/>
      <c r="G72" s="236"/>
      <c r="J72" s="6">
        <f t="shared" si="23"/>
        <v>0</v>
      </c>
      <c r="K72" s="130">
        <f>IF(LEN(E72)=0,0,1)</f>
        <v>0</v>
      </c>
      <c r="L72" s="126">
        <f>IF(A72="Hide",0,IF($J$7=1,E72,0))</f>
        <v>0</v>
      </c>
      <c r="M72" s="52" t="str">
        <f>formData!B167</f>
        <v>ACCOMPANYING_CHILD1_OTHER_TRAVEL_DOCS_DOCUMENT_NUMBER</v>
      </c>
      <c r="N72" s="6">
        <f t="shared" si="18"/>
        <v>0</v>
      </c>
      <c r="O72" s="6">
        <f t="shared" si="19"/>
        <v>0</v>
      </c>
      <c r="P72" s="32"/>
    </row>
    <row r="73" spans="1:16" s="34" customFormat="1" ht="20.100000000000001" hidden="1" customHeight="1">
      <c r="A73" s="106" t="str">
        <f t="shared" si="24"/>
        <v>HIDE</v>
      </c>
      <c r="B73" s="113">
        <v>1</v>
      </c>
      <c r="C73" s="74" t="s">
        <v>1912</v>
      </c>
      <c r="D73" s="7" t="s">
        <v>23</v>
      </c>
      <c r="E73" s="240"/>
      <c r="F73" s="241"/>
      <c r="G73" s="242"/>
      <c r="J73" s="6">
        <f t="shared" si="23"/>
        <v>0</v>
      </c>
      <c r="K73" s="129">
        <f>IF(B73=1,0,1)</f>
        <v>0</v>
      </c>
      <c r="L73" s="127">
        <f>IF(A73="Hide",1,IF($J$7=1,B73,1))</f>
        <v>1</v>
      </c>
      <c r="M73" s="52" t="str">
        <f>formData!B168</f>
        <v>ACCOMPANYING_CHILD1_OTHER_PASSPORT_DOCUMENTS_COUNTRY_OF_ISSUE</v>
      </c>
      <c r="N73" s="6">
        <f t="shared" si="18"/>
        <v>0</v>
      </c>
      <c r="O73" s="6">
        <f t="shared" si="19"/>
        <v>0</v>
      </c>
      <c r="P73" s="32"/>
    </row>
    <row r="74" spans="1:16" s="34" customFormat="1" ht="20.100000000000001" hidden="1" customHeight="1">
      <c r="A74" s="106" t="str">
        <f t="shared" si="24"/>
        <v>HIDE</v>
      </c>
      <c r="B74" s="113">
        <v>1</v>
      </c>
      <c r="C74" s="74" t="s">
        <v>1912</v>
      </c>
      <c r="D74" s="7" t="s">
        <v>36</v>
      </c>
      <c r="E74" s="240"/>
      <c r="F74" s="241"/>
      <c r="G74" s="242"/>
      <c r="J74" s="6">
        <f t="shared" si="23"/>
        <v>0</v>
      </c>
      <c r="K74" s="129">
        <f>IF(B74=1,0,1)</f>
        <v>0</v>
      </c>
      <c r="L74" s="127">
        <f>IF(A74="Hide",1,IF($J$7=1,B74,1))</f>
        <v>1</v>
      </c>
      <c r="M74" s="52" t="str">
        <f>formData!B169</f>
        <v>ACCOMPANYING_CHILD1_OTHER_TRAVEL_DOCS_NATIONALITY_OF_PASSPORT_HOLDER</v>
      </c>
      <c r="N74" s="6">
        <f t="shared" si="18"/>
        <v>0</v>
      </c>
      <c r="O74" s="6">
        <f t="shared" si="19"/>
        <v>0</v>
      </c>
      <c r="P74" s="32"/>
    </row>
    <row r="75" spans="1:16" s="34" customFormat="1" ht="20.100000000000001" hidden="1" customHeight="1">
      <c r="A75" s="106" t="str">
        <f t="shared" si="24"/>
        <v>HIDE</v>
      </c>
      <c r="B75" s="113"/>
      <c r="C75" s="74" t="s">
        <v>1912</v>
      </c>
      <c r="D75" s="31" t="s">
        <v>1973</v>
      </c>
      <c r="E75" s="219"/>
      <c r="F75" s="220"/>
      <c r="G75" s="221"/>
      <c r="J75" s="6">
        <f t="shared" si="23"/>
        <v>0</v>
      </c>
      <c r="K75" s="130">
        <f>IF(LEN(E75)=0,0,1)</f>
        <v>0</v>
      </c>
      <c r="L75" s="126">
        <f>IF(A75="Hide",0,IF($J$7=1,E75,0))</f>
        <v>0</v>
      </c>
      <c r="M75" s="52" t="str">
        <f>formData!B170</f>
        <v>ACCOMPANYING_CHILD1_OTHER_TRAVEL_DOCS_DATE_OF_ISSUE</v>
      </c>
      <c r="N75" s="6">
        <f t="shared" si="18"/>
        <v>0</v>
      </c>
      <c r="O75" s="6">
        <f t="shared" si="19"/>
        <v>0</v>
      </c>
      <c r="P75" s="32"/>
    </row>
    <row r="76" spans="1:16" s="34" customFormat="1" ht="20.100000000000001" hidden="1" customHeight="1">
      <c r="A76" s="106" t="str">
        <f t="shared" si="24"/>
        <v>HIDE</v>
      </c>
      <c r="B76" s="113"/>
      <c r="C76" s="74" t="s">
        <v>1912</v>
      </c>
      <c r="D76" s="31" t="s">
        <v>1972</v>
      </c>
      <c r="E76" s="219"/>
      <c r="F76" s="220"/>
      <c r="G76" s="221"/>
      <c r="J76" s="6">
        <f t="shared" si="23"/>
        <v>0</v>
      </c>
      <c r="K76" s="130">
        <f>IF(LEN(E76)=0,0,1)</f>
        <v>0</v>
      </c>
      <c r="L76" s="126">
        <f>IF(A76="Hide",0,IF($J$7=1,E76,0))</f>
        <v>0</v>
      </c>
      <c r="M76" s="52" t="str">
        <f>formData!B171</f>
        <v>ACCOMPANYING_CHILD1_OTHER_TRAVEL_DOCS_EXPIRY_DATE</v>
      </c>
      <c r="N76" s="6">
        <f t="shared" si="18"/>
        <v>0</v>
      </c>
      <c r="O76" s="6">
        <f t="shared" si="19"/>
        <v>0</v>
      </c>
      <c r="P76" s="32"/>
    </row>
    <row r="77" spans="1:16" s="34" customFormat="1" ht="20.100000000000001" hidden="1" customHeight="1">
      <c r="A77" s="106" t="str">
        <f t="shared" si="24"/>
        <v>HIDE</v>
      </c>
      <c r="B77" s="113"/>
      <c r="C77" s="74" t="s">
        <v>1912</v>
      </c>
      <c r="D77" s="7" t="s">
        <v>18</v>
      </c>
      <c r="E77" s="198"/>
      <c r="F77" s="199"/>
      <c r="G77" s="200"/>
      <c r="J77" s="6">
        <f t="shared" si="23"/>
        <v>0</v>
      </c>
      <c r="K77" s="130">
        <f>IF(LEN(E77)=0,0,1)</f>
        <v>0</v>
      </c>
      <c r="L77" s="126">
        <f>IF(A77="Hide",0,IF($J$7=1,E77,0))</f>
        <v>0</v>
      </c>
      <c r="M77" s="52" t="str">
        <f>formData!B172</f>
        <v>ACCOMPANYING_CHILD1_OTHER_TRAVEL_DOCS_PLACE_OF_ISSUE</v>
      </c>
      <c r="N77" s="6">
        <f t="shared" si="18"/>
        <v>0</v>
      </c>
      <c r="O77" s="6">
        <f t="shared" si="19"/>
        <v>0</v>
      </c>
      <c r="P77" s="32"/>
    </row>
    <row r="78" spans="1:16" ht="20.100000000000001" customHeight="1">
      <c r="A78" s="106"/>
      <c r="B78" s="106"/>
      <c r="M78" s="52"/>
      <c r="N78" s="6">
        <f t="shared" si="18"/>
        <v>0</v>
      </c>
      <c r="O78" s="6">
        <f t="shared" si="19"/>
        <v>0</v>
      </c>
    </row>
    <row r="79" spans="1:16" ht="24.95" customHeight="1">
      <c r="A79" s="106"/>
      <c r="B79" s="106">
        <v>1</v>
      </c>
      <c r="C79" s="74"/>
      <c r="D79" s="256" t="s">
        <v>65</v>
      </c>
      <c r="E79" s="284"/>
      <c r="F79" s="284"/>
      <c r="G79" s="285"/>
      <c r="M79" s="52"/>
      <c r="N79" s="6">
        <f t="shared" si="18"/>
        <v>0</v>
      </c>
      <c r="O79" s="6">
        <f t="shared" si="19"/>
        <v>0</v>
      </c>
    </row>
    <row r="80" spans="1:16" s="34" customFormat="1" ht="20.100000000000001" customHeight="1">
      <c r="A80" s="113"/>
      <c r="B80" s="113">
        <v>1</v>
      </c>
      <c r="C80" s="74" t="s">
        <v>1912</v>
      </c>
      <c r="D80" s="7" t="s">
        <v>72</v>
      </c>
      <c r="E80" s="240"/>
      <c r="F80" s="241"/>
      <c r="G80" s="242"/>
      <c r="J80" s="6">
        <f t="shared" ref="J80:J85" si="25">IF($C80="*",IF($A80="Hide",0,$J$7),0)</f>
        <v>0</v>
      </c>
      <c r="K80" s="129">
        <f>IF(B80=1,0,1)</f>
        <v>0</v>
      </c>
      <c r="L80" s="127">
        <f>IF(A80="Hide",1,IF($J$7=1,B80,1))</f>
        <v>1</v>
      </c>
      <c r="M80" s="52" t="str">
        <f>formData!B173</f>
        <v>ACCOMPANYING_CHILD1_OTHER_IDENTITY_DOCUMENTS</v>
      </c>
      <c r="N80" s="6">
        <f t="shared" si="18"/>
        <v>0</v>
      </c>
      <c r="O80" s="6">
        <f t="shared" si="19"/>
        <v>0</v>
      </c>
      <c r="P80" s="32"/>
    </row>
    <row r="81" spans="1:16" s="34" customFormat="1" ht="20.100000000000001" hidden="1" customHeight="1">
      <c r="A81" s="106" t="str">
        <f>IF($B$80=2,"Show","HIDE")</f>
        <v>HIDE</v>
      </c>
      <c r="B81" s="113"/>
      <c r="C81" s="74" t="s">
        <v>1912</v>
      </c>
      <c r="D81" s="7" t="s">
        <v>12</v>
      </c>
      <c r="E81" s="198"/>
      <c r="F81" s="199"/>
      <c r="G81" s="200"/>
      <c r="J81" s="6">
        <f t="shared" si="25"/>
        <v>0</v>
      </c>
      <c r="K81" s="130">
        <f>IF(LEN(E81)=0,0,1)</f>
        <v>0</v>
      </c>
      <c r="L81" s="126">
        <f>IF(A81="Hide",0,IF($J$7=1,E81,0))</f>
        <v>0</v>
      </c>
      <c r="M81" s="52" t="str">
        <f>formData!B174</f>
        <v>ACCOMPANYING_CHILD1_OTHER_IDENTITY_NAMES_FAMILY_NAME</v>
      </c>
      <c r="N81" s="6">
        <f t="shared" si="18"/>
        <v>0</v>
      </c>
      <c r="O81" s="6">
        <f t="shared" si="19"/>
        <v>0</v>
      </c>
      <c r="P81" s="32"/>
    </row>
    <row r="82" spans="1:16" s="34" customFormat="1" ht="20.100000000000001" hidden="1" customHeight="1">
      <c r="A82" s="106" t="str">
        <f>IF($B$80=2,"Show","HIDE")</f>
        <v>HIDE</v>
      </c>
      <c r="B82" s="113"/>
      <c r="C82" s="74" t="s">
        <v>1912</v>
      </c>
      <c r="D82" s="7" t="s">
        <v>13</v>
      </c>
      <c r="E82" s="198"/>
      <c r="F82" s="199"/>
      <c r="G82" s="200"/>
      <c r="J82" s="6">
        <f t="shared" si="25"/>
        <v>0</v>
      </c>
      <c r="K82" s="130">
        <f>IF(LEN(E82)=0,0,1)</f>
        <v>0</v>
      </c>
      <c r="L82" s="126">
        <f>IF(A82="Hide",0,IF($J$7=1,E82,0))</f>
        <v>0</v>
      </c>
      <c r="M82" s="52" t="str">
        <f>formData!B175</f>
        <v>ACCOMPANYING_CHILD1_OTHER_IDENTITY_NAMES_GIVEN_NAME</v>
      </c>
      <c r="N82" s="6">
        <f t="shared" si="18"/>
        <v>0</v>
      </c>
      <c r="O82" s="6">
        <f t="shared" si="19"/>
        <v>0</v>
      </c>
      <c r="P82" s="32"/>
    </row>
    <row r="83" spans="1:16" s="34" customFormat="1" ht="20.100000000000001" hidden="1" customHeight="1">
      <c r="A83" s="106" t="str">
        <f>IF($B$80=2,"Show","HIDE")</f>
        <v>HIDE</v>
      </c>
      <c r="B83" s="113">
        <v>1</v>
      </c>
      <c r="C83" s="74" t="s">
        <v>1912</v>
      </c>
      <c r="D83" s="7" t="s">
        <v>34</v>
      </c>
      <c r="E83" s="240"/>
      <c r="F83" s="241"/>
      <c r="G83" s="242"/>
      <c r="J83" s="6">
        <f t="shared" si="25"/>
        <v>0</v>
      </c>
      <c r="K83" s="129">
        <f>IF(B83=1,0,1)</f>
        <v>0</v>
      </c>
      <c r="L83" s="127">
        <f>IF(A83="Hide",1,IF($J$7=1,B83,1))</f>
        <v>1</v>
      </c>
      <c r="M83" s="52" t="str">
        <f>formData!B176</f>
        <v>ACCOMPANYING_CHILD1_OTHER_IDENTITY_DOCS_TYPE_OF_DOCUMENT</v>
      </c>
      <c r="N83" s="6">
        <f t="shared" si="18"/>
        <v>0</v>
      </c>
      <c r="O83" s="6">
        <f t="shared" si="19"/>
        <v>0</v>
      </c>
      <c r="P83" s="32"/>
    </row>
    <row r="84" spans="1:16" s="34" customFormat="1" ht="20.100000000000001" hidden="1" customHeight="1">
      <c r="A84" s="106" t="str">
        <f>IF($B$80=2,"Show","HIDE")</f>
        <v>HIDE</v>
      </c>
      <c r="B84" s="113"/>
      <c r="C84" s="74" t="s">
        <v>1912</v>
      </c>
      <c r="D84" s="7" t="s">
        <v>22</v>
      </c>
      <c r="E84" s="234"/>
      <c r="F84" s="235"/>
      <c r="G84" s="236"/>
      <c r="J84" s="6">
        <f t="shared" si="25"/>
        <v>0</v>
      </c>
      <c r="K84" s="130">
        <f>IF(LEN(E84)=0,0,1)</f>
        <v>0</v>
      </c>
      <c r="L84" s="126">
        <f>IF(A84="Hide",0,IF($J$7=1,E84,0))</f>
        <v>0</v>
      </c>
      <c r="M84" s="52" t="str">
        <f>formData!B177</f>
        <v>ACCOMPANYING_CHILD1_OTHER_IDENTITY_DOCS_ID_NUMBER</v>
      </c>
      <c r="N84" s="6">
        <f t="shared" si="18"/>
        <v>0</v>
      </c>
      <c r="O84" s="6">
        <f t="shared" si="19"/>
        <v>0</v>
      </c>
      <c r="P84" s="32"/>
    </row>
    <row r="85" spans="1:16" s="34" customFormat="1" ht="20.100000000000001" hidden="1" customHeight="1">
      <c r="A85" s="106" t="str">
        <f>IF($B$80=2,"Show","HIDE")</f>
        <v>HIDE</v>
      </c>
      <c r="B85" s="113">
        <v>1</v>
      </c>
      <c r="C85" s="74" t="s">
        <v>1912</v>
      </c>
      <c r="D85" s="7" t="s">
        <v>23</v>
      </c>
      <c r="E85" s="240"/>
      <c r="F85" s="241"/>
      <c r="G85" s="242"/>
      <c r="J85" s="6">
        <f t="shared" si="25"/>
        <v>0</v>
      </c>
      <c r="K85" s="129">
        <f>IF(B85=1,0,1)</f>
        <v>0</v>
      </c>
      <c r="L85" s="127">
        <f>IF(A85="Hide",1,IF($J$7=1,B85,1))</f>
        <v>1</v>
      </c>
      <c r="M85" s="52" t="str">
        <f>formData!B178</f>
        <v>ACCOMPANYING_CHILD1_OTHER_IDENTITY_DOCUMENTS_COUNTRY_OF_ISSUE</v>
      </c>
      <c r="N85" s="6">
        <f t="shared" si="18"/>
        <v>0</v>
      </c>
      <c r="O85" s="6">
        <f t="shared" si="19"/>
        <v>0</v>
      </c>
      <c r="P85" s="32"/>
    </row>
    <row r="86" spans="1:16" ht="20.100000000000001" customHeight="1">
      <c r="A86" s="106"/>
      <c r="B86" s="106"/>
      <c r="M86" s="52"/>
      <c r="N86" s="6">
        <f t="shared" si="18"/>
        <v>0</v>
      </c>
      <c r="O86" s="6">
        <f t="shared" si="19"/>
        <v>0</v>
      </c>
    </row>
    <row r="87" spans="1:16" ht="24.95" customHeight="1">
      <c r="A87" s="106"/>
      <c r="B87" s="106"/>
      <c r="C87" s="74"/>
      <c r="D87" s="256" t="s">
        <v>1909</v>
      </c>
      <c r="E87" s="284"/>
      <c r="F87" s="284"/>
      <c r="G87" s="285"/>
      <c r="M87" s="52"/>
      <c r="N87" s="6">
        <f t="shared" si="18"/>
        <v>0</v>
      </c>
      <c r="O87" s="6">
        <f t="shared" si="19"/>
        <v>0</v>
      </c>
    </row>
    <row r="88" spans="1:16" s="34" customFormat="1" ht="20.100000000000001" customHeight="1">
      <c r="A88" s="113"/>
      <c r="B88" s="113">
        <v>1</v>
      </c>
      <c r="C88" s="74" t="s">
        <v>1912</v>
      </c>
      <c r="D88" s="286" t="s">
        <v>1967</v>
      </c>
      <c r="E88" s="287"/>
      <c r="F88" s="287"/>
      <c r="G88" s="288"/>
      <c r="J88" s="6">
        <f t="shared" ref="J88:J89" si="26">IF($C88="*",IF($A88="Hide",0,$J$7),0)</f>
        <v>0</v>
      </c>
      <c r="K88" s="129">
        <f>IF(B88=1,0,1)</f>
        <v>0</v>
      </c>
      <c r="L88" s="127">
        <f>IF(A88="Hide",1,IF($J$7=1,B88,1))</f>
        <v>1</v>
      </c>
      <c r="M88" s="52" t="str">
        <f>formData!B179</f>
        <v>ACCOMPANYING_CHILD1_ADD_QUESTIONS_APPLICANT_DEPENDENT</v>
      </c>
      <c r="N88" s="6">
        <f t="shared" si="18"/>
        <v>0</v>
      </c>
      <c r="O88" s="6">
        <f t="shared" si="19"/>
        <v>0</v>
      </c>
      <c r="P88" s="32"/>
    </row>
    <row r="89" spans="1:16" s="34" customFormat="1" ht="20.100000000000001" customHeight="1">
      <c r="A89" s="113"/>
      <c r="B89" s="113">
        <v>1</v>
      </c>
      <c r="C89" s="74" t="s">
        <v>1912</v>
      </c>
      <c r="D89" s="250" t="s">
        <v>73</v>
      </c>
      <c r="E89" s="251"/>
      <c r="F89" s="251"/>
      <c r="G89" s="252"/>
      <c r="J89" s="6">
        <f t="shared" si="26"/>
        <v>0</v>
      </c>
      <c r="K89" s="129">
        <f>IF(B89=1,0,1)</f>
        <v>0</v>
      </c>
      <c r="L89" s="127">
        <f>IF(A89="Hide",1,IF($J$7=1,B89,1))</f>
        <v>1</v>
      </c>
      <c r="M89" s="52" t="str">
        <f>formData!B180</f>
        <v>ACCOMPANYING_CHILD1_ADD_QUESTIONS_MENTAL</v>
      </c>
      <c r="N89" s="6">
        <f t="shared" si="18"/>
        <v>0</v>
      </c>
      <c r="O89" s="6">
        <f t="shared" si="19"/>
        <v>0</v>
      </c>
      <c r="P89" s="32"/>
    </row>
    <row r="90" spans="1:16" s="34" customFormat="1" ht="18" customHeight="1">
      <c r="A90" s="113"/>
      <c r="B90" s="113"/>
      <c r="D90" s="250" t="s">
        <v>74</v>
      </c>
      <c r="E90" s="251"/>
      <c r="F90" s="251"/>
      <c r="G90" s="252"/>
      <c r="M90" s="52"/>
      <c r="N90" s="6">
        <f t="shared" si="18"/>
        <v>0</v>
      </c>
      <c r="O90" s="6">
        <f t="shared" si="19"/>
        <v>0</v>
      </c>
      <c r="P90" s="32"/>
    </row>
    <row r="91" spans="1:16" s="34" customFormat="1" ht="60" customHeight="1">
      <c r="A91" s="113"/>
      <c r="B91" s="113"/>
      <c r="D91" s="270"/>
      <c r="E91" s="271"/>
      <c r="F91" s="271"/>
      <c r="G91" s="272"/>
      <c r="J91" s="157">
        <f t="shared" ref="J91:J92" si="27">IF($C91="*",IF($A91="Hide",0,$J$7),0)</f>
        <v>0</v>
      </c>
      <c r="K91" s="158">
        <f>IF(LEN(D91)=0,0,1)</f>
        <v>0</v>
      </c>
      <c r="L91" s="157">
        <f>IF(A91="Hide",0,IF($J$7=1,D91,0))</f>
        <v>0</v>
      </c>
      <c r="M91" s="52" t="str">
        <f>formData!B181</f>
        <v>ACCOMPANYING_CHILD1_ADD_QUESTIONS_GIVE_DETAILS_1</v>
      </c>
      <c r="N91" s="6">
        <f t="shared" si="18"/>
        <v>0</v>
      </c>
      <c r="O91" s="6">
        <f t="shared" si="19"/>
        <v>0</v>
      </c>
      <c r="P91" s="32"/>
    </row>
    <row r="92" spans="1:16" s="34" customFormat="1" ht="20.100000000000001" customHeight="1">
      <c r="A92" s="113"/>
      <c r="B92" s="113">
        <v>1</v>
      </c>
      <c r="C92" s="74" t="s">
        <v>1912</v>
      </c>
      <c r="D92" s="250" t="s">
        <v>75</v>
      </c>
      <c r="E92" s="251"/>
      <c r="F92" s="251"/>
      <c r="G92" s="252"/>
      <c r="J92" s="6">
        <f t="shared" si="27"/>
        <v>0</v>
      </c>
      <c r="K92" s="129">
        <f>IF(B92=1,0,1)</f>
        <v>0</v>
      </c>
      <c r="L92" s="127">
        <f>IF(A92="Hide",1,IF($J$7=1,B92,1))</f>
        <v>1</v>
      </c>
      <c r="M92" s="52" t="str">
        <f>formData!B182</f>
        <v>ACCOMPANYING_CHILD1_ADD_QUESTIONS_LEGAL_CUSTODY</v>
      </c>
      <c r="N92" s="6">
        <f t="shared" si="18"/>
        <v>0</v>
      </c>
      <c r="O92" s="6">
        <f t="shared" si="19"/>
        <v>0</v>
      </c>
      <c r="P92" s="32"/>
    </row>
    <row r="93" spans="1:16" s="34" customFormat="1" ht="18" customHeight="1">
      <c r="A93" s="113"/>
      <c r="B93" s="113"/>
      <c r="D93" s="250" t="s">
        <v>76</v>
      </c>
      <c r="E93" s="251"/>
      <c r="F93" s="251"/>
      <c r="G93" s="252"/>
      <c r="M93" s="52"/>
      <c r="N93" s="6">
        <f t="shared" si="18"/>
        <v>0</v>
      </c>
      <c r="O93" s="6">
        <f t="shared" si="19"/>
        <v>0</v>
      </c>
      <c r="P93" s="32"/>
    </row>
    <row r="94" spans="1:16" s="34" customFormat="1" ht="60" customHeight="1">
      <c r="A94" s="113"/>
      <c r="B94" s="113"/>
      <c r="D94" s="270"/>
      <c r="E94" s="271"/>
      <c r="F94" s="271"/>
      <c r="G94" s="272"/>
      <c r="J94" s="157">
        <f t="shared" ref="J94:J95" si="28">IF($C94="*",IF($A94="Hide",0,$J$7),0)</f>
        <v>0</v>
      </c>
      <c r="K94" s="158">
        <f>IF(LEN(D94)=0,0,1)</f>
        <v>0</v>
      </c>
      <c r="L94" s="157">
        <f>IF(A94="Hide",0,IF($J$7=1,D94,0))</f>
        <v>0</v>
      </c>
      <c r="M94" s="52" t="str">
        <f>formData!B183</f>
        <v>ACCOMPANYING_CHILD1_ADD_QUESTIONS_GIVE_DETAILS_2</v>
      </c>
      <c r="N94" s="6">
        <f t="shared" si="18"/>
        <v>0</v>
      </c>
      <c r="O94" s="6">
        <f t="shared" si="19"/>
        <v>0</v>
      </c>
      <c r="P94" s="32"/>
    </row>
    <row r="95" spans="1:16" s="34" customFormat="1" ht="20.100000000000001" customHeight="1">
      <c r="A95" s="113"/>
      <c r="B95" s="113">
        <v>1</v>
      </c>
      <c r="C95" s="74" t="s">
        <v>1912</v>
      </c>
      <c r="D95" s="250" t="s">
        <v>77</v>
      </c>
      <c r="E95" s="251"/>
      <c r="F95" s="251"/>
      <c r="G95" s="252"/>
      <c r="J95" s="6">
        <f t="shared" si="28"/>
        <v>0</v>
      </c>
      <c r="K95" s="129">
        <f>IF(B95=1,0,1)</f>
        <v>0</v>
      </c>
      <c r="L95" s="127">
        <f>IF(A95="Hide",1,IF($J$7=1,B95,1))</f>
        <v>1</v>
      </c>
      <c r="M95" s="52" t="str">
        <f>formData!B184</f>
        <v>ACCOMPANYING_CHILD1_ADD_QUESTIONS_OTHER_CUSTODY</v>
      </c>
      <c r="N95" s="6">
        <f t="shared" si="18"/>
        <v>0</v>
      </c>
      <c r="O95" s="6">
        <f t="shared" si="19"/>
        <v>0</v>
      </c>
      <c r="P95" s="32"/>
    </row>
    <row r="96" spans="1:16" s="34" customFormat="1" ht="18" customHeight="1">
      <c r="A96" s="113"/>
      <c r="B96" s="113"/>
      <c r="D96" s="289" t="s">
        <v>74</v>
      </c>
      <c r="E96" s="251"/>
      <c r="F96" s="251"/>
      <c r="G96" s="252"/>
      <c r="M96" s="52"/>
      <c r="N96" s="6">
        <f t="shared" si="18"/>
        <v>0</v>
      </c>
      <c r="O96" s="6">
        <f t="shared" si="19"/>
        <v>0</v>
      </c>
      <c r="P96" s="32"/>
    </row>
    <row r="97" spans="1:16" s="34" customFormat="1" ht="60" customHeight="1">
      <c r="A97" s="113"/>
      <c r="B97" s="113"/>
      <c r="D97" s="270"/>
      <c r="E97" s="271"/>
      <c r="F97" s="271"/>
      <c r="G97" s="272"/>
      <c r="J97" s="157">
        <f t="shared" ref="J97:J98" si="29">IF($C97="*",IF($A97="Hide",0,$J$7),0)</f>
        <v>0</v>
      </c>
      <c r="K97" s="158">
        <f>IF(LEN(D97)=0,0,1)</f>
        <v>0</v>
      </c>
      <c r="L97" s="157">
        <f>IF(A97="Hide",0,IF($J$7=1,D97,0))</f>
        <v>0</v>
      </c>
      <c r="M97" s="52" t="str">
        <f>formData!B185</f>
        <v>ACCOMPANYING_CHILD1_ADD_QUESTIONS_GIVE_DETAILS_3</v>
      </c>
      <c r="N97" s="6">
        <f t="shared" si="18"/>
        <v>0</v>
      </c>
      <c r="O97" s="6">
        <f t="shared" si="19"/>
        <v>0</v>
      </c>
      <c r="P97" s="32"/>
    </row>
    <row r="98" spans="1:16" s="34" customFormat="1" ht="20.100000000000001" customHeight="1">
      <c r="A98" s="113"/>
      <c r="B98" s="113">
        <v>1</v>
      </c>
      <c r="C98" s="74" t="s">
        <v>1912</v>
      </c>
      <c r="D98" s="250" t="s">
        <v>78</v>
      </c>
      <c r="E98" s="251"/>
      <c r="F98" s="251"/>
      <c r="G98" s="252"/>
      <c r="J98" s="6">
        <f t="shared" si="29"/>
        <v>0</v>
      </c>
      <c r="K98" s="129">
        <f>IF(B98=1,0,1)</f>
        <v>0</v>
      </c>
      <c r="L98" s="127">
        <f>IF(A98="Hide",1,IF($J$7=1,B98,1))</f>
        <v>1</v>
      </c>
      <c r="M98" s="52" t="str">
        <f>formData!B186</f>
        <v>ACCOMPANYING_CHILD1_ADD_QUESTIONS_LEGAL_IMPEDIMENTS</v>
      </c>
      <c r="N98" s="6">
        <f t="shared" si="18"/>
        <v>0</v>
      </c>
      <c r="O98" s="6">
        <f t="shared" si="19"/>
        <v>0</v>
      </c>
      <c r="P98" s="32"/>
    </row>
    <row r="99" spans="1:16" s="34" customFormat="1" ht="18" customHeight="1">
      <c r="A99" s="113"/>
      <c r="B99" s="113"/>
      <c r="D99" s="289" t="s">
        <v>79</v>
      </c>
      <c r="E99" s="251"/>
      <c r="F99" s="251"/>
      <c r="G99" s="252"/>
      <c r="M99" s="52"/>
      <c r="N99" s="6">
        <f t="shared" si="18"/>
        <v>0</v>
      </c>
      <c r="O99" s="6">
        <f t="shared" si="19"/>
        <v>0</v>
      </c>
      <c r="P99" s="32"/>
    </row>
    <row r="100" spans="1:16" ht="60" customHeight="1">
      <c r="A100" s="106"/>
      <c r="B100" s="106"/>
      <c r="D100" s="270"/>
      <c r="E100" s="271"/>
      <c r="F100" s="271"/>
      <c r="G100" s="272"/>
      <c r="J100" s="157">
        <f t="shared" ref="J100" si="30">IF($C100="*",IF($A100="Hide",0,$J$7),0)</f>
        <v>0</v>
      </c>
      <c r="K100" s="158">
        <f>IF(LEN(D100)=0,0,1)</f>
        <v>0</v>
      </c>
      <c r="L100" s="157">
        <f>IF(A100="Hide",0,IF($J$7=1,D100,0))</f>
        <v>0</v>
      </c>
      <c r="M100" s="52" t="str">
        <f>formData!B187</f>
        <v>ACCOMPANYING_CHILD1_ADD_QUESTIONS_GIVE_DETAILS_4</v>
      </c>
      <c r="N100" s="6">
        <f t="shared" si="18"/>
        <v>0</v>
      </c>
      <c r="O100" s="6">
        <f t="shared" si="19"/>
        <v>0</v>
      </c>
    </row>
    <row r="101" spans="1:16" ht="18" customHeight="1">
      <c r="B101" s="106"/>
      <c r="M101" s="52"/>
    </row>
    <row r="102" spans="1:16" ht="18" customHeight="1">
      <c r="M102" s="52"/>
    </row>
    <row r="103" spans="1:16" ht="18" customHeight="1">
      <c r="M103" s="52"/>
    </row>
    <row r="104" spans="1:16" ht="18" customHeight="1">
      <c r="M104" s="52"/>
    </row>
    <row r="105" spans="1:16" ht="18" customHeight="1">
      <c r="M105" s="52"/>
    </row>
    <row r="106" spans="1:16" ht="18" customHeight="1">
      <c r="M106" s="52"/>
    </row>
    <row r="107" spans="1:16" ht="18" customHeight="1">
      <c r="M107" s="52"/>
    </row>
    <row r="108" spans="1:16" ht="18" customHeight="1">
      <c r="M108" s="52"/>
    </row>
    <row r="109" spans="1:16" ht="18" customHeight="1">
      <c r="M109" s="52"/>
    </row>
    <row r="110" spans="1:16" ht="18" customHeight="1">
      <c r="M110" s="52"/>
    </row>
    <row r="111" spans="1:16" ht="18" customHeight="1">
      <c r="M111" s="52"/>
    </row>
    <row r="112" spans="1:16" ht="18" customHeight="1">
      <c r="M112" s="52"/>
    </row>
    <row r="113" spans="13:13" ht="18" customHeight="1">
      <c r="M113" s="52"/>
    </row>
    <row r="114" spans="13:13" ht="18" customHeight="1">
      <c r="M114" s="52"/>
    </row>
    <row r="115" spans="13:13" ht="18" customHeight="1">
      <c r="M115" s="52"/>
    </row>
    <row r="116" spans="13:13">
      <c r="M116" s="52"/>
    </row>
    <row r="117" spans="13:13">
      <c r="M117" s="52"/>
    </row>
    <row r="118" spans="13:13">
      <c r="M118" s="52"/>
    </row>
    <row r="119" spans="13:13">
      <c r="M119" s="52"/>
    </row>
    <row r="120" spans="13:13">
      <c r="M120" s="52"/>
    </row>
    <row r="121" spans="13:13">
      <c r="M121" s="52"/>
    </row>
    <row r="122" spans="13:13">
      <c r="M122" s="52"/>
    </row>
    <row r="123" spans="13:13">
      <c r="M123" s="52"/>
    </row>
    <row r="124" spans="13:13">
      <c r="M124" s="52"/>
    </row>
    <row r="125" spans="13:13">
      <c r="M125" s="52"/>
    </row>
    <row r="126" spans="13:13">
      <c r="M126" s="52"/>
    </row>
    <row r="127" spans="13:13">
      <c r="M127" s="52"/>
    </row>
    <row r="128" spans="13:13">
      <c r="M128" s="52"/>
    </row>
    <row r="129" spans="13:13">
      <c r="M129" s="52"/>
    </row>
    <row r="130" spans="13:13">
      <c r="M130" s="52"/>
    </row>
    <row r="131" spans="13:13">
      <c r="M131" s="52"/>
    </row>
    <row r="132" spans="13:13">
      <c r="M132" s="52"/>
    </row>
    <row r="133" spans="13:13">
      <c r="M133" s="52"/>
    </row>
    <row r="134" spans="13:13">
      <c r="M134" s="52"/>
    </row>
  </sheetData>
  <sheetProtection algorithmName="SHA-512" hashValue="EJprInGoE0hJK4/C8XHKuCULQiAWmBnYkpB6wjPwz0E6YPt7bXW6ZvhuGeiaaop+PcnH6xHVTWzNx/C5+PVw0w==" saltValue="TuUX3j7qhOlCXFGDdhCW0w==" spinCount="100000" sheet="1" objects="1" scenarios="1"/>
  <mergeCells count="84">
    <mergeCell ref="E21:G21"/>
    <mergeCell ref="E22:G22"/>
    <mergeCell ref="D2:G2"/>
    <mergeCell ref="D4:G4"/>
    <mergeCell ref="E17:G17"/>
    <mergeCell ref="E18:G18"/>
    <mergeCell ref="E20:G20"/>
    <mergeCell ref="D14:G14"/>
    <mergeCell ref="E9:G9"/>
    <mergeCell ref="E10:G10"/>
    <mergeCell ref="E6:G6"/>
    <mergeCell ref="E15:G15"/>
    <mergeCell ref="D8:G8"/>
    <mergeCell ref="D11:G11"/>
    <mergeCell ref="D12:G12"/>
    <mergeCell ref="D57:G57"/>
    <mergeCell ref="E23:G23"/>
    <mergeCell ref="D33:G33"/>
    <mergeCell ref="E34:G34"/>
    <mergeCell ref="D29:G29"/>
    <mergeCell ref="E30:G30"/>
    <mergeCell ref="E31:G31"/>
    <mergeCell ref="E47:G47"/>
    <mergeCell ref="D52:G52"/>
    <mergeCell ref="E24:G24"/>
    <mergeCell ref="E25:G25"/>
    <mergeCell ref="E27:G27"/>
    <mergeCell ref="D49:G49"/>
    <mergeCell ref="E50:G50"/>
    <mergeCell ref="D44:G44"/>
    <mergeCell ref="E45:G45"/>
    <mergeCell ref="D97:G97"/>
    <mergeCell ref="D100:G100"/>
    <mergeCell ref="D88:G88"/>
    <mergeCell ref="D89:G89"/>
    <mergeCell ref="D92:G92"/>
    <mergeCell ref="D95:G95"/>
    <mergeCell ref="D98:G98"/>
    <mergeCell ref="D93:G93"/>
    <mergeCell ref="D96:G96"/>
    <mergeCell ref="D99:G99"/>
    <mergeCell ref="D91:G91"/>
    <mergeCell ref="D94:G94"/>
    <mergeCell ref="E70:G70"/>
    <mergeCell ref="E71:G71"/>
    <mergeCell ref="E56:G56"/>
    <mergeCell ref="E53:G53"/>
    <mergeCell ref="E54:G54"/>
    <mergeCell ref="D65:G65"/>
    <mergeCell ref="E66:G66"/>
    <mergeCell ref="E67:G67"/>
    <mergeCell ref="D60:G60"/>
    <mergeCell ref="E61:G61"/>
    <mergeCell ref="E62:G62"/>
    <mergeCell ref="E63:G63"/>
    <mergeCell ref="E68:G68"/>
    <mergeCell ref="E69:G69"/>
    <mergeCell ref="D58:G58"/>
    <mergeCell ref="E55:G55"/>
    <mergeCell ref="E72:G72"/>
    <mergeCell ref="E73:G73"/>
    <mergeCell ref="E74:G74"/>
    <mergeCell ref="E75:G75"/>
    <mergeCell ref="E76:G76"/>
    <mergeCell ref="D87:G87"/>
    <mergeCell ref="E77:G77"/>
    <mergeCell ref="D79:G79"/>
    <mergeCell ref="E80:G80"/>
    <mergeCell ref="D90:G90"/>
    <mergeCell ref="E83:G83"/>
    <mergeCell ref="E84:G84"/>
    <mergeCell ref="E85:G85"/>
    <mergeCell ref="E82:G82"/>
    <mergeCell ref="E81:G81"/>
    <mergeCell ref="E46:G46"/>
    <mergeCell ref="E39:G39"/>
    <mergeCell ref="E35:G35"/>
    <mergeCell ref="E36:G36"/>
    <mergeCell ref="E38:G38"/>
    <mergeCell ref="E26:G26"/>
    <mergeCell ref="E40:G40"/>
    <mergeCell ref="D41:G41"/>
    <mergeCell ref="D42:G42"/>
    <mergeCell ref="E37:G37"/>
  </mergeCells>
  <dataValidations count="4">
    <dataValidation type="date" allowBlank="1" showInputMessage="1" showErrorMessage="1" errorTitle="Date of birth" error="Please enter a valid date" sqref="E20:G20 E71:G71" xr:uid="{00000000-0002-0000-0900-000000000000}">
      <formula1>1</formula1>
      <formula2>54789</formula2>
    </dataValidation>
    <dataValidation type="date" allowBlank="1" showInputMessage="1" showErrorMessage="1" errorTitle="Date of issue" error="Please enter a valid date" sqref="E24:G24 E39:G39 E75:G75" xr:uid="{00000000-0002-0000-0900-000001000000}">
      <formula1>1</formula1>
      <formula2>54789</formula2>
    </dataValidation>
    <dataValidation type="date" allowBlank="1" showInputMessage="1" showErrorMessage="1" errorTitle="Date of expiry" error="Please enter a valid date" sqref="E25:G26 E76:G76 E40:G40" xr:uid="{00000000-0002-0000-0900-000002000000}">
      <formula1>1</formula1>
      <formula2>54789</formula2>
    </dataValidation>
    <dataValidation type="textLength" operator="lessThanOrEqual" allowBlank="1" showInputMessage="1" showErrorMessage="1" errorTitle="Give Details" error="The maximum length of text that you can enter is 300 characters" sqref="D12:G12 D91:G91 D94:G94 D97:G97 D100:G100 D58:G58 D42:G42" xr:uid="{00000000-0002-0000-0900-000003000000}">
      <formula1>300</formula1>
    </dataValidation>
  </dataValidations>
  <hyperlinks>
    <hyperlink ref="G3" location="child_1!G3" display="SAVE" xr:uid="{00000000-0004-0000-0900-000000000000}"/>
    <hyperlink ref="D3" location="index!C1" display="INDEX" xr:uid="{00000000-0004-0000-0900-000001000000}"/>
  </hyperlinks>
  <pageMargins left="0.7" right="0.7" top="0.75" bottom="0.75" header="0.3" footer="0.3"/>
  <pageSetup paperSize="9" scale="8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Drop Down 1">
              <controlPr locked="0" defaultSize="0" autoLine="0" autoPict="0">
                <anchor moveWithCells="1">
                  <from>
                    <xdr:col>5</xdr:col>
                    <xdr:colOff>161925</xdr:colOff>
                    <xdr:row>87</xdr:row>
                    <xdr:rowOff>0</xdr:rowOff>
                  </from>
                  <to>
                    <xdr:col>7</xdr:col>
                    <xdr:colOff>0</xdr:colOff>
                    <xdr:row>88</xdr:row>
                    <xdr:rowOff>0</xdr:rowOff>
                  </to>
                </anchor>
              </controlPr>
            </control>
          </mc:Choice>
        </mc:AlternateContent>
        <mc:AlternateContent xmlns:mc="http://schemas.openxmlformats.org/markup-compatibility/2006">
          <mc:Choice Requires="x14">
            <control shapeId="9218" r:id="rId5" name="Drop Down 2">
              <controlPr locked="0" defaultSize="0" autoLine="0" autoPict="0">
                <anchor moveWithCells="1">
                  <from>
                    <xdr:col>5</xdr:col>
                    <xdr:colOff>161925</xdr:colOff>
                    <xdr:row>88</xdr:row>
                    <xdr:rowOff>0</xdr:rowOff>
                  </from>
                  <to>
                    <xdr:col>7</xdr:col>
                    <xdr:colOff>0</xdr:colOff>
                    <xdr:row>89</xdr:row>
                    <xdr:rowOff>0</xdr:rowOff>
                  </to>
                </anchor>
              </controlPr>
            </control>
          </mc:Choice>
        </mc:AlternateContent>
        <mc:AlternateContent xmlns:mc="http://schemas.openxmlformats.org/markup-compatibility/2006">
          <mc:Choice Requires="x14">
            <control shapeId="9219" r:id="rId6" name="Drop Down 3">
              <controlPr locked="0" defaultSize="0" autoLine="0" autoPict="0">
                <anchor moveWithCells="1">
                  <from>
                    <xdr:col>5</xdr:col>
                    <xdr:colOff>161925</xdr:colOff>
                    <xdr:row>91</xdr:row>
                    <xdr:rowOff>0</xdr:rowOff>
                  </from>
                  <to>
                    <xdr:col>7</xdr:col>
                    <xdr:colOff>0</xdr:colOff>
                    <xdr:row>92</xdr:row>
                    <xdr:rowOff>0</xdr:rowOff>
                  </to>
                </anchor>
              </controlPr>
            </control>
          </mc:Choice>
        </mc:AlternateContent>
        <mc:AlternateContent xmlns:mc="http://schemas.openxmlformats.org/markup-compatibility/2006">
          <mc:Choice Requires="x14">
            <control shapeId="9220" r:id="rId7" name="Drop Down 4">
              <controlPr locked="0" defaultSize="0" autoLine="0" autoPict="0">
                <anchor moveWithCells="1">
                  <from>
                    <xdr:col>5</xdr:col>
                    <xdr:colOff>161925</xdr:colOff>
                    <xdr:row>94</xdr:row>
                    <xdr:rowOff>0</xdr:rowOff>
                  </from>
                  <to>
                    <xdr:col>7</xdr:col>
                    <xdr:colOff>0</xdr:colOff>
                    <xdr:row>95</xdr:row>
                    <xdr:rowOff>0</xdr:rowOff>
                  </to>
                </anchor>
              </controlPr>
            </control>
          </mc:Choice>
        </mc:AlternateContent>
        <mc:AlternateContent xmlns:mc="http://schemas.openxmlformats.org/markup-compatibility/2006">
          <mc:Choice Requires="x14">
            <control shapeId="9221" r:id="rId8" name="Drop Down 5">
              <controlPr locked="0" defaultSize="0" autoLine="0" autoPict="0">
                <anchor moveWithCells="1">
                  <from>
                    <xdr:col>5</xdr:col>
                    <xdr:colOff>161925</xdr:colOff>
                    <xdr:row>97</xdr:row>
                    <xdr:rowOff>0</xdr:rowOff>
                  </from>
                  <to>
                    <xdr:col>7</xdr:col>
                    <xdr:colOff>0</xdr:colOff>
                    <xdr:row>98</xdr:row>
                    <xdr:rowOff>0</xdr:rowOff>
                  </to>
                </anchor>
              </controlPr>
            </control>
          </mc:Choice>
        </mc:AlternateContent>
        <mc:AlternateContent xmlns:mc="http://schemas.openxmlformats.org/markup-compatibility/2006">
          <mc:Choice Requires="x14">
            <control shapeId="9222" r:id="rId9" name="Drop Down 6">
              <controlPr locked="0" defaultSize="0" autoLine="0" autoPict="0" macro="[0]!YourChild_1.DropDownChildHasOtherPassportOrTravelDoc_Change">
                <anchor moveWithCells="1">
                  <from>
                    <xdr:col>4</xdr:col>
                    <xdr:colOff>0</xdr:colOff>
                    <xdr:row>65</xdr:row>
                    <xdr:rowOff>66675</xdr:rowOff>
                  </from>
                  <to>
                    <xdr:col>7</xdr:col>
                    <xdr:colOff>0</xdr:colOff>
                    <xdr:row>65</xdr:row>
                    <xdr:rowOff>304800</xdr:rowOff>
                  </to>
                </anchor>
              </controlPr>
            </control>
          </mc:Choice>
        </mc:AlternateContent>
        <mc:AlternateContent xmlns:mc="http://schemas.openxmlformats.org/markup-compatibility/2006">
          <mc:Choice Requires="x14">
            <control shapeId="9223" r:id="rId10" name="Drop Down 7">
              <controlPr locked="0" defaultSize="0" autoLine="0" autoPict="0" macro="[0]!DDDDDDD1">
                <anchor moveWithCells="1">
                  <from>
                    <xdr:col>4</xdr:col>
                    <xdr:colOff>0</xdr:colOff>
                    <xdr:row>60</xdr:row>
                    <xdr:rowOff>66675</xdr:rowOff>
                  </from>
                  <to>
                    <xdr:col>7</xdr:col>
                    <xdr:colOff>0</xdr:colOff>
                    <xdr:row>60</xdr:row>
                    <xdr:rowOff>314325</xdr:rowOff>
                  </to>
                </anchor>
              </controlPr>
            </control>
          </mc:Choice>
        </mc:AlternateContent>
        <mc:AlternateContent xmlns:mc="http://schemas.openxmlformats.org/markup-compatibility/2006">
          <mc:Choice Requires="x14">
            <control shapeId="9224" r:id="rId11" name="Drop Down 8">
              <controlPr locked="0" defaultSize="0" autoLine="0" autoPict="0">
                <anchor moveWithCells="1">
                  <from>
                    <xdr:col>4</xdr:col>
                    <xdr:colOff>0</xdr:colOff>
                    <xdr:row>7</xdr:row>
                    <xdr:rowOff>314325</xdr:rowOff>
                  </from>
                  <to>
                    <xdr:col>7</xdr:col>
                    <xdr:colOff>0</xdr:colOff>
                    <xdr:row>9</xdr:row>
                    <xdr:rowOff>0</xdr:rowOff>
                  </to>
                </anchor>
              </controlPr>
            </control>
          </mc:Choice>
        </mc:AlternateContent>
        <mc:AlternateContent xmlns:mc="http://schemas.openxmlformats.org/markup-compatibility/2006">
          <mc:Choice Requires="x14">
            <control shapeId="9225" r:id="rId12" name="Drop Down 9">
              <controlPr locked="0" defaultSize="0" autoLine="0" autoPict="0">
                <anchor moveWithCells="1">
                  <from>
                    <xdr:col>4</xdr:col>
                    <xdr:colOff>0</xdr:colOff>
                    <xdr:row>9</xdr:row>
                    <xdr:rowOff>0</xdr:rowOff>
                  </from>
                  <to>
                    <xdr:col>7</xdr:col>
                    <xdr:colOff>0</xdr:colOff>
                    <xdr:row>10</xdr:row>
                    <xdr:rowOff>0</xdr:rowOff>
                  </to>
                </anchor>
              </controlPr>
            </control>
          </mc:Choice>
        </mc:AlternateContent>
        <mc:AlternateContent xmlns:mc="http://schemas.openxmlformats.org/markup-compatibility/2006">
          <mc:Choice Requires="x14">
            <control shapeId="9226" r:id="rId13" name="Drop Down 10">
              <controlPr locked="0" defaultSize="0" autoLine="0" autoPict="0">
                <anchor moveWithCells="1">
                  <from>
                    <xdr:col>4</xdr:col>
                    <xdr:colOff>0</xdr:colOff>
                    <xdr:row>18</xdr:row>
                    <xdr:rowOff>0</xdr:rowOff>
                  </from>
                  <to>
                    <xdr:col>7</xdr:col>
                    <xdr:colOff>0</xdr:colOff>
                    <xdr:row>19</xdr:row>
                    <xdr:rowOff>0</xdr:rowOff>
                  </to>
                </anchor>
              </controlPr>
            </control>
          </mc:Choice>
        </mc:AlternateContent>
        <mc:AlternateContent xmlns:mc="http://schemas.openxmlformats.org/markup-compatibility/2006">
          <mc:Choice Requires="x14">
            <control shapeId="9227" r:id="rId14" name="Drop Down 11">
              <controlPr locked="0" defaultSize="0" autoLine="0" autoPict="0" macro="[0]!DropDownChildHasChinaPlaceofIssue_Change">
                <anchor moveWithCells="1">
                  <from>
                    <xdr:col>4</xdr:col>
                    <xdr:colOff>0</xdr:colOff>
                    <xdr:row>20</xdr:row>
                    <xdr:rowOff>257175</xdr:rowOff>
                  </from>
                  <to>
                    <xdr:col>7</xdr:col>
                    <xdr:colOff>0</xdr:colOff>
                    <xdr:row>28</xdr:row>
                    <xdr:rowOff>0</xdr:rowOff>
                  </to>
                </anchor>
              </controlPr>
            </control>
          </mc:Choice>
        </mc:AlternateContent>
        <mc:AlternateContent xmlns:mc="http://schemas.openxmlformats.org/markup-compatibility/2006">
          <mc:Choice Requires="x14">
            <control shapeId="9228" r:id="rId15" name="Drop Down 12">
              <controlPr locked="0" defaultSize="0" autoLine="0" autoPict="0">
                <anchor moveWithCells="1">
                  <from>
                    <xdr:col>4</xdr:col>
                    <xdr:colOff>0</xdr:colOff>
                    <xdr:row>21</xdr:row>
                    <xdr:rowOff>257175</xdr:rowOff>
                  </from>
                  <to>
                    <xdr:col>7</xdr:col>
                    <xdr:colOff>0</xdr:colOff>
                    <xdr:row>28</xdr:row>
                    <xdr:rowOff>0</xdr:rowOff>
                  </to>
                </anchor>
              </controlPr>
            </control>
          </mc:Choice>
        </mc:AlternateContent>
        <mc:AlternateContent xmlns:mc="http://schemas.openxmlformats.org/markup-compatibility/2006">
          <mc:Choice Requires="x14">
            <control shapeId="9230" r:id="rId16" name="Drop Down 14">
              <controlPr locked="0" defaultSize="0" autoLine="0" autoPict="0">
                <anchor moveWithCells="1">
                  <from>
                    <xdr:col>4</xdr:col>
                    <xdr:colOff>0</xdr:colOff>
                    <xdr:row>29</xdr:row>
                    <xdr:rowOff>66675</xdr:rowOff>
                  </from>
                  <to>
                    <xdr:col>7</xdr:col>
                    <xdr:colOff>0</xdr:colOff>
                    <xdr:row>29</xdr:row>
                    <xdr:rowOff>314325</xdr:rowOff>
                  </to>
                </anchor>
              </controlPr>
            </control>
          </mc:Choice>
        </mc:AlternateContent>
        <mc:AlternateContent xmlns:mc="http://schemas.openxmlformats.org/markup-compatibility/2006">
          <mc:Choice Requires="x14">
            <control shapeId="9232" r:id="rId17" name="Drop Down 16">
              <controlPr locked="0" defaultSize="0" autoLine="0" autoPict="0" macro="[0]!YourChild_1.DropDownChildHasNationalIdentityDoc_Change">
                <anchor moveWithCells="1">
                  <from>
                    <xdr:col>4</xdr:col>
                    <xdr:colOff>0</xdr:colOff>
                    <xdr:row>33</xdr:row>
                    <xdr:rowOff>0</xdr:rowOff>
                  </from>
                  <to>
                    <xdr:col>7</xdr:col>
                    <xdr:colOff>0</xdr:colOff>
                    <xdr:row>34</xdr:row>
                    <xdr:rowOff>0</xdr:rowOff>
                  </to>
                </anchor>
              </controlPr>
            </control>
          </mc:Choice>
        </mc:AlternateContent>
        <mc:AlternateContent xmlns:mc="http://schemas.openxmlformats.org/markup-compatibility/2006">
          <mc:Choice Requires="x14">
            <control shapeId="9233" r:id="rId18" name="Drop Down 17">
              <controlPr locked="0" defaultSize="0" autoLine="0" autoPict="0">
                <anchor moveWithCells="1">
                  <from>
                    <xdr:col>4</xdr:col>
                    <xdr:colOff>0</xdr:colOff>
                    <xdr:row>37</xdr:row>
                    <xdr:rowOff>0</xdr:rowOff>
                  </from>
                  <to>
                    <xdr:col>7</xdr:col>
                    <xdr:colOff>0</xdr:colOff>
                    <xdr:row>43</xdr:row>
                    <xdr:rowOff>0</xdr:rowOff>
                  </to>
                </anchor>
              </controlPr>
            </control>
          </mc:Choice>
        </mc:AlternateContent>
        <mc:AlternateContent xmlns:mc="http://schemas.openxmlformats.org/markup-compatibility/2006">
          <mc:Choice Requires="x14">
            <control shapeId="9234" r:id="rId19" name="Drop Down 18">
              <controlPr locked="0" defaultSize="0" autoLine="0" autoPict="0">
                <anchor moveWithCells="1">
                  <from>
                    <xdr:col>4</xdr:col>
                    <xdr:colOff>0</xdr:colOff>
                    <xdr:row>46</xdr:row>
                    <xdr:rowOff>0</xdr:rowOff>
                  </from>
                  <to>
                    <xdr:col>7</xdr:col>
                    <xdr:colOff>0</xdr:colOff>
                    <xdr:row>47</xdr:row>
                    <xdr:rowOff>0</xdr:rowOff>
                  </to>
                </anchor>
              </controlPr>
            </control>
          </mc:Choice>
        </mc:AlternateContent>
        <mc:AlternateContent xmlns:mc="http://schemas.openxmlformats.org/markup-compatibility/2006">
          <mc:Choice Requires="x14">
            <control shapeId="9235" r:id="rId20" name="Drop Down 19">
              <controlPr locked="0" defaultSize="0" autoLine="0" autoPict="0">
                <anchor moveWithCells="1">
                  <from>
                    <xdr:col>4</xdr:col>
                    <xdr:colOff>0</xdr:colOff>
                    <xdr:row>49</xdr:row>
                    <xdr:rowOff>0</xdr:rowOff>
                  </from>
                  <to>
                    <xdr:col>7</xdr:col>
                    <xdr:colOff>0</xdr:colOff>
                    <xdr:row>50</xdr:row>
                    <xdr:rowOff>0</xdr:rowOff>
                  </to>
                </anchor>
              </controlPr>
            </control>
          </mc:Choice>
        </mc:AlternateContent>
        <mc:AlternateContent xmlns:mc="http://schemas.openxmlformats.org/markup-compatibility/2006">
          <mc:Choice Requires="x14">
            <control shapeId="9236" r:id="rId21" name="Drop Down 20">
              <controlPr locked="0" defaultSize="0" autoLine="0" autoPict="0" macro="[0]!YourChild_1.DropDownChildHasOtherNamesOrSpelling_Change">
                <anchor moveWithCells="1">
                  <from>
                    <xdr:col>4</xdr:col>
                    <xdr:colOff>0</xdr:colOff>
                    <xdr:row>52</xdr:row>
                    <xdr:rowOff>66675</xdr:rowOff>
                  </from>
                  <to>
                    <xdr:col>7</xdr:col>
                    <xdr:colOff>0</xdr:colOff>
                    <xdr:row>52</xdr:row>
                    <xdr:rowOff>314325</xdr:rowOff>
                  </to>
                </anchor>
              </controlPr>
            </control>
          </mc:Choice>
        </mc:AlternateContent>
        <mc:AlternateContent xmlns:mc="http://schemas.openxmlformats.org/markup-compatibility/2006">
          <mc:Choice Requires="x14">
            <control shapeId="9237" r:id="rId22" name="Drop Down 21">
              <controlPr locked="0" defaultSize="0" autoLine="0" autoPict="0">
                <anchor moveWithCells="1">
                  <from>
                    <xdr:col>4</xdr:col>
                    <xdr:colOff>0</xdr:colOff>
                    <xdr:row>55</xdr:row>
                    <xdr:rowOff>0</xdr:rowOff>
                  </from>
                  <to>
                    <xdr:col>7</xdr:col>
                    <xdr:colOff>0</xdr:colOff>
                    <xdr:row>59</xdr:row>
                    <xdr:rowOff>0</xdr:rowOff>
                  </to>
                </anchor>
              </controlPr>
            </control>
          </mc:Choice>
        </mc:AlternateContent>
        <mc:AlternateContent xmlns:mc="http://schemas.openxmlformats.org/markup-compatibility/2006">
          <mc:Choice Requires="x14">
            <control shapeId="9238" r:id="rId23" name="Drop Down 22">
              <controlPr locked="0" defaultSize="0" autoLine="0" autoPict="0" macro="[0]!YourChild_1.DropDownChildHasOtherCountryPassport_Change">
                <anchor moveWithCells="1">
                  <from>
                    <xdr:col>4</xdr:col>
                    <xdr:colOff>0</xdr:colOff>
                    <xdr:row>61</xdr:row>
                    <xdr:rowOff>0</xdr:rowOff>
                  </from>
                  <to>
                    <xdr:col>7</xdr:col>
                    <xdr:colOff>0</xdr:colOff>
                    <xdr:row>62</xdr:row>
                    <xdr:rowOff>0</xdr:rowOff>
                  </to>
                </anchor>
              </controlPr>
            </control>
          </mc:Choice>
        </mc:AlternateContent>
        <mc:AlternateContent xmlns:mc="http://schemas.openxmlformats.org/markup-compatibility/2006">
          <mc:Choice Requires="x14">
            <control shapeId="9239" r:id="rId24" name="Drop Down 23">
              <controlPr locked="0" defaultSize="0" autoLine="0" autoPict="0">
                <anchor moveWithCells="1">
                  <from>
                    <xdr:col>4</xdr:col>
                    <xdr:colOff>0</xdr:colOff>
                    <xdr:row>62</xdr:row>
                    <xdr:rowOff>0</xdr:rowOff>
                  </from>
                  <to>
                    <xdr:col>4</xdr:col>
                    <xdr:colOff>1752600</xdr:colOff>
                    <xdr:row>64</xdr:row>
                    <xdr:rowOff>0</xdr:rowOff>
                  </to>
                </anchor>
              </controlPr>
            </control>
          </mc:Choice>
        </mc:AlternateContent>
        <mc:AlternateContent xmlns:mc="http://schemas.openxmlformats.org/markup-compatibility/2006">
          <mc:Choice Requires="x14">
            <control shapeId="9240" r:id="rId25" name="Drop Down 24">
              <controlPr locked="0" defaultSize="0" autoLine="0" autoPict="0">
                <anchor moveWithCells="1">
                  <from>
                    <xdr:col>4</xdr:col>
                    <xdr:colOff>1819275</xdr:colOff>
                    <xdr:row>62</xdr:row>
                    <xdr:rowOff>0</xdr:rowOff>
                  </from>
                  <to>
                    <xdr:col>7</xdr:col>
                    <xdr:colOff>0</xdr:colOff>
                    <xdr:row>64</xdr:row>
                    <xdr:rowOff>0</xdr:rowOff>
                  </to>
                </anchor>
              </controlPr>
            </control>
          </mc:Choice>
        </mc:AlternateContent>
        <mc:AlternateContent xmlns:mc="http://schemas.openxmlformats.org/markup-compatibility/2006">
          <mc:Choice Requires="x14">
            <control shapeId="9241" r:id="rId26" name="Drop Down 25">
              <controlPr locked="0" defaultSize="0" autoLine="0" autoPict="0">
                <anchor moveWithCells="1">
                  <from>
                    <xdr:col>4</xdr:col>
                    <xdr:colOff>0</xdr:colOff>
                    <xdr:row>66</xdr:row>
                    <xdr:rowOff>0</xdr:rowOff>
                  </from>
                  <to>
                    <xdr:col>7</xdr:col>
                    <xdr:colOff>0</xdr:colOff>
                    <xdr:row>78</xdr:row>
                    <xdr:rowOff>0</xdr:rowOff>
                  </to>
                </anchor>
              </controlPr>
            </control>
          </mc:Choice>
        </mc:AlternateContent>
        <mc:AlternateContent xmlns:mc="http://schemas.openxmlformats.org/markup-compatibility/2006">
          <mc:Choice Requires="x14">
            <control shapeId="9243" r:id="rId27" name="Drop Down 27">
              <controlPr locked="0" defaultSize="0" autoLine="0" autoPict="0">
                <anchor moveWithCells="1">
                  <from>
                    <xdr:col>4</xdr:col>
                    <xdr:colOff>0</xdr:colOff>
                    <xdr:row>69</xdr:row>
                    <xdr:rowOff>0</xdr:rowOff>
                  </from>
                  <to>
                    <xdr:col>7</xdr:col>
                    <xdr:colOff>0</xdr:colOff>
                    <xdr:row>78</xdr:row>
                    <xdr:rowOff>0</xdr:rowOff>
                  </to>
                </anchor>
              </controlPr>
            </control>
          </mc:Choice>
        </mc:AlternateContent>
        <mc:AlternateContent xmlns:mc="http://schemas.openxmlformats.org/markup-compatibility/2006">
          <mc:Choice Requires="x14">
            <control shapeId="9244" r:id="rId28" name="Drop Down 28">
              <controlPr locked="0" defaultSize="0" autoLine="0" autoPict="0">
                <anchor moveWithCells="1">
                  <from>
                    <xdr:col>4</xdr:col>
                    <xdr:colOff>0</xdr:colOff>
                    <xdr:row>71</xdr:row>
                    <xdr:rowOff>257175</xdr:rowOff>
                  </from>
                  <to>
                    <xdr:col>7</xdr:col>
                    <xdr:colOff>0</xdr:colOff>
                    <xdr:row>78</xdr:row>
                    <xdr:rowOff>0</xdr:rowOff>
                  </to>
                </anchor>
              </controlPr>
            </control>
          </mc:Choice>
        </mc:AlternateContent>
        <mc:AlternateContent xmlns:mc="http://schemas.openxmlformats.org/markup-compatibility/2006">
          <mc:Choice Requires="x14">
            <control shapeId="9245" r:id="rId29" name="Drop Down 29">
              <controlPr locked="0" defaultSize="0" autoLine="0" autoPict="0">
                <anchor moveWithCells="1">
                  <from>
                    <xdr:col>4</xdr:col>
                    <xdr:colOff>0</xdr:colOff>
                    <xdr:row>73</xdr:row>
                    <xdr:rowOff>0</xdr:rowOff>
                  </from>
                  <to>
                    <xdr:col>7</xdr:col>
                    <xdr:colOff>0</xdr:colOff>
                    <xdr:row>78</xdr:row>
                    <xdr:rowOff>0</xdr:rowOff>
                  </to>
                </anchor>
              </controlPr>
            </control>
          </mc:Choice>
        </mc:AlternateContent>
        <mc:AlternateContent xmlns:mc="http://schemas.openxmlformats.org/markup-compatibility/2006">
          <mc:Choice Requires="x14">
            <control shapeId="9247" r:id="rId30" name="Drop Down 31">
              <controlPr locked="0" defaultSize="0" autoLine="0" autoPict="0" macro="[0]!YourChild_1.DropDownChildHasOtherIdentityDoc_Change">
                <anchor moveWithCells="1">
                  <from>
                    <xdr:col>4</xdr:col>
                    <xdr:colOff>0</xdr:colOff>
                    <xdr:row>79</xdr:row>
                    <xdr:rowOff>0</xdr:rowOff>
                  </from>
                  <to>
                    <xdr:col>7</xdr:col>
                    <xdr:colOff>0</xdr:colOff>
                    <xdr:row>80</xdr:row>
                    <xdr:rowOff>0</xdr:rowOff>
                  </to>
                </anchor>
              </controlPr>
            </control>
          </mc:Choice>
        </mc:AlternateContent>
        <mc:AlternateContent xmlns:mc="http://schemas.openxmlformats.org/markup-compatibility/2006">
          <mc:Choice Requires="x14">
            <control shapeId="9248" r:id="rId31" name="Drop Down 32">
              <controlPr locked="0" defaultSize="0" autoLine="0" autoPict="0">
                <anchor moveWithCells="1">
                  <from>
                    <xdr:col>4</xdr:col>
                    <xdr:colOff>0</xdr:colOff>
                    <xdr:row>81</xdr:row>
                    <xdr:rowOff>257175</xdr:rowOff>
                  </from>
                  <to>
                    <xdr:col>7</xdr:col>
                    <xdr:colOff>0</xdr:colOff>
                    <xdr:row>86</xdr:row>
                    <xdr:rowOff>0</xdr:rowOff>
                  </to>
                </anchor>
              </controlPr>
            </control>
          </mc:Choice>
        </mc:AlternateContent>
        <mc:AlternateContent xmlns:mc="http://schemas.openxmlformats.org/markup-compatibility/2006">
          <mc:Choice Requires="x14">
            <control shapeId="9249" r:id="rId32" name="Drop Down 33">
              <controlPr locked="0" defaultSize="0" autoLine="0" autoPict="0">
                <anchor moveWithCells="1">
                  <from>
                    <xdr:col>4</xdr:col>
                    <xdr:colOff>0</xdr:colOff>
                    <xdr:row>83</xdr:row>
                    <xdr:rowOff>257175</xdr:rowOff>
                  </from>
                  <to>
                    <xdr:col>7</xdr:col>
                    <xdr:colOff>0</xdr:colOff>
                    <xdr:row>86</xdr:row>
                    <xdr:rowOff>0</xdr:rowOff>
                  </to>
                </anchor>
              </controlPr>
            </control>
          </mc:Choice>
        </mc:AlternateContent>
        <mc:AlternateContent xmlns:mc="http://schemas.openxmlformats.org/markup-compatibility/2006">
          <mc:Choice Requires="x14">
            <control shapeId="9251" r:id="rId33" name="Drop Down 35">
              <controlPr locked="0" defaultSize="0" autoLine="0" autoPict="0">
                <anchor moveWithCells="1">
                  <from>
                    <xdr:col>4</xdr:col>
                    <xdr:colOff>0</xdr:colOff>
                    <xdr:row>5</xdr:row>
                    <xdr:rowOff>0</xdr:rowOff>
                  </from>
                  <to>
                    <xdr:col>7</xdr:col>
                    <xdr:colOff>0</xdr:colOff>
                    <xdr:row>6</xdr:row>
                    <xdr:rowOff>0</xdr:rowOff>
                  </to>
                </anchor>
              </controlPr>
            </control>
          </mc:Choice>
        </mc:AlternateContent>
        <mc:AlternateContent xmlns:mc="http://schemas.openxmlformats.org/markup-compatibility/2006">
          <mc:Choice Requires="x14">
            <control shapeId="9253" r:id="rId34" name="Drop Down 37">
              <controlPr locked="0" defaultSize="0" autoLine="0" autoPict="0">
                <anchor moveWithCells="1">
                  <from>
                    <xdr:col>4</xdr:col>
                    <xdr:colOff>9525</xdr:colOff>
                    <xdr:row>37</xdr:row>
                    <xdr:rowOff>0</xdr:rowOff>
                  </from>
                  <to>
                    <xdr:col>7</xdr:col>
                    <xdr:colOff>9525</xdr:colOff>
                    <xdr:row>43</xdr:row>
                    <xdr:rowOff>0</xdr:rowOff>
                  </to>
                </anchor>
              </controlPr>
            </control>
          </mc:Choice>
        </mc:AlternateContent>
        <mc:AlternateContent xmlns:mc="http://schemas.openxmlformats.org/markup-compatibility/2006">
          <mc:Choice Requires="x14">
            <control shapeId="9256" r:id="rId35" name="Drop Down 40">
              <controlPr locked="0" defaultSize="0" autoLine="0" autoPict="0" macro="[0]!DropDownChildHasCurrentPassport_Change">
                <anchor moveWithCells="1">
                  <from>
                    <xdr:col>4</xdr:col>
                    <xdr:colOff>0</xdr:colOff>
                    <xdr:row>14</xdr:row>
                    <xdr:rowOff>0</xdr:rowOff>
                  </from>
                  <to>
                    <xdr:col>7</xdr:col>
                    <xdr:colOff>0</xdr:colOff>
                    <xdr:row>15</xdr:row>
                    <xdr:rowOff>0</xdr:rowOff>
                  </to>
                </anchor>
              </controlPr>
            </control>
          </mc:Choice>
        </mc:AlternateContent>
        <mc:AlternateContent xmlns:mc="http://schemas.openxmlformats.org/markup-compatibility/2006">
          <mc:Choice Requires="x14">
            <control shapeId="9257" r:id="rId36" name="Drop Down 41">
              <controlPr locked="0" defaultSize="0" autoLine="0" autoPict="0" macro="[0]!DropDownChildHasCurrentPassport_Change">
                <anchor moveWithCells="1">
                  <from>
                    <xdr:col>4</xdr:col>
                    <xdr:colOff>0</xdr:colOff>
                    <xdr:row>15</xdr:row>
                    <xdr:rowOff>0</xdr:rowOff>
                  </from>
                  <to>
                    <xdr:col>7</xdr:col>
                    <xdr:colOff>0</xdr:colOff>
                    <xdr:row>17</xdr:row>
                    <xdr:rowOff>0</xdr:rowOff>
                  </to>
                </anchor>
              </controlPr>
            </control>
          </mc:Choice>
        </mc:AlternateContent>
        <mc:AlternateContent xmlns:mc="http://schemas.openxmlformats.org/markup-compatibility/2006">
          <mc:Choice Requires="x14">
            <control shapeId="9259" r:id="rId37" name="Drop Down 43">
              <controlPr locked="0" defaultSize="0" autoLine="0" autoPict="0">
                <anchor moveWithCells="1">
                  <from>
                    <xdr:col>4</xdr:col>
                    <xdr:colOff>9525</xdr:colOff>
                    <xdr:row>25</xdr:row>
                    <xdr:rowOff>0</xdr:rowOff>
                  </from>
                  <to>
                    <xdr:col>7</xdr:col>
                    <xdr:colOff>9525</xdr:colOff>
                    <xdr:row>28</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1">
    <tabColor theme="8" tint="0.59999389629810485"/>
    <pageSetUpPr fitToPage="1"/>
  </sheetPr>
  <dimension ref="A1:P134"/>
  <sheetViews>
    <sheetView showGridLines="0" showRowColHeaders="0" topLeftCell="C1" workbookViewId="0">
      <selection activeCell="D3" sqref="D3"/>
    </sheetView>
  </sheetViews>
  <sheetFormatPr defaultColWidth="9.33203125" defaultRowHeight="12.75"/>
  <cols>
    <col min="1" max="1" width="10.1640625" style="32" hidden="1" customWidth="1"/>
    <col min="2" max="2" width="11.83203125" style="32" hidden="1" customWidth="1"/>
    <col min="3" max="3" width="3.83203125" style="32" customWidth="1"/>
    <col min="4" max="4" width="50.83203125" style="32" customWidth="1"/>
    <col min="5" max="5" width="40.83203125" style="32" customWidth="1"/>
    <col min="6" max="7" width="10.83203125" style="32" customWidth="1"/>
    <col min="8" max="8" width="3.83203125" style="32" customWidth="1"/>
    <col min="9" max="9" width="9.33203125" style="32" customWidth="1"/>
    <col min="10" max="12" width="9.33203125" style="32" hidden="1" customWidth="1"/>
    <col min="13" max="13" width="71.33203125" style="32" hidden="1" customWidth="1"/>
    <col min="14" max="15" width="9.33203125" style="32" hidden="1" customWidth="1"/>
    <col min="16" max="16" width="9.33203125" style="32" customWidth="1"/>
    <col min="17" max="16384" width="9.33203125" style="32"/>
  </cols>
  <sheetData>
    <row r="1" spans="1:15" ht="39.950000000000003" customHeight="1">
      <c r="B1" s="106"/>
      <c r="G1" s="86"/>
      <c r="J1" s="4" t="s">
        <v>1960</v>
      </c>
      <c r="K1" s="4" t="s">
        <v>1960</v>
      </c>
      <c r="L1" s="4" t="s">
        <v>1960</v>
      </c>
      <c r="M1" s="4" t="s">
        <v>1960</v>
      </c>
      <c r="N1" s="4" t="s">
        <v>1960</v>
      </c>
      <c r="O1" s="4" t="s">
        <v>1960</v>
      </c>
    </row>
    <row r="2" spans="1:15" s="78" customFormat="1" ht="39.950000000000003" customHeight="1">
      <c r="B2" s="159"/>
      <c r="D2" s="212" t="s">
        <v>8</v>
      </c>
      <c r="E2" s="212"/>
      <c r="F2" s="212"/>
      <c r="G2" s="212"/>
      <c r="J2" s="79" t="s">
        <v>1965</v>
      </c>
      <c r="K2" s="79"/>
      <c r="L2" s="79"/>
      <c r="M2" s="79"/>
      <c r="N2" s="79"/>
      <c r="O2" s="79"/>
    </row>
    <row r="3" spans="1:15" ht="30" customHeight="1">
      <c r="B3" s="106"/>
      <c r="D3" s="120" t="s">
        <v>40</v>
      </c>
      <c r="F3" s="88"/>
      <c r="G3" s="88" t="s">
        <v>1224</v>
      </c>
      <c r="J3" s="4" t="s">
        <v>1961</v>
      </c>
      <c r="K3" s="4" t="s">
        <v>1962</v>
      </c>
      <c r="L3" s="4" t="s">
        <v>1963</v>
      </c>
      <c r="M3" s="4" t="s">
        <v>1964</v>
      </c>
      <c r="N3" s="4"/>
      <c r="O3" s="4"/>
    </row>
    <row r="4" spans="1:15" ht="30" customHeight="1">
      <c r="B4" s="106"/>
      <c r="C4" s="70"/>
      <c r="D4" s="184" t="s">
        <v>1913</v>
      </c>
      <c r="E4" s="184"/>
      <c r="F4" s="184"/>
      <c r="G4" s="184"/>
      <c r="H4" s="70"/>
      <c r="J4" s="4"/>
      <c r="K4" s="125">
        <f>IF(N4=O4,1,0)</f>
        <v>1</v>
      </c>
      <c r="L4" s="4"/>
      <c r="M4" s="4"/>
      <c r="N4" s="4">
        <f>SUM(N6:N100)</f>
        <v>0</v>
      </c>
      <c r="O4" s="4">
        <f>SUM(O6:O100)</f>
        <v>0</v>
      </c>
    </row>
    <row r="5" spans="1:15" ht="20.100000000000001" customHeight="1">
      <c r="B5" s="106"/>
      <c r="D5" s="5"/>
      <c r="E5" s="5"/>
      <c r="J5" s="4"/>
      <c r="K5" s="4"/>
      <c r="L5" s="4"/>
      <c r="M5" s="4"/>
      <c r="N5" s="4"/>
      <c r="O5" s="4"/>
    </row>
    <row r="6" spans="1:15" s="1" customFormat="1" ht="20.100000000000001" customHeight="1">
      <c r="A6" s="112"/>
      <c r="B6" s="112">
        <v>1</v>
      </c>
      <c r="C6" s="74" t="s">
        <v>1912</v>
      </c>
      <c r="D6" s="61" t="s">
        <v>88</v>
      </c>
      <c r="E6" s="293"/>
      <c r="F6" s="294"/>
      <c r="G6" s="295"/>
      <c r="J6" s="6">
        <f>IF(applicantDetails!$B$20&gt;2,child_1!$J$6,0)</f>
        <v>0</v>
      </c>
      <c r="K6" s="129">
        <f>IF(B6=1,0,1)</f>
        <v>0</v>
      </c>
      <c r="L6" s="127">
        <f>IF(J6,B6,1)</f>
        <v>1</v>
      </c>
      <c r="M6" s="52" t="str">
        <f>formData!B189</f>
        <v>ACCOMPANYING_CHILD2_RELATIONSHIP_TO_PRIMARY_APPLICANT</v>
      </c>
      <c r="N6" s="6">
        <f>IF(J6=1,1,0)</f>
        <v>0</v>
      </c>
      <c r="O6" s="6">
        <f>+J6*K6</f>
        <v>0</v>
      </c>
    </row>
    <row r="7" spans="1:15" ht="20.100000000000001" customHeight="1">
      <c r="A7" s="106"/>
      <c r="B7" s="106"/>
      <c r="D7" s="5"/>
      <c r="E7" s="5"/>
      <c r="J7" s="32">
        <f>J6</f>
        <v>0</v>
      </c>
      <c r="M7" s="52"/>
      <c r="N7" s="6"/>
      <c r="O7" s="6"/>
    </row>
    <row r="8" spans="1:15" ht="24.95" customHeight="1">
      <c r="A8" s="106"/>
      <c r="B8" s="106"/>
      <c r="C8" s="74" t="s">
        <v>1912</v>
      </c>
      <c r="D8" s="256" t="s">
        <v>44</v>
      </c>
      <c r="E8" s="284"/>
      <c r="F8" s="284"/>
      <c r="G8" s="285"/>
      <c r="J8" s="6"/>
      <c r="K8" s="6"/>
      <c r="L8" s="6"/>
      <c r="M8" s="52"/>
      <c r="N8" s="6">
        <f t="shared" ref="N8:N24" si="0">IF(J8=1,1,0)</f>
        <v>0</v>
      </c>
      <c r="O8" s="6">
        <f t="shared" ref="O8:O24" si="1">+J8*K8</f>
        <v>0</v>
      </c>
    </row>
    <row r="9" spans="1:15" s="34" customFormat="1" ht="20.100000000000001" customHeight="1">
      <c r="A9" s="113"/>
      <c r="B9" s="113">
        <v>1</v>
      </c>
      <c r="C9" s="74" t="s">
        <v>1912</v>
      </c>
      <c r="D9" s="7" t="s">
        <v>57</v>
      </c>
      <c r="E9" s="240"/>
      <c r="F9" s="241"/>
      <c r="G9" s="242"/>
      <c r="J9" s="6">
        <f t="shared" ref="J9:J10" si="2">IF($C9="*",IF($A9="Hide",0,$J$7),0)</f>
        <v>0</v>
      </c>
      <c r="K9" s="129">
        <f>IF(B9=1,0,1)</f>
        <v>0</v>
      </c>
      <c r="L9" s="127">
        <f>IF(A9="Hide",1,IF($J$7=1,B9,1))</f>
        <v>1</v>
      </c>
      <c r="M9" s="52" t="str">
        <f>formData!B190</f>
        <v>ACCOMPANYING_CHILD2_CURRENT_LOCATION_COUNTRY</v>
      </c>
      <c r="N9" s="6">
        <f t="shared" si="0"/>
        <v>0</v>
      </c>
      <c r="O9" s="6">
        <f t="shared" si="1"/>
        <v>0</v>
      </c>
    </row>
    <row r="10" spans="1:15" s="34" customFormat="1" ht="20.100000000000001" customHeight="1">
      <c r="A10" s="113"/>
      <c r="B10" s="113">
        <v>1</v>
      </c>
      <c r="C10" s="74" t="s">
        <v>1912</v>
      </c>
      <c r="D10" s="7" t="s">
        <v>58</v>
      </c>
      <c r="E10" s="240"/>
      <c r="F10" s="241"/>
      <c r="G10" s="242"/>
      <c r="J10" s="6">
        <f t="shared" si="2"/>
        <v>0</v>
      </c>
      <c r="K10" s="129">
        <f>IF(B10=1,0,1)</f>
        <v>0</v>
      </c>
      <c r="L10" s="127">
        <f>IF(A10="Hide",1,IF($J$7=1,B10,1))</f>
        <v>1</v>
      </c>
      <c r="M10" s="52" t="str">
        <f>formData!B191</f>
        <v>ACCOMPANYING_CHILD2_CURRENT_LOCATION_LEGAL_STATUS</v>
      </c>
      <c r="N10" s="6">
        <f t="shared" si="0"/>
        <v>0</v>
      </c>
      <c r="O10" s="6">
        <f t="shared" si="1"/>
        <v>0</v>
      </c>
    </row>
    <row r="11" spans="1:15" s="34" customFormat="1" ht="20.100000000000001" customHeight="1">
      <c r="A11" s="113"/>
      <c r="B11" s="113"/>
      <c r="D11" s="296" t="s">
        <v>66</v>
      </c>
      <c r="E11" s="297"/>
      <c r="F11" s="297"/>
      <c r="G11" s="298"/>
      <c r="J11" s="6"/>
      <c r="K11" s="6"/>
      <c r="L11" s="6"/>
      <c r="M11" s="52"/>
      <c r="N11" s="6">
        <f t="shared" si="0"/>
        <v>0</v>
      </c>
      <c r="O11" s="6">
        <f t="shared" si="1"/>
        <v>0</v>
      </c>
    </row>
    <row r="12" spans="1:15" s="34" customFormat="1" ht="60" customHeight="1">
      <c r="A12" s="113"/>
      <c r="B12" s="113"/>
      <c r="D12" s="270"/>
      <c r="E12" s="271"/>
      <c r="F12" s="271"/>
      <c r="G12" s="272"/>
      <c r="J12" s="157">
        <f t="shared" ref="J12" si="3">IF($C12="*",IF($A12="Hide",0,$J$7),0)</f>
        <v>0</v>
      </c>
      <c r="K12" s="158">
        <f>IF(LEN(D12)=0,0,1)</f>
        <v>0</v>
      </c>
      <c r="L12" s="157">
        <f>IF(A12="Hide",0,IF($J$7=1,D12,0))</f>
        <v>0</v>
      </c>
      <c r="M12" s="52" t="str">
        <f>formData!B192</f>
        <v>ACCOMPANYING_CHILD2_CURRENT_LOCATION_GIVE_DETAILS</v>
      </c>
      <c r="N12" s="6">
        <f t="shared" si="0"/>
        <v>0</v>
      </c>
      <c r="O12" s="6">
        <f t="shared" si="1"/>
        <v>0</v>
      </c>
    </row>
    <row r="13" spans="1:15" s="34" customFormat="1" ht="20.100000000000001" customHeight="1">
      <c r="A13" s="113"/>
      <c r="B13" s="113"/>
      <c r="D13" s="10"/>
      <c r="E13" s="65"/>
      <c r="N13" s="6">
        <f t="shared" si="0"/>
        <v>0</v>
      </c>
      <c r="O13" s="6">
        <f t="shared" si="1"/>
        <v>0</v>
      </c>
    </row>
    <row r="14" spans="1:15" ht="24.95" customHeight="1">
      <c r="A14" s="106"/>
      <c r="B14" s="106"/>
      <c r="C14" s="74" t="s">
        <v>1912</v>
      </c>
      <c r="D14" s="256" t="s">
        <v>46</v>
      </c>
      <c r="E14" s="284"/>
      <c r="F14" s="284"/>
      <c r="G14" s="285"/>
      <c r="N14" s="6">
        <f t="shared" si="0"/>
        <v>0</v>
      </c>
      <c r="O14" s="6">
        <f t="shared" si="1"/>
        <v>0</v>
      </c>
    </row>
    <row r="15" spans="1:15" ht="19.5" customHeight="1">
      <c r="A15" s="106"/>
      <c r="B15" s="106">
        <v>1</v>
      </c>
      <c r="C15" s="74" t="s">
        <v>1912</v>
      </c>
      <c r="D15" s="31" t="s">
        <v>1992</v>
      </c>
      <c r="E15" s="278"/>
      <c r="F15" s="279"/>
      <c r="G15" s="280"/>
      <c r="J15" s="6">
        <f t="shared" ref="J15:J16" si="4">IF($C15="*",IF($A15="Hide",0,$J$7),0)</f>
        <v>0</v>
      </c>
      <c r="K15" s="129">
        <f>IF(B15=1,0,1)</f>
        <v>0</v>
      </c>
      <c r="L15" s="127">
        <f>IF(A15="Hide",1,IF($J$7=1,B15,1))</f>
        <v>1</v>
      </c>
      <c r="M15" s="131" t="str">
        <f>formData!B193</f>
        <v>ACCOMPANYING_CHILD2_PASSPORT_DETAILS_OVER_FIVE_YEARS_OF_AGE</v>
      </c>
      <c r="N15" s="6">
        <f>IF(J15=1,1,0)</f>
        <v>0</v>
      </c>
      <c r="O15" s="6">
        <f>+J15*K15</f>
        <v>0</v>
      </c>
    </row>
    <row r="16" spans="1:15" ht="19.5" hidden="1" customHeight="1">
      <c r="A16" s="106" t="str">
        <f>IF($B$15=3,"Show","HIDE")</f>
        <v>HIDE</v>
      </c>
      <c r="B16" s="106">
        <v>1</v>
      </c>
      <c r="C16" s="74" t="s">
        <v>1912</v>
      </c>
      <c r="D16" s="31" t="s">
        <v>1994</v>
      </c>
      <c r="E16" s="176"/>
      <c r="F16" s="177"/>
      <c r="G16" s="178"/>
      <c r="J16" s="6">
        <f t="shared" si="4"/>
        <v>0</v>
      </c>
      <c r="K16" s="129">
        <f>IF(B16=1,0,1)</f>
        <v>0</v>
      </c>
      <c r="L16" s="127">
        <f>IF(A16="Hide",1,IF($J$7=1,B16,1))</f>
        <v>1</v>
      </c>
      <c r="M16" s="131" t="str">
        <f>formData!B194</f>
        <v>ACCOMPANYING_CHILD2_PASSPORT_DETAILS_CURRENT_PASSPORT</v>
      </c>
      <c r="N16" s="6">
        <f>IF(J16=1,1,0)</f>
        <v>0</v>
      </c>
      <c r="O16" s="6">
        <f t="shared" ref="O16" si="5">+J16*K16</f>
        <v>0</v>
      </c>
    </row>
    <row r="17" spans="1:15" s="34" customFormat="1" ht="20.100000000000001" customHeight="1">
      <c r="A17" s="113"/>
      <c r="B17" s="113"/>
      <c r="C17" s="74" t="s">
        <v>1912</v>
      </c>
      <c r="D17" s="7" t="s">
        <v>12</v>
      </c>
      <c r="E17" s="278">
        <f>applicantDetails!E27</f>
        <v>0</v>
      </c>
      <c r="F17" s="279"/>
      <c r="G17" s="280"/>
      <c r="J17" s="6">
        <f t="shared" ref="J17:J27" si="6">IF($C17="*",IF($A17="Hide",0,$J$7),0)</f>
        <v>0</v>
      </c>
      <c r="K17" s="130">
        <f>IF(LEN(E17)=0,0,1)</f>
        <v>1</v>
      </c>
      <c r="L17" s="126">
        <f>IF(A17="Hide",0,IF($J$7=1,E17,0))</f>
        <v>0</v>
      </c>
      <c r="M17" s="52" t="str">
        <f>formData!B195</f>
        <v>ACCOMPANYING_CHILD2_PASSPORT_DETAILS_FAMILY_NAME</v>
      </c>
      <c r="N17" s="6">
        <f t="shared" si="0"/>
        <v>0</v>
      </c>
      <c r="O17" s="6">
        <f t="shared" si="1"/>
        <v>0</v>
      </c>
    </row>
    <row r="18" spans="1:15" s="34" customFormat="1" ht="20.100000000000001" customHeight="1">
      <c r="A18" s="113"/>
      <c r="B18" s="113"/>
      <c r="C18" s="74" t="s">
        <v>1912</v>
      </c>
      <c r="D18" s="7" t="s">
        <v>13</v>
      </c>
      <c r="E18" s="278">
        <f>applicantDetails!E28</f>
        <v>0</v>
      </c>
      <c r="F18" s="279"/>
      <c r="G18" s="280"/>
      <c r="J18" s="6">
        <f t="shared" si="6"/>
        <v>0</v>
      </c>
      <c r="K18" s="130">
        <f>IF(LEN(E18)=0,0,1)</f>
        <v>1</v>
      </c>
      <c r="L18" s="126">
        <f>IF(A18="Hide",0,IF($J$7=1,E18,0))</f>
        <v>0</v>
      </c>
      <c r="M18" s="52" t="str">
        <f>formData!B196</f>
        <v>ACCOMPANYING_CHILD2_PASSPORT_DETAILS_GIVEN NAMES</v>
      </c>
      <c r="N18" s="6">
        <f t="shared" si="0"/>
        <v>0</v>
      </c>
      <c r="O18" s="6">
        <f t="shared" si="1"/>
        <v>0</v>
      </c>
    </row>
    <row r="19" spans="1:15" s="34" customFormat="1" ht="20.100000000000001" customHeight="1">
      <c r="A19" s="113"/>
      <c r="B19" s="113">
        <v>1</v>
      </c>
      <c r="C19" s="74" t="s">
        <v>1912</v>
      </c>
      <c r="D19" s="7" t="s">
        <v>14</v>
      </c>
      <c r="E19" s="96"/>
      <c r="F19" s="97"/>
      <c r="G19" s="98"/>
      <c r="J19" s="6">
        <f t="shared" si="6"/>
        <v>0</v>
      </c>
      <c r="K19" s="129">
        <f>IF(B19=1,0,1)</f>
        <v>0</v>
      </c>
      <c r="L19" s="127">
        <f>IF(A19="Hide",1,IF($J$7=1,B19,1))</f>
        <v>1</v>
      </c>
      <c r="M19" s="52" t="str">
        <f>formData!B197</f>
        <v>ACCOMPANYING_CHILD2_PASSPORT_DETAILS_SEX</v>
      </c>
      <c r="N19" s="6">
        <f t="shared" si="0"/>
        <v>0</v>
      </c>
      <c r="O19" s="6">
        <f t="shared" si="1"/>
        <v>0</v>
      </c>
    </row>
    <row r="20" spans="1:15" s="34" customFormat="1" ht="20.100000000000001" customHeight="1">
      <c r="A20" s="113"/>
      <c r="B20" s="113"/>
      <c r="C20" s="74" t="s">
        <v>1912</v>
      </c>
      <c r="D20" s="31" t="s">
        <v>1976</v>
      </c>
      <c r="E20" s="219"/>
      <c r="F20" s="220"/>
      <c r="G20" s="221"/>
      <c r="J20" s="6">
        <f t="shared" si="6"/>
        <v>0</v>
      </c>
      <c r="K20" s="130">
        <f>IF(LEN(E20)=0,0,1)</f>
        <v>0</v>
      </c>
      <c r="L20" s="126">
        <f>IF(A20="Hide",0,IF($J$7=1,E20,0))</f>
        <v>0</v>
      </c>
      <c r="M20" s="52" t="str">
        <f>formData!B198</f>
        <v>ACCOMPANYING_CHILD2_PASSPORT_DETAILS_DATE_OF_BIRTH</v>
      </c>
      <c r="N20" s="6">
        <f t="shared" si="0"/>
        <v>0</v>
      </c>
      <c r="O20" s="6">
        <f t="shared" si="1"/>
        <v>0</v>
      </c>
    </row>
    <row r="21" spans="1:15" s="34" customFormat="1" ht="20.100000000000001" hidden="1" customHeight="1">
      <c r="A21" s="106" t="str">
        <f>IF(OR($B$15=2,AND($B$15=3,$B$16=2)),"Show","HIDE")</f>
        <v>HIDE</v>
      </c>
      <c r="B21" s="113"/>
      <c r="C21" s="74" t="s">
        <v>1912</v>
      </c>
      <c r="D21" s="7" t="s">
        <v>15</v>
      </c>
      <c r="E21" s="234"/>
      <c r="F21" s="235"/>
      <c r="G21" s="236"/>
      <c r="J21" s="6">
        <f t="shared" si="6"/>
        <v>0</v>
      </c>
      <c r="K21" s="130">
        <f>IF(LEN(E21)=0,0,1)</f>
        <v>0</v>
      </c>
      <c r="L21" s="126">
        <f>IF(A21="Hide",0,IF($J$7=1,E21,0))</f>
        <v>0</v>
      </c>
      <c r="M21" s="52" t="str">
        <f>formData!B199</f>
        <v>ACCOMPANYING_CHILD2_PASSPORT_DETAILS_PASSPORT_NUMBER</v>
      </c>
      <c r="N21" s="6">
        <f t="shared" si="0"/>
        <v>0</v>
      </c>
      <c r="O21" s="6">
        <f t="shared" si="1"/>
        <v>0</v>
      </c>
    </row>
    <row r="22" spans="1:15" s="34" customFormat="1" ht="20.100000000000001" hidden="1" customHeight="1">
      <c r="A22" s="113" t="str">
        <f>A21</f>
        <v>HIDE</v>
      </c>
      <c r="B22" s="113">
        <v>1</v>
      </c>
      <c r="C22" s="74" t="s">
        <v>1912</v>
      </c>
      <c r="D22" s="7" t="s">
        <v>16</v>
      </c>
      <c r="E22" s="240"/>
      <c r="F22" s="241"/>
      <c r="G22" s="242"/>
      <c r="J22" s="6">
        <f t="shared" si="6"/>
        <v>0</v>
      </c>
      <c r="K22" s="129">
        <f>IF(B22=1,0,1)</f>
        <v>0</v>
      </c>
      <c r="L22" s="127">
        <f>IF(A22="Hide",1,IF($J$7=1,B22,1))</f>
        <v>1</v>
      </c>
      <c r="M22" s="52" t="str">
        <f>formData!B200</f>
        <v>ACCOMPANYING_CHILD2_PASSPORT_DETAILS_COUNTRY_OF_PASSPORT</v>
      </c>
      <c r="N22" s="6">
        <f t="shared" si="0"/>
        <v>0</v>
      </c>
      <c r="O22" s="6">
        <f t="shared" si="1"/>
        <v>0</v>
      </c>
    </row>
    <row r="23" spans="1:15" s="34" customFormat="1" ht="20.100000000000001" hidden="1" customHeight="1">
      <c r="A23" s="113" t="str">
        <f>A22</f>
        <v>HIDE</v>
      </c>
      <c r="B23" s="113">
        <v>1</v>
      </c>
      <c r="C23" s="74" t="s">
        <v>1912</v>
      </c>
      <c r="D23" s="7" t="s">
        <v>17</v>
      </c>
      <c r="E23" s="240"/>
      <c r="F23" s="241"/>
      <c r="G23" s="242"/>
      <c r="J23" s="6">
        <f t="shared" si="6"/>
        <v>0</v>
      </c>
      <c r="K23" s="129">
        <f>IF(B23=1,0,1)</f>
        <v>0</v>
      </c>
      <c r="L23" s="127">
        <f>IF(A23="Hide",1,IF($J$7=1,B23,1))</f>
        <v>1</v>
      </c>
      <c r="M23" s="52" t="str">
        <f>formData!B201</f>
        <v>ACCOMPANYING_CHILD2_PASSPORT_DETAILS_NATIONALITY_OF_PASSPORT_HOLDER</v>
      </c>
      <c r="N23" s="6">
        <f t="shared" si="0"/>
        <v>0</v>
      </c>
      <c r="O23" s="6">
        <f t="shared" si="1"/>
        <v>0</v>
      </c>
    </row>
    <row r="24" spans="1:15" s="34" customFormat="1" ht="20.100000000000001" hidden="1" customHeight="1">
      <c r="A24" s="113" t="str">
        <f>A23</f>
        <v>HIDE</v>
      </c>
      <c r="B24" s="113"/>
      <c r="C24" s="74" t="s">
        <v>1912</v>
      </c>
      <c r="D24" s="31" t="s">
        <v>1973</v>
      </c>
      <c r="E24" s="219"/>
      <c r="F24" s="220"/>
      <c r="G24" s="221"/>
      <c r="J24" s="6">
        <f t="shared" si="6"/>
        <v>0</v>
      </c>
      <c r="K24" s="130">
        <f>IF(LEN(E24)=0,0,1)</f>
        <v>0</v>
      </c>
      <c r="L24" s="126">
        <f>IF(A24="Hide",0,IF($J$7=1,E24,0))</f>
        <v>0</v>
      </c>
      <c r="M24" s="52" t="str">
        <f>formData!B202</f>
        <v>ACCOMPANYING_CHILD2_PASSPORT_DETAILS_DATE_OF_ISSUE</v>
      </c>
      <c r="N24" s="6">
        <f t="shared" si="0"/>
        <v>0</v>
      </c>
      <c r="O24" s="6">
        <f t="shared" si="1"/>
        <v>0</v>
      </c>
    </row>
    <row r="25" spans="1:15" s="34" customFormat="1" ht="20.100000000000001" hidden="1" customHeight="1">
      <c r="A25" s="113" t="str">
        <f>A24</f>
        <v>HIDE</v>
      </c>
      <c r="B25" s="113"/>
      <c r="C25" s="74" t="s">
        <v>1912</v>
      </c>
      <c r="D25" s="31" t="s">
        <v>1972</v>
      </c>
      <c r="E25" s="219"/>
      <c r="F25" s="220"/>
      <c r="G25" s="221"/>
      <c r="J25" s="6">
        <f t="shared" si="6"/>
        <v>0</v>
      </c>
      <c r="K25" s="130">
        <f t="shared" ref="K25:K27" si="7">IF(LEN(E25)=0,0,1)</f>
        <v>0</v>
      </c>
      <c r="L25" s="126">
        <f t="shared" ref="L25:L27" si="8">IF(A25="Hide",0,IF($J$7=1,E25,0))</f>
        <v>0</v>
      </c>
      <c r="M25" s="52" t="str">
        <f>formData!B203</f>
        <v>ACCOMPANYING_CHILD2_PASSPORT_DETAILS_EXPIRY_DATE</v>
      </c>
      <c r="N25" s="6">
        <f>IF(J25=1,1,0)</f>
        <v>0</v>
      </c>
      <c r="O25" s="6">
        <f>+J25*K25</f>
        <v>0</v>
      </c>
    </row>
    <row r="26" spans="1:15" s="34" customFormat="1" ht="20.100000000000001" hidden="1" customHeight="1">
      <c r="A26" s="106" t="str">
        <f>IF(OR(AND($B$15=2,B22=44),AND($B$15=3,$B$16=2,B22=44)),"Show","HIDE")</f>
        <v>HIDE</v>
      </c>
      <c r="B26" s="113">
        <v>1</v>
      </c>
      <c r="C26" s="74" t="s">
        <v>1912</v>
      </c>
      <c r="D26" s="7" t="s">
        <v>18</v>
      </c>
      <c r="E26" s="198"/>
      <c r="F26" s="199"/>
      <c r="G26" s="200"/>
      <c r="J26" s="6">
        <f t="shared" si="6"/>
        <v>0</v>
      </c>
      <c r="K26" s="129">
        <f>IF(B26=1,0,1)</f>
        <v>0</v>
      </c>
      <c r="L26" s="127">
        <f>IF(A26="Hide",1,IF($J$7=1,B26,1))</f>
        <v>1</v>
      </c>
      <c r="M26" s="131" t="str">
        <f>formData!B204</f>
        <v>ACCOMPANYING_CHILD2_PASSPORT_DETAILS_PLACE_OF_ISSUE_CHINA</v>
      </c>
      <c r="N26" s="6">
        <f>IF(J26=1,1,0)</f>
        <v>0</v>
      </c>
      <c r="O26" s="6">
        <f>+J26*K26</f>
        <v>0</v>
      </c>
    </row>
    <row r="27" spans="1:15" s="34" customFormat="1" ht="20.100000000000001" hidden="1" customHeight="1">
      <c r="A27" s="113" t="str">
        <f>IF(OR(AND($B$15=2,NOT(B22=44)),AND($B$15=3,$B$16=2,NOT(B22=44))),"Show","HIDE")</f>
        <v>HIDE</v>
      </c>
      <c r="B27" s="113"/>
      <c r="C27" s="74" t="s">
        <v>1912</v>
      </c>
      <c r="D27" s="7" t="s">
        <v>18</v>
      </c>
      <c r="E27" s="198"/>
      <c r="F27" s="199"/>
      <c r="G27" s="200"/>
      <c r="J27" s="6">
        <f t="shared" si="6"/>
        <v>0</v>
      </c>
      <c r="K27" s="130">
        <f t="shared" si="7"/>
        <v>0</v>
      </c>
      <c r="L27" s="126">
        <f t="shared" si="8"/>
        <v>0</v>
      </c>
      <c r="M27" s="52" t="str">
        <f>formData!B205</f>
        <v>ACCOMPANYING_CHILD2_PASSPORT_DETAILS_PLACE_OF_ISSUE</v>
      </c>
      <c r="N27" s="6">
        <f t="shared" ref="N27:N47" si="9">IF(J27=1,1,0)</f>
        <v>0</v>
      </c>
      <c r="O27" s="6">
        <f t="shared" ref="O27:O47" si="10">+J27*K27</f>
        <v>0</v>
      </c>
    </row>
    <row r="28" spans="1:15" s="34" customFormat="1" ht="20.100000000000001" customHeight="1">
      <c r="A28" s="113"/>
      <c r="B28" s="113"/>
      <c r="D28" s="66"/>
      <c r="E28" s="99"/>
      <c r="M28" s="52"/>
      <c r="N28" s="6">
        <f t="shared" si="9"/>
        <v>0</v>
      </c>
      <c r="O28" s="6">
        <f t="shared" si="10"/>
        <v>0</v>
      </c>
    </row>
    <row r="29" spans="1:15" ht="24.95" customHeight="1">
      <c r="A29" s="106"/>
      <c r="B29" s="106"/>
      <c r="C29" s="74" t="s">
        <v>1912</v>
      </c>
      <c r="D29" s="256" t="s">
        <v>45</v>
      </c>
      <c r="E29" s="284"/>
      <c r="F29" s="284"/>
      <c r="G29" s="285"/>
      <c r="M29" s="52"/>
      <c r="N29" s="6">
        <f t="shared" si="9"/>
        <v>0</v>
      </c>
      <c r="O29" s="6">
        <f t="shared" si="10"/>
        <v>0</v>
      </c>
    </row>
    <row r="30" spans="1:15" s="34" customFormat="1" ht="30" customHeight="1">
      <c r="A30" s="113"/>
      <c r="B30" s="113">
        <v>1</v>
      </c>
      <c r="C30" s="74" t="s">
        <v>1912</v>
      </c>
      <c r="D30" s="7" t="s">
        <v>68</v>
      </c>
      <c r="E30" s="240"/>
      <c r="F30" s="241"/>
      <c r="G30" s="242"/>
      <c r="J30" s="6">
        <f t="shared" ref="J30:J31" si="11">IF($C30="*",IF($A30="Hide",0,$J$7),0)</f>
        <v>0</v>
      </c>
      <c r="K30" s="129">
        <f>IF(B30=1,0,1)</f>
        <v>0</v>
      </c>
      <c r="L30" s="127">
        <f>IF(A30="Hide",1,IF($J$7=1,B30,1))</f>
        <v>1</v>
      </c>
      <c r="M30" s="52" t="str">
        <f>formData!B206</f>
        <v>ACCOMPANYING_CHILD2_AUSTRALIAN_VISA_PREVIOUS_VISA</v>
      </c>
      <c r="N30" s="6">
        <f t="shared" si="9"/>
        <v>0</v>
      </c>
      <c r="O30" s="6">
        <f t="shared" si="10"/>
        <v>0</v>
      </c>
    </row>
    <row r="31" spans="1:15" s="34" customFormat="1" ht="20.100000000000001" customHeight="1">
      <c r="A31" s="113"/>
      <c r="B31" s="113"/>
      <c r="D31" s="26" t="s">
        <v>56</v>
      </c>
      <c r="E31" s="234"/>
      <c r="F31" s="235"/>
      <c r="G31" s="236"/>
      <c r="J31" s="6">
        <f t="shared" si="11"/>
        <v>0</v>
      </c>
      <c r="K31" s="130">
        <f>IF(LEN(E31)=0,0,1)</f>
        <v>0</v>
      </c>
      <c r="L31" s="126">
        <f>IF(A31="Hide",0,IF($J$7=1,E31,0))</f>
        <v>0</v>
      </c>
      <c r="M31" s="52" t="str">
        <f>formData!B207</f>
        <v>ACCOMPANYING_CHILD2_AUSTRALIAN_VISA_GRANT_NUMBER</v>
      </c>
      <c r="N31" s="6">
        <f t="shared" si="9"/>
        <v>0</v>
      </c>
      <c r="O31" s="6">
        <f t="shared" si="10"/>
        <v>0</v>
      </c>
    </row>
    <row r="32" spans="1:15" s="34" customFormat="1" ht="18" customHeight="1">
      <c r="A32" s="113"/>
      <c r="B32" s="113"/>
      <c r="D32" s="66"/>
      <c r="E32" s="19"/>
      <c r="F32" s="19"/>
      <c r="G32" s="19"/>
      <c r="M32" s="52"/>
      <c r="N32" s="6">
        <f t="shared" si="9"/>
        <v>0</v>
      </c>
      <c r="O32" s="6">
        <f t="shared" si="10"/>
        <v>0</v>
      </c>
    </row>
    <row r="33" spans="1:16" s="34" customFormat="1" ht="24.95" customHeight="1">
      <c r="A33" s="113"/>
      <c r="B33" s="113">
        <v>1</v>
      </c>
      <c r="C33" s="74"/>
      <c r="D33" s="253" t="s">
        <v>2</v>
      </c>
      <c r="E33" s="254"/>
      <c r="F33" s="254"/>
      <c r="G33" s="255"/>
      <c r="M33" s="52"/>
      <c r="N33" s="6">
        <f t="shared" si="9"/>
        <v>0</v>
      </c>
      <c r="O33" s="6">
        <f t="shared" si="10"/>
        <v>0</v>
      </c>
    </row>
    <row r="34" spans="1:16" s="34" customFormat="1" ht="20.100000000000001" customHeight="1">
      <c r="A34" s="113"/>
      <c r="B34" s="113">
        <v>1</v>
      </c>
      <c r="C34" s="74" t="s">
        <v>1912</v>
      </c>
      <c r="D34" s="7" t="s">
        <v>67</v>
      </c>
      <c r="E34" s="240"/>
      <c r="F34" s="241"/>
      <c r="G34" s="242"/>
      <c r="J34" s="6">
        <f t="shared" ref="J34:J40" si="12">IF($C34="*",IF($A34="Hide",0,$J$7),0)</f>
        <v>0</v>
      </c>
      <c r="K34" s="129">
        <f>IF(B34=1,0,1)</f>
        <v>0</v>
      </c>
      <c r="L34" s="127">
        <f>IF(A34="Hide",1,IF($J$7=1,B34,1))</f>
        <v>1</v>
      </c>
      <c r="M34" s="52" t="str">
        <f>formData!B208</f>
        <v>ACCOMPANYING_CHILD2_NATIONAL_IDENTITY_HAVE_NATIONAL_ID</v>
      </c>
      <c r="N34" s="6">
        <f t="shared" si="9"/>
        <v>0</v>
      </c>
      <c r="O34" s="6">
        <f t="shared" si="10"/>
        <v>0</v>
      </c>
    </row>
    <row r="35" spans="1:16" s="34" customFormat="1" ht="19.5" hidden="1" customHeight="1">
      <c r="A35" s="106" t="str">
        <f t="shared" ref="A35" si="13">IF($B$34=2,"Show","HIDE")</f>
        <v>HIDE</v>
      </c>
      <c r="B35" s="113"/>
      <c r="C35" s="74" t="s">
        <v>1912</v>
      </c>
      <c r="D35" s="7" t="s">
        <v>12</v>
      </c>
      <c r="E35" s="198"/>
      <c r="F35" s="199"/>
      <c r="G35" s="200"/>
      <c r="J35" s="6">
        <f t="shared" si="12"/>
        <v>0</v>
      </c>
      <c r="K35" s="130">
        <f t="shared" ref="K35:K37" si="14">IF(LEN(E35)=0,0,1)</f>
        <v>0</v>
      </c>
      <c r="L35" s="126">
        <f t="shared" ref="L35:L37" si="15">IF(A35="Hide",0,IF($J$7=1,E35,0))</f>
        <v>0</v>
      </c>
      <c r="M35" s="52" t="str">
        <f>formData!B209</f>
        <v>ACCOMPANYING_CHILD2_NATIONAL_IDENTITY_FAMILY_NAME</v>
      </c>
      <c r="N35" s="6">
        <f t="shared" si="9"/>
        <v>0</v>
      </c>
      <c r="O35" s="6">
        <f t="shared" si="10"/>
        <v>0</v>
      </c>
    </row>
    <row r="36" spans="1:16" s="34" customFormat="1" ht="19.5" hidden="1" customHeight="1">
      <c r="A36" s="106" t="str">
        <f>IF($B$34=2,"Show","HIDE")</f>
        <v>HIDE</v>
      </c>
      <c r="B36" s="113"/>
      <c r="C36" s="74" t="s">
        <v>1912</v>
      </c>
      <c r="D36" s="7" t="s">
        <v>13</v>
      </c>
      <c r="E36" s="198"/>
      <c r="F36" s="199"/>
      <c r="G36" s="200"/>
      <c r="J36" s="6">
        <f t="shared" si="12"/>
        <v>0</v>
      </c>
      <c r="K36" s="130">
        <f t="shared" si="14"/>
        <v>0</v>
      </c>
      <c r="L36" s="126">
        <f t="shared" si="15"/>
        <v>0</v>
      </c>
      <c r="M36" s="52" t="str">
        <f>formData!B210</f>
        <v>ACCOMPANYING_CHILD2_NATIONAL_IDENTITY_GIVEN_NAMES</v>
      </c>
      <c r="N36" s="6">
        <f t="shared" si="9"/>
        <v>0</v>
      </c>
      <c r="O36" s="6">
        <f t="shared" si="10"/>
        <v>0</v>
      </c>
    </row>
    <row r="37" spans="1:16" s="34" customFormat="1" ht="19.5" hidden="1" customHeight="1">
      <c r="A37" s="106" t="str">
        <f>IF($B$34=2,"Show","HIDE")</f>
        <v>HIDE</v>
      </c>
      <c r="B37" s="113"/>
      <c r="C37" s="74" t="s">
        <v>1912</v>
      </c>
      <c r="D37" s="7" t="s">
        <v>22</v>
      </c>
      <c r="E37" s="234"/>
      <c r="F37" s="235"/>
      <c r="G37" s="236"/>
      <c r="J37" s="6">
        <f t="shared" si="12"/>
        <v>0</v>
      </c>
      <c r="K37" s="130">
        <f t="shared" si="14"/>
        <v>0</v>
      </c>
      <c r="L37" s="126">
        <f t="shared" si="15"/>
        <v>0</v>
      </c>
      <c r="M37" s="52" t="str">
        <f>formData!B211</f>
        <v>ACCOMPANYING_CHILD2_NATIONAL_IDENTITY_ID_NUMBER</v>
      </c>
      <c r="N37" s="6">
        <f t="shared" si="9"/>
        <v>0</v>
      </c>
      <c r="O37" s="6">
        <f t="shared" si="10"/>
        <v>0</v>
      </c>
    </row>
    <row r="38" spans="1:16" s="34" customFormat="1" ht="19.5" hidden="1" customHeight="1">
      <c r="A38" s="106" t="str">
        <f>IF($B$34=2,"Show","HIDE")</f>
        <v>HIDE</v>
      </c>
      <c r="B38" s="113">
        <v>1</v>
      </c>
      <c r="C38" s="74" t="s">
        <v>1912</v>
      </c>
      <c r="D38" s="7" t="s">
        <v>23</v>
      </c>
      <c r="E38" s="96"/>
      <c r="F38" s="97"/>
      <c r="G38" s="98"/>
      <c r="J38" s="6">
        <f t="shared" si="12"/>
        <v>0</v>
      </c>
      <c r="K38" s="129">
        <f>IF(B38=1,0,1)</f>
        <v>0</v>
      </c>
      <c r="L38" s="127">
        <f>IF(A38="Hide",1,IF($J$7=1,B38,1))</f>
        <v>1</v>
      </c>
      <c r="M38" s="52" t="str">
        <f>formData!B212</f>
        <v>ACCOMPANYING_CHILD2_NATIONAL_IDENTITY_COUNTRY_OF_ISSUE</v>
      </c>
      <c r="N38" s="6">
        <f t="shared" si="9"/>
        <v>0</v>
      </c>
      <c r="O38" s="6">
        <f t="shared" si="10"/>
        <v>0</v>
      </c>
    </row>
    <row r="39" spans="1:16" s="34" customFormat="1" ht="19.5" hidden="1" customHeight="1">
      <c r="A39" s="106" t="str">
        <f>IF($B$34=2,"Show","HIDE")</f>
        <v>HIDE</v>
      </c>
      <c r="B39" s="113"/>
      <c r="C39" s="74"/>
      <c r="D39" s="31" t="s">
        <v>1973</v>
      </c>
      <c r="E39" s="219"/>
      <c r="F39" s="220"/>
      <c r="G39" s="221"/>
      <c r="J39" s="6">
        <f t="shared" si="12"/>
        <v>0</v>
      </c>
      <c r="K39" s="130">
        <f>IF(LEN(E39)=0,0,1)</f>
        <v>0</v>
      </c>
      <c r="L39" s="126">
        <f>IF(A39="Hide",0,IF($J$7=1,E39,0))</f>
        <v>0</v>
      </c>
      <c r="M39" s="52" t="str">
        <f>formData!B213</f>
        <v>ACCOMPANYING_CHILD2_NATIONAL_IDENTITY_DATE_OF_ISSUE</v>
      </c>
      <c r="N39" s="6">
        <f t="shared" si="9"/>
        <v>0</v>
      </c>
      <c r="O39" s="6">
        <f t="shared" si="10"/>
        <v>0</v>
      </c>
    </row>
    <row r="40" spans="1:16" s="34" customFormat="1" ht="19.5" hidden="1" customHeight="1">
      <c r="A40" s="106" t="str">
        <f>IF($B$34=2,"Show","HIDE")</f>
        <v>HIDE</v>
      </c>
      <c r="B40" s="113"/>
      <c r="C40" s="74"/>
      <c r="D40" s="31" t="s">
        <v>1972</v>
      </c>
      <c r="E40" s="219"/>
      <c r="F40" s="220"/>
      <c r="G40" s="221"/>
      <c r="J40" s="6">
        <f t="shared" si="12"/>
        <v>0</v>
      </c>
      <c r="K40" s="130">
        <f>IF(LEN(E40)=0,0,1)</f>
        <v>0</v>
      </c>
      <c r="L40" s="126">
        <f>IF(A40="Hide",0,IF($J$7=1,E40,0))</f>
        <v>0</v>
      </c>
      <c r="M40" s="52" t="str">
        <f>formData!B214</f>
        <v>ACCOMPANYING_CHILD2_NATIONAL_IDENTITY_EXPIRY_DATE</v>
      </c>
      <c r="N40" s="6">
        <f t="shared" si="9"/>
        <v>0</v>
      </c>
      <c r="O40" s="6">
        <f t="shared" si="10"/>
        <v>0</v>
      </c>
    </row>
    <row r="41" spans="1:16" s="34" customFormat="1" ht="19.5" hidden="1" customHeight="1">
      <c r="A41" s="106" t="str">
        <f>IF($B$34=3,"Show","HIDE")</f>
        <v>HIDE</v>
      </c>
      <c r="B41" s="105"/>
      <c r="C41" s="74" t="s">
        <v>1912</v>
      </c>
      <c r="D41" s="244" t="s">
        <v>2037</v>
      </c>
      <c r="E41" s="245"/>
      <c r="F41" s="245"/>
      <c r="G41" s="246"/>
      <c r="H41" s="6"/>
      <c r="I41" s="6"/>
      <c r="J41" s="6"/>
      <c r="K41" s="6"/>
      <c r="L41" s="6"/>
      <c r="N41" s="6">
        <f t="shared" si="9"/>
        <v>0</v>
      </c>
      <c r="O41" s="6">
        <f t="shared" si="10"/>
        <v>0</v>
      </c>
      <c r="P41" s="32"/>
    </row>
    <row r="42" spans="1:16" s="6" customFormat="1" ht="46.5" hidden="1" customHeight="1">
      <c r="A42" s="106" t="str">
        <f>IF($B$34=3,"Show","HIDE")</f>
        <v>HIDE</v>
      </c>
      <c r="B42" s="105"/>
      <c r="D42" s="247"/>
      <c r="E42" s="248"/>
      <c r="F42" s="248"/>
      <c r="G42" s="249"/>
      <c r="J42" s="6">
        <f>IF($C41="*",IF($A42="Hide",0,$J$7),0)</f>
        <v>0</v>
      </c>
      <c r="K42" s="158">
        <f>IF(LEN(D42)=0,0,1)</f>
        <v>0</v>
      </c>
      <c r="L42" s="157">
        <f>IF(A42="Hide",0,IF($J$5=1,D42,0))</f>
        <v>0</v>
      </c>
      <c r="M42" s="131" t="str">
        <f>formData!B215</f>
        <v>ACCOMPANYING_CHILD2_NATIONAL_IDENTITY_GIVE_REASON</v>
      </c>
      <c r="N42" s="6">
        <f t="shared" si="9"/>
        <v>0</v>
      </c>
      <c r="O42" s="6">
        <f t="shared" si="10"/>
        <v>0</v>
      </c>
    </row>
    <row r="43" spans="1:16" s="34" customFormat="1" ht="20.100000000000001" customHeight="1">
      <c r="A43" s="113"/>
      <c r="B43" s="113"/>
      <c r="D43" s="66"/>
      <c r="E43" s="65"/>
      <c r="M43" s="52"/>
      <c r="N43" s="6">
        <f t="shared" si="9"/>
        <v>0</v>
      </c>
      <c r="O43" s="6">
        <f t="shared" si="10"/>
        <v>0</v>
      </c>
    </row>
    <row r="44" spans="1:16" ht="24.95" customHeight="1">
      <c r="A44" s="106"/>
      <c r="B44" s="106"/>
      <c r="C44" s="74"/>
      <c r="D44" s="256" t="s">
        <v>47</v>
      </c>
      <c r="E44" s="284"/>
      <c r="F44" s="284"/>
      <c r="G44" s="285"/>
      <c r="M44" s="52"/>
      <c r="N44" s="6">
        <f t="shared" si="9"/>
        <v>0</v>
      </c>
      <c r="O44" s="6">
        <f t="shared" si="10"/>
        <v>0</v>
      </c>
    </row>
    <row r="45" spans="1:16" s="34" customFormat="1" ht="20.100000000000001" customHeight="1">
      <c r="A45" s="113"/>
      <c r="B45" s="113"/>
      <c r="C45" s="74" t="s">
        <v>1912</v>
      </c>
      <c r="D45" s="7" t="s">
        <v>24</v>
      </c>
      <c r="E45" s="198"/>
      <c r="F45" s="199"/>
      <c r="G45" s="200"/>
      <c r="J45" s="6">
        <f t="shared" ref="J45:J47" si="16">IF($C45="*",IF($A45="Hide",0,$J$7),0)</f>
        <v>0</v>
      </c>
      <c r="K45" s="130">
        <f t="shared" ref="K45:K46" si="17">IF(LEN(E45)=0,0,1)</f>
        <v>0</v>
      </c>
      <c r="L45" s="126">
        <f t="shared" ref="L45:L46" si="18">IF(A45="Hide",0,IF($J$7=1,E45,0))</f>
        <v>0</v>
      </c>
      <c r="M45" s="52" t="str">
        <f>formData!B216</f>
        <v>ACCOMPANYING_CHILD2_PLACE_OF_BIRTH_CITY</v>
      </c>
      <c r="N45" s="6">
        <f t="shared" si="9"/>
        <v>0</v>
      </c>
      <c r="O45" s="6">
        <f t="shared" si="10"/>
        <v>0</v>
      </c>
    </row>
    <row r="46" spans="1:16" s="34" customFormat="1" ht="20.100000000000001" customHeight="1">
      <c r="A46" s="113"/>
      <c r="B46" s="113"/>
      <c r="C46" s="74" t="s">
        <v>1912</v>
      </c>
      <c r="D46" s="7" t="s">
        <v>25</v>
      </c>
      <c r="E46" s="198"/>
      <c r="F46" s="199"/>
      <c r="G46" s="200"/>
      <c r="J46" s="6">
        <f t="shared" si="16"/>
        <v>0</v>
      </c>
      <c r="K46" s="130">
        <f t="shared" si="17"/>
        <v>0</v>
      </c>
      <c r="L46" s="126">
        <f t="shared" si="18"/>
        <v>0</v>
      </c>
      <c r="M46" s="52" t="str">
        <f>formData!B217</f>
        <v>ACCOMPANYING_CHILD2_PLACE_OF_STATE_PROVINCE</v>
      </c>
      <c r="N46" s="6">
        <f t="shared" si="9"/>
        <v>0</v>
      </c>
      <c r="O46" s="6">
        <f t="shared" si="10"/>
        <v>0</v>
      </c>
    </row>
    <row r="47" spans="1:16" s="34" customFormat="1" ht="20.100000000000001" customHeight="1">
      <c r="A47" s="113"/>
      <c r="B47" s="113">
        <v>1</v>
      </c>
      <c r="C47" s="74" t="s">
        <v>1912</v>
      </c>
      <c r="D47" s="7" t="s">
        <v>26</v>
      </c>
      <c r="E47" s="240"/>
      <c r="F47" s="241"/>
      <c r="G47" s="242"/>
      <c r="J47" s="6">
        <f t="shared" si="16"/>
        <v>0</v>
      </c>
      <c r="K47" s="129">
        <f>IF(B47=1,0,1)</f>
        <v>0</v>
      </c>
      <c r="L47" s="127">
        <f>IF(A47="Hide",1,IF($J$7=1,B47,1))</f>
        <v>1</v>
      </c>
      <c r="M47" s="52" t="str">
        <f>formData!B218</f>
        <v>ACCOMPANYING_CHILD2_PLACE_OF_BIRTH_COUNTRY</v>
      </c>
      <c r="N47" s="6">
        <f t="shared" si="9"/>
        <v>0</v>
      </c>
      <c r="O47" s="6">
        <f t="shared" si="10"/>
        <v>0</v>
      </c>
    </row>
    <row r="48" spans="1:16" s="34" customFormat="1" ht="20.100000000000001" customHeight="1">
      <c r="A48" s="113"/>
      <c r="B48" s="113"/>
      <c r="D48" s="66"/>
      <c r="E48" s="66"/>
      <c r="M48" s="52"/>
      <c r="N48" s="6">
        <f t="shared" ref="N48:N100" si="19">IF(J48=1,1,0)</f>
        <v>0</v>
      </c>
      <c r="O48" s="6">
        <f t="shared" ref="O48:O100" si="20">+J48*K48</f>
        <v>0</v>
      </c>
    </row>
    <row r="49" spans="1:15" ht="24.95" customHeight="1">
      <c r="A49" s="106"/>
      <c r="B49" s="106"/>
      <c r="C49" s="74"/>
      <c r="D49" s="256" t="s">
        <v>1970</v>
      </c>
      <c r="E49" s="284"/>
      <c r="F49" s="284"/>
      <c r="G49" s="285"/>
      <c r="M49" s="52"/>
      <c r="N49" s="6">
        <f t="shared" si="19"/>
        <v>0</v>
      </c>
      <c r="O49" s="6">
        <f t="shared" si="20"/>
        <v>0</v>
      </c>
    </row>
    <row r="50" spans="1:15" s="34" customFormat="1" ht="20.100000000000001" customHeight="1">
      <c r="A50" s="113"/>
      <c r="B50" s="113">
        <v>1</v>
      </c>
      <c r="C50" s="74" t="s">
        <v>1912</v>
      </c>
      <c r="D50" s="7" t="s">
        <v>27</v>
      </c>
      <c r="E50" s="240"/>
      <c r="F50" s="241"/>
      <c r="G50" s="242"/>
      <c r="J50" s="6">
        <f t="shared" ref="J50" si="21">IF($C50="*",IF($A50="Hide",0,$J$7),0)</f>
        <v>0</v>
      </c>
      <c r="K50" s="129">
        <f>IF(B50=1,0,1)</f>
        <v>0</v>
      </c>
      <c r="L50" s="127">
        <f>IF(A50="Hide",1,IF($J$7=1,B50,1))</f>
        <v>1</v>
      </c>
      <c r="M50" s="52" t="str">
        <f>formData!B219</f>
        <v>ACCOMPANYING_CHILD2_RELATIONSHIP_STATUS</v>
      </c>
      <c r="N50" s="6">
        <f t="shared" si="19"/>
        <v>0</v>
      </c>
      <c r="O50" s="6">
        <f t="shared" si="20"/>
        <v>0</v>
      </c>
    </row>
    <row r="51" spans="1:15" s="34" customFormat="1" ht="20.100000000000001" customHeight="1">
      <c r="A51" s="113"/>
      <c r="B51" s="113"/>
      <c r="D51" s="66"/>
      <c r="E51" s="65"/>
      <c r="M51" s="52"/>
      <c r="N51" s="6">
        <f t="shared" si="19"/>
        <v>0</v>
      </c>
      <c r="O51" s="6">
        <f t="shared" si="20"/>
        <v>0</v>
      </c>
    </row>
    <row r="52" spans="1:15" ht="24.95" customHeight="1">
      <c r="A52" s="106"/>
      <c r="B52" s="106">
        <v>3</v>
      </c>
      <c r="C52" s="74"/>
      <c r="D52" s="256" t="s">
        <v>48</v>
      </c>
      <c r="E52" s="284"/>
      <c r="F52" s="284"/>
      <c r="G52" s="285"/>
      <c r="M52" s="52"/>
      <c r="N52" s="6">
        <f t="shared" si="19"/>
        <v>0</v>
      </c>
      <c r="O52" s="6">
        <f t="shared" si="20"/>
        <v>0</v>
      </c>
    </row>
    <row r="53" spans="1:15" s="34" customFormat="1" ht="30" customHeight="1">
      <c r="A53" s="113"/>
      <c r="B53" s="113">
        <v>1</v>
      </c>
      <c r="C53" s="74" t="s">
        <v>1912</v>
      </c>
      <c r="D53" s="25" t="s">
        <v>1228</v>
      </c>
      <c r="E53" s="240"/>
      <c r="F53" s="241"/>
      <c r="G53" s="242"/>
      <c r="J53" s="6">
        <f t="shared" ref="J53:J56" si="22">IF($C53="*",IF($A53="Hide",0,$J$7),0)</f>
        <v>0</v>
      </c>
      <c r="K53" s="129">
        <f>IF(B53=1,0,1)</f>
        <v>0</v>
      </c>
      <c r="L53" s="127">
        <f>IF(A53="Hide",1,IF($J$7=1,B53,1))</f>
        <v>1</v>
      </c>
      <c r="M53" s="52" t="str">
        <f>formData!B220</f>
        <v>ACCOMPANYING_CHILD2_OTHER_NAMES_HAVE_OTHER_NAME</v>
      </c>
      <c r="N53" s="6">
        <f t="shared" si="19"/>
        <v>0</v>
      </c>
      <c r="O53" s="6">
        <f t="shared" si="20"/>
        <v>0</v>
      </c>
    </row>
    <row r="54" spans="1:15" s="34" customFormat="1" ht="20.100000000000001" hidden="1" customHeight="1">
      <c r="A54" s="106" t="str">
        <f>IF($B$53=2,"Show","HIDE")</f>
        <v>HIDE</v>
      </c>
      <c r="B54" s="113"/>
      <c r="C54" s="74" t="s">
        <v>1912</v>
      </c>
      <c r="D54" s="7" t="s">
        <v>12</v>
      </c>
      <c r="E54" s="198"/>
      <c r="F54" s="199"/>
      <c r="G54" s="200"/>
      <c r="J54" s="6">
        <f t="shared" si="22"/>
        <v>0</v>
      </c>
      <c r="K54" s="130">
        <f>IF(LEN(E54)=0,0,1)</f>
        <v>0</v>
      </c>
      <c r="L54" s="126">
        <f>IF(A54="Hide",0,IF($J$7=1,E54,0))</f>
        <v>0</v>
      </c>
      <c r="M54" s="52" t="str">
        <f>formData!B221</f>
        <v>ACCOMPANYING_CHILD2_OTHER_NAMES_FAMILY NAME</v>
      </c>
      <c r="N54" s="6">
        <f t="shared" si="19"/>
        <v>0</v>
      </c>
      <c r="O54" s="6">
        <f t="shared" si="20"/>
        <v>0</v>
      </c>
    </row>
    <row r="55" spans="1:15" s="34" customFormat="1" ht="20.100000000000001" hidden="1" customHeight="1">
      <c r="A55" s="106" t="str">
        <f>IF($B$53=2,"Show","HIDE")</f>
        <v>HIDE</v>
      </c>
      <c r="B55" s="113"/>
      <c r="C55" s="74" t="s">
        <v>1912</v>
      </c>
      <c r="D55" s="7" t="s">
        <v>13</v>
      </c>
      <c r="E55" s="198"/>
      <c r="F55" s="199"/>
      <c r="G55" s="200"/>
      <c r="J55" s="6">
        <f t="shared" si="22"/>
        <v>0</v>
      </c>
      <c r="K55" s="130">
        <f>IF(LEN(E55)=0,0,1)</f>
        <v>0</v>
      </c>
      <c r="L55" s="126">
        <f>IF(A55="Hide",0,IF($J$7=1,E55,0))</f>
        <v>0</v>
      </c>
      <c r="M55" s="52" t="str">
        <f>formData!B222</f>
        <v>ACCOMPANYING_CHILD2_OTHER_NAMES_GIVEN NAME</v>
      </c>
      <c r="N55" s="6">
        <f t="shared" si="19"/>
        <v>0</v>
      </c>
      <c r="O55" s="6">
        <f t="shared" si="20"/>
        <v>0</v>
      </c>
    </row>
    <row r="56" spans="1:15" s="34" customFormat="1" ht="20.100000000000001" hidden="1" customHeight="1">
      <c r="A56" s="106" t="str">
        <f>IF($B$53=2,"Show","HIDE")</f>
        <v>HIDE</v>
      </c>
      <c r="B56" s="113">
        <v>1</v>
      </c>
      <c r="C56" s="74" t="s">
        <v>1912</v>
      </c>
      <c r="D56" s="7" t="s">
        <v>53</v>
      </c>
      <c r="E56" s="240"/>
      <c r="F56" s="241"/>
      <c r="G56" s="242"/>
      <c r="J56" s="6">
        <f t="shared" si="22"/>
        <v>0</v>
      </c>
      <c r="K56" s="129">
        <f>IF(B56=1,0,1)</f>
        <v>0</v>
      </c>
      <c r="L56" s="127">
        <f>IF(A56="Hide",1,IF($J$7=1,B56,1))</f>
        <v>1</v>
      </c>
      <c r="M56" s="52" t="str">
        <f>formData!B223</f>
        <v>ACCOMPANYING_CHILD2_OTHER_NAMES_REASON</v>
      </c>
      <c r="N56" s="6">
        <f t="shared" si="19"/>
        <v>0</v>
      </c>
      <c r="O56" s="6">
        <f t="shared" si="20"/>
        <v>0</v>
      </c>
    </row>
    <row r="57" spans="1:15" s="34" customFormat="1" ht="20.100000000000001" hidden="1" customHeight="1">
      <c r="A57" s="106" t="str">
        <f>IF($B$53=2,"Show","HIDE")</f>
        <v>HIDE</v>
      </c>
      <c r="B57" s="113"/>
      <c r="D57" s="290" t="s">
        <v>30</v>
      </c>
      <c r="E57" s="291"/>
      <c r="F57" s="291"/>
      <c r="G57" s="292"/>
      <c r="M57" s="52"/>
      <c r="N57" s="6">
        <f t="shared" si="19"/>
        <v>0</v>
      </c>
      <c r="O57" s="6">
        <f t="shared" si="20"/>
        <v>0</v>
      </c>
    </row>
    <row r="58" spans="1:15" s="34" customFormat="1" ht="60" hidden="1" customHeight="1">
      <c r="A58" s="106" t="str">
        <f>IF($B$53=2,"Show","HIDE")</f>
        <v>HIDE</v>
      </c>
      <c r="B58" s="113"/>
      <c r="D58" s="270"/>
      <c r="E58" s="271"/>
      <c r="F58" s="271"/>
      <c r="G58" s="272"/>
      <c r="J58" s="157">
        <f t="shared" ref="J58" si="23">IF($C58="*",IF($A58="Hide",0,$J$7),0)</f>
        <v>0</v>
      </c>
      <c r="K58" s="158">
        <f>IF(LEN(D58)=0,0,1)</f>
        <v>0</v>
      </c>
      <c r="L58" s="157">
        <f>IF(A58="Hide",0,IF($J$7=1,D58,0))</f>
        <v>0</v>
      </c>
      <c r="M58" s="52" t="str">
        <f>formData!B224</f>
        <v>ACCOMPANYING_CHILD2_OTHER_NAMES_GIVE_DETAILS</v>
      </c>
      <c r="N58" s="6">
        <f t="shared" si="19"/>
        <v>0</v>
      </c>
      <c r="O58" s="6">
        <f t="shared" si="20"/>
        <v>0</v>
      </c>
    </row>
    <row r="59" spans="1:15" s="34" customFormat="1" ht="20.100000000000001" customHeight="1">
      <c r="A59" s="113"/>
      <c r="B59" s="113"/>
      <c r="D59" s="66"/>
      <c r="E59" s="65"/>
      <c r="M59" s="52"/>
      <c r="N59" s="6">
        <f t="shared" si="19"/>
        <v>0</v>
      </c>
      <c r="O59" s="6">
        <f t="shared" si="20"/>
        <v>0</v>
      </c>
    </row>
    <row r="60" spans="1:15" ht="24.95" customHeight="1">
      <c r="A60" s="106"/>
      <c r="B60" s="106"/>
      <c r="C60" s="74"/>
      <c r="D60" s="256" t="s">
        <v>64</v>
      </c>
      <c r="E60" s="284"/>
      <c r="F60" s="284"/>
      <c r="G60" s="285"/>
      <c r="M60" s="52"/>
      <c r="N60" s="6">
        <f t="shared" si="19"/>
        <v>0</v>
      </c>
      <c r="O60" s="6">
        <f t="shared" si="20"/>
        <v>0</v>
      </c>
    </row>
    <row r="61" spans="1:15" s="34" customFormat="1" ht="30" customHeight="1">
      <c r="A61" s="113"/>
      <c r="B61" s="113">
        <v>1</v>
      </c>
      <c r="C61" s="74" t="s">
        <v>1912</v>
      </c>
      <c r="D61" s="7" t="s">
        <v>69</v>
      </c>
      <c r="E61" s="240"/>
      <c r="F61" s="241"/>
      <c r="G61" s="242"/>
      <c r="J61" s="6">
        <f t="shared" ref="J61:J77" si="24">IF($C61="*",IF($A61="Hide",0,$J$7),0)</f>
        <v>0</v>
      </c>
      <c r="K61" s="129">
        <f>IF(B61=1,0,1)</f>
        <v>0</v>
      </c>
      <c r="L61" s="127">
        <f>IF(A61="Hide",1,IF($J$7=1,B61,1))</f>
        <v>1</v>
      </c>
      <c r="M61" s="52" t="str">
        <f>formData!B225</f>
        <v>ACCOMPANYING_CHILD2_CITIZENSHIP_COUNTRY_OF_PASSPORT</v>
      </c>
      <c r="N61" s="6">
        <f t="shared" si="19"/>
        <v>0</v>
      </c>
      <c r="O61" s="6">
        <f t="shared" si="20"/>
        <v>0</v>
      </c>
    </row>
    <row r="62" spans="1:15" s="34" customFormat="1" ht="20.100000000000001" customHeight="1">
      <c r="A62" s="113"/>
      <c r="B62" s="113">
        <v>1</v>
      </c>
      <c r="C62" s="74" t="s">
        <v>1912</v>
      </c>
      <c r="D62" s="7" t="s">
        <v>70</v>
      </c>
      <c r="E62" s="240"/>
      <c r="F62" s="241"/>
      <c r="G62" s="242"/>
      <c r="J62" s="6">
        <f t="shared" si="24"/>
        <v>0</v>
      </c>
      <c r="K62" s="129">
        <f>IF(B62=1,0,1)</f>
        <v>0</v>
      </c>
      <c r="L62" s="127">
        <f>IF(A62="Hide",1,IF($J$7=1,B62,1))</f>
        <v>1</v>
      </c>
      <c r="M62" s="52" t="str">
        <f>formData!B226</f>
        <v>ACCOMPANYING_CHILD2_CITIZENSHIP_OTHER_COUNTRY_CITIZEN</v>
      </c>
      <c r="N62" s="6">
        <f t="shared" si="19"/>
        <v>0</v>
      </c>
      <c r="O62" s="6">
        <f t="shared" si="20"/>
        <v>0</v>
      </c>
    </row>
    <row r="63" spans="1:15" s="34" customFormat="1" ht="20.100000000000001" hidden="1" customHeight="1">
      <c r="A63" s="106" t="str">
        <f>IF($B$62=2,"Show","HIDE")</f>
        <v>HIDE</v>
      </c>
      <c r="B63" s="113">
        <v>1</v>
      </c>
      <c r="C63" s="74" t="s">
        <v>1912</v>
      </c>
      <c r="D63" s="7" t="s">
        <v>32</v>
      </c>
      <c r="E63" s="240"/>
      <c r="F63" s="241"/>
      <c r="G63" s="242"/>
      <c r="J63" s="6">
        <f>IF($C63="*",IF($A63="Hide",0,$J$7),0)</f>
        <v>0</v>
      </c>
      <c r="K63" s="129">
        <f>IF(B63=1,0,1)</f>
        <v>0</v>
      </c>
      <c r="L63" s="127">
        <f>IF(A63="Hide",1,IF($J$7=1,B63,1))</f>
        <v>1</v>
      </c>
      <c r="M63" s="52" t="str">
        <f>formData!B227</f>
        <v>ACCOMPANYING_CHILD2_CITIZENSHIP_LIST COUNTRIES1</v>
      </c>
      <c r="N63" s="6">
        <f t="shared" si="19"/>
        <v>0</v>
      </c>
      <c r="O63" s="6">
        <f t="shared" si="20"/>
        <v>0</v>
      </c>
    </row>
    <row r="64" spans="1:15" ht="20.100000000000001" customHeight="1">
      <c r="A64" s="106"/>
      <c r="B64" s="106">
        <v>1</v>
      </c>
      <c r="J64" s="6">
        <f>IF($C64="*",IF($A63="Hide",0,$J$7),0)</f>
        <v>0</v>
      </c>
      <c r="K64" s="129">
        <f>IF(B64=1,0,1)</f>
        <v>0</v>
      </c>
      <c r="L64" s="127">
        <f>IF(A64="Hide",1,IF($J$7=1,B64,1))</f>
        <v>1</v>
      </c>
      <c r="M64" s="52" t="str">
        <f>formData!B228</f>
        <v>ACCOMPANYING_CHILD2_CITIZENSHIP_LIST COUNTRIES2</v>
      </c>
      <c r="N64" s="6">
        <f t="shared" si="19"/>
        <v>0</v>
      </c>
      <c r="O64" s="6">
        <f t="shared" si="20"/>
        <v>0</v>
      </c>
    </row>
    <row r="65" spans="1:15" ht="24.95" customHeight="1">
      <c r="A65" s="106"/>
      <c r="B65" s="106">
        <v>1</v>
      </c>
      <c r="C65" s="74"/>
      <c r="D65" s="256" t="s">
        <v>60</v>
      </c>
      <c r="E65" s="284"/>
      <c r="F65" s="284"/>
      <c r="G65" s="285"/>
      <c r="M65" s="52"/>
      <c r="N65" s="6">
        <f t="shared" si="19"/>
        <v>0</v>
      </c>
      <c r="O65" s="6">
        <f t="shared" si="20"/>
        <v>0</v>
      </c>
    </row>
    <row r="66" spans="1:15" s="34" customFormat="1" ht="24">
      <c r="A66" s="113"/>
      <c r="B66" s="113">
        <v>1</v>
      </c>
      <c r="C66" s="74" t="s">
        <v>1912</v>
      </c>
      <c r="D66" s="7" t="s">
        <v>71</v>
      </c>
      <c r="E66" s="237"/>
      <c r="F66" s="238"/>
      <c r="G66" s="239"/>
      <c r="J66" s="6">
        <f t="shared" si="24"/>
        <v>0</v>
      </c>
      <c r="K66" s="129">
        <f>IF(B66=1,0,1)</f>
        <v>0</v>
      </c>
      <c r="L66" s="127">
        <f>IF(A66="Hide",1,IF($J$7=1,B66,1))</f>
        <v>1</v>
      </c>
      <c r="M66" s="52" t="str">
        <f>formData!B229</f>
        <v>ACCOMPANYING_CHILD2_OTHER_PASSPORT_OR_DOCUMENTS</v>
      </c>
      <c r="N66" s="6">
        <f t="shared" si="19"/>
        <v>0</v>
      </c>
      <c r="O66" s="6">
        <f t="shared" si="20"/>
        <v>0</v>
      </c>
    </row>
    <row r="67" spans="1:15" s="34" customFormat="1" ht="20.100000000000001" hidden="1" customHeight="1">
      <c r="A67" s="106" t="str">
        <f>IF($B$66=2,"Show","HIDE")</f>
        <v>HIDE</v>
      </c>
      <c r="B67" s="113">
        <v>1</v>
      </c>
      <c r="C67" s="74" t="s">
        <v>1912</v>
      </c>
      <c r="D67" s="7" t="s">
        <v>34</v>
      </c>
      <c r="E67" s="237"/>
      <c r="F67" s="238"/>
      <c r="G67" s="239"/>
      <c r="J67" s="6">
        <f t="shared" si="24"/>
        <v>0</v>
      </c>
      <c r="K67" s="129">
        <f>IF(B67=1,0,1)</f>
        <v>0</v>
      </c>
      <c r="L67" s="127">
        <f>IF(A67="Hide",1,IF($J$7=1,B67,1))</f>
        <v>1</v>
      </c>
      <c r="M67" s="52" t="str">
        <f>formData!B230</f>
        <v>ACCOMPANYING_CHILD2_OTHER_TRAVEL_DOCS_TYPE_OF_DOCUMENT</v>
      </c>
      <c r="N67" s="6">
        <f t="shared" si="19"/>
        <v>0</v>
      </c>
      <c r="O67" s="6">
        <f t="shared" si="20"/>
        <v>0</v>
      </c>
    </row>
    <row r="68" spans="1:15" s="34" customFormat="1" ht="20.100000000000001" hidden="1" customHeight="1">
      <c r="A68" s="106" t="str">
        <f t="shared" ref="A68:A77" si="25">IF($B$66=2,"Show","HIDE")</f>
        <v>HIDE</v>
      </c>
      <c r="B68" s="113"/>
      <c r="C68" s="74" t="s">
        <v>1912</v>
      </c>
      <c r="D68" s="7" t="s">
        <v>12</v>
      </c>
      <c r="E68" s="198"/>
      <c r="F68" s="199"/>
      <c r="G68" s="200"/>
      <c r="J68" s="6">
        <f t="shared" si="24"/>
        <v>0</v>
      </c>
      <c r="K68" s="130">
        <f>IF(LEN(E68)=0,0,1)</f>
        <v>0</v>
      </c>
      <c r="L68" s="126">
        <f>IF(A68="Hide",0,IF($J$7=1,E68,0))</f>
        <v>0</v>
      </c>
      <c r="M68" s="52" t="str">
        <f>formData!B231</f>
        <v>ACCOMPANYING_CHILD2_OTHER_TRAVEL_DOCS_FAMILY_NAME</v>
      </c>
      <c r="N68" s="6">
        <f t="shared" si="19"/>
        <v>0</v>
      </c>
      <c r="O68" s="6">
        <f t="shared" si="20"/>
        <v>0</v>
      </c>
    </row>
    <row r="69" spans="1:15" s="34" customFormat="1" ht="20.100000000000001" hidden="1" customHeight="1">
      <c r="A69" s="106" t="str">
        <f t="shared" si="25"/>
        <v>HIDE</v>
      </c>
      <c r="B69" s="113"/>
      <c r="C69" s="74" t="s">
        <v>1912</v>
      </c>
      <c r="D69" s="7" t="s">
        <v>13</v>
      </c>
      <c r="E69" s="198"/>
      <c r="F69" s="199"/>
      <c r="G69" s="200"/>
      <c r="J69" s="6">
        <f t="shared" si="24"/>
        <v>0</v>
      </c>
      <c r="K69" s="130">
        <f>IF(LEN(E69)=0,0,1)</f>
        <v>0</v>
      </c>
      <c r="L69" s="126">
        <f>IF(A69="Hide",0,IF($J$7=1,E69,0))</f>
        <v>0</v>
      </c>
      <c r="M69" s="52" t="str">
        <f>formData!B232</f>
        <v>ACCOMPANYING_CHILD2_OTHER_TRAVEL_DOCS_GIVEN_NAMES</v>
      </c>
      <c r="N69" s="6">
        <f t="shared" si="19"/>
        <v>0</v>
      </c>
      <c r="O69" s="6">
        <f t="shared" si="20"/>
        <v>0</v>
      </c>
    </row>
    <row r="70" spans="1:15" s="34" customFormat="1" ht="20.100000000000001" hidden="1" customHeight="1">
      <c r="A70" s="106" t="str">
        <f t="shared" si="25"/>
        <v>HIDE</v>
      </c>
      <c r="B70" s="113">
        <v>1</v>
      </c>
      <c r="C70" s="74" t="s">
        <v>1912</v>
      </c>
      <c r="D70" s="7" t="s">
        <v>14</v>
      </c>
      <c r="E70" s="237"/>
      <c r="F70" s="238"/>
      <c r="G70" s="239"/>
      <c r="J70" s="6">
        <f t="shared" si="24"/>
        <v>0</v>
      </c>
      <c r="K70" s="129">
        <f>IF(B70=1,0,1)</f>
        <v>0</v>
      </c>
      <c r="L70" s="127">
        <f>IF(A70="Hide",1,IF($J$7=1,B70,1))</f>
        <v>1</v>
      </c>
      <c r="M70" s="52" t="str">
        <f>formData!B233</f>
        <v>ACCOMPANYING_CHILD2_OTHER_TRAVEL_DOCS_SEX</v>
      </c>
      <c r="N70" s="6">
        <f t="shared" si="19"/>
        <v>0</v>
      </c>
      <c r="O70" s="6">
        <f t="shared" si="20"/>
        <v>0</v>
      </c>
    </row>
    <row r="71" spans="1:15" s="34" customFormat="1" ht="20.100000000000001" hidden="1" customHeight="1">
      <c r="A71" s="106" t="str">
        <f t="shared" si="25"/>
        <v>HIDE</v>
      </c>
      <c r="B71" s="113"/>
      <c r="C71" s="74" t="s">
        <v>1912</v>
      </c>
      <c r="D71" s="31" t="s">
        <v>1976</v>
      </c>
      <c r="E71" s="219"/>
      <c r="F71" s="220"/>
      <c r="G71" s="221"/>
      <c r="J71" s="6">
        <f t="shared" si="24"/>
        <v>0</v>
      </c>
      <c r="K71" s="130">
        <f>IF(LEN(E71)=0,0,1)</f>
        <v>0</v>
      </c>
      <c r="L71" s="126">
        <f>IF(A71="Hide",0,IF($J$7=1,E71,0))</f>
        <v>0</v>
      </c>
      <c r="M71" s="52" t="str">
        <f>formData!B234</f>
        <v>ACCOMPANYING_CHILD2_OTHER_TRAVEL_DOCS_DATE_OF_BIRTH</v>
      </c>
      <c r="N71" s="6">
        <f t="shared" si="19"/>
        <v>0</v>
      </c>
      <c r="O71" s="6">
        <f t="shared" si="20"/>
        <v>0</v>
      </c>
    </row>
    <row r="72" spans="1:15" s="34" customFormat="1" ht="20.100000000000001" hidden="1" customHeight="1">
      <c r="A72" s="106" t="str">
        <f t="shared" si="25"/>
        <v>HIDE</v>
      </c>
      <c r="B72" s="113"/>
      <c r="C72" s="74" t="s">
        <v>1912</v>
      </c>
      <c r="D72" s="7" t="s">
        <v>35</v>
      </c>
      <c r="E72" s="234"/>
      <c r="F72" s="235"/>
      <c r="G72" s="236"/>
      <c r="J72" s="6">
        <f t="shared" si="24"/>
        <v>0</v>
      </c>
      <c r="K72" s="130">
        <f>IF(LEN(E72)=0,0,1)</f>
        <v>0</v>
      </c>
      <c r="L72" s="126">
        <f>IF(A72="Hide",0,IF($J$7=1,E72,0))</f>
        <v>0</v>
      </c>
      <c r="M72" s="52" t="str">
        <f>formData!B235</f>
        <v>ACCOMPANYING_CHILD2_OTHER_TRAVEL_DOCS_ID_NUMBER</v>
      </c>
      <c r="N72" s="6">
        <f t="shared" si="19"/>
        <v>0</v>
      </c>
      <c r="O72" s="6">
        <f t="shared" si="20"/>
        <v>0</v>
      </c>
    </row>
    <row r="73" spans="1:15" s="34" customFormat="1" ht="20.100000000000001" hidden="1" customHeight="1">
      <c r="A73" s="106" t="str">
        <f t="shared" si="25"/>
        <v>HIDE</v>
      </c>
      <c r="B73" s="113">
        <v>1</v>
      </c>
      <c r="C73" s="74" t="s">
        <v>1912</v>
      </c>
      <c r="D73" s="7" t="s">
        <v>23</v>
      </c>
      <c r="E73" s="237"/>
      <c r="F73" s="238"/>
      <c r="G73" s="239"/>
      <c r="J73" s="6">
        <f t="shared" si="24"/>
        <v>0</v>
      </c>
      <c r="K73" s="129">
        <f>IF(B73=1,0,1)</f>
        <v>0</v>
      </c>
      <c r="L73" s="127">
        <f>IF(A73="Hide",1,IF($J$7=1,B73,1))</f>
        <v>1</v>
      </c>
      <c r="M73" s="52" t="str">
        <f>formData!B236</f>
        <v>ACCOMPANYING_CHILD2_OTHER_TRAVEL_DOCS_COUNTRY_OF_ISSUE</v>
      </c>
      <c r="N73" s="6">
        <f t="shared" si="19"/>
        <v>0</v>
      </c>
      <c r="O73" s="6">
        <f t="shared" si="20"/>
        <v>0</v>
      </c>
    </row>
    <row r="74" spans="1:15" s="34" customFormat="1" ht="20.100000000000001" hidden="1" customHeight="1">
      <c r="A74" s="106" t="str">
        <f t="shared" si="25"/>
        <v>HIDE</v>
      </c>
      <c r="B74" s="113">
        <v>1</v>
      </c>
      <c r="C74" s="74" t="s">
        <v>1912</v>
      </c>
      <c r="D74" s="7" t="s">
        <v>36</v>
      </c>
      <c r="E74" s="237"/>
      <c r="F74" s="238"/>
      <c r="G74" s="239"/>
      <c r="J74" s="6">
        <f t="shared" si="24"/>
        <v>0</v>
      </c>
      <c r="K74" s="129">
        <f>IF(B74=1,0,1)</f>
        <v>0</v>
      </c>
      <c r="L74" s="127">
        <f>IF(A74="Hide",1,IF($J$7=1,B74,1))</f>
        <v>1</v>
      </c>
      <c r="M74" s="52" t="str">
        <f>formData!B237</f>
        <v>ACCOMPANYING_CHILD2_OTHER_TRAVEL_DOCS_NATIONALITY_OF_PASSPORT_HOLDER</v>
      </c>
      <c r="N74" s="6">
        <f t="shared" si="19"/>
        <v>0</v>
      </c>
      <c r="O74" s="6">
        <f t="shared" si="20"/>
        <v>0</v>
      </c>
    </row>
    <row r="75" spans="1:15" s="34" customFormat="1" ht="20.100000000000001" hidden="1" customHeight="1">
      <c r="A75" s="106" t="str">
        <f t="shared" si="25"/>
        <v>HIDE</v>
      </c>
      <c r="B75" s="113"/>
      <c r="C75" s="74" t="s">
        <v>1912</v>
      </c>
      <c r="D75" s="31" t="s">
        <v>1973</v>
      </c>
      <c r="E75" s="219"/>
      <c r="F75" s="220"/>
      <c r="G75" s="221"/>
      <c r="J75" s="6">
        <f t="shared" si="24"/>
        <v>0</v>
      </c>
      <c r="K75" s="130">
        <f>IF(LEN(E75)=0,0,1)</f>
        <v>0</v>
      </c>
      <c r="L75" s="126">
        <f>IF(A75="Hide",0,IF($J$7=1,E75,0))</f>
        <v>0</v>
      </c>
      <c r="M75" s="52" t="str">
        <f>formData!B238</f>
        <v>ACCOMPANYING_CHILD2_OTHER_TRAVEL_DOCS_DATE_OF_ISSUE</v>
      </c>
      <c r="N75" s="6">
        <f t="shared" si="19"/>
        <v>0</v>
      </c>
      <c r="O75" s="6">
        <f t="shared" si="20"/>
        <v>0</v>
      </c>
    </row>
    <row r="76" spans="1:15" s="34" customFormat="1" ht="20.100000000000001" hidden="1" customHeight="1">
      <c r="A76" s="106" t="str">
        <f t="shared" si="25"/>
        <v>HIDE</v>
      </c>
      <c r="B76" s="113"/>
      <c r="C76" s="74" t="s">
        <v>1912</v>
      </c>
      <c r="D76" s="31" t="s">
        <v>1972</v>
      </c>
      <c r="E76" s="219"/>
      <c r="F76" s="220"/>
      <c r="G76" s="221"/>
      <c r="J76" s="6">
        <f t="shared" si="24"/>
        <v>0</v>
      </c>
      <c r="K76" s="130">
        <f>IF(LEN(E76)=0,0,1)</f>
        <v>0</v>
      </c>
      <c r="L76" s="126">
        <f>IF(A76="Hide",0,IF($J$7=1,E76,0))</f>
        <v>0</v>
      </c>
      <c r="M76" s="52" t="str">
        <f>formData!B239</f>
        <v>ACCOMPANYING_CHILD2_OTHER_TRAVEL_DOCS_DATE_OF_EXPIRY</v>
      </c>
      <c r="N76" s="6">
        <f t="shared" si="19"/>
        <v>0</v>
      </c>
      <c r="O76" s="6">
        <f t="shared" si="20"/>
        <v>0</v>
      </c>
    </row>
    <row r="77" spans="1:15" s="34" customFormat="1" ht="20.100000000000001" hidden="1" customHeight="1">
      <c r="A77" s="106" t="str">
        <f t="shared" si="25"/>
        <v>HIDE</v>
      </c>
      <c r="B77" s="113"/>
      <c r="C77" s="74" t="s">
        <v>1912</v>
      </c>
      <c r="D77" s="7" t="s">
        <v>18</v>
      </c>
      <c r="E77" s="198"/>
      <c r="F77" s="199"/>
      <c r="G77" s="200"/>
      <c r="J77" s="6">
        <f t="shared" si="24"/>
        <v>0</v>
      </c>
      <c r="K77" s="130">
        <f>IF(LEN(E77)=0,0,1)</f>
        <v>0</v>
      </c>
      <c r="L77" s="126">
        <f>IF(A77="Hide",0,IF($J$7=1,E77,0))</f>
        <v>0</v>
      </c>
      <c r="M77" s="52" t="str">
        <f>formData!B240</f>
        <v>ACCOMPANYING_CHILD2_OTHER_TRAVEL_DOCS_PLACE_OF_ISSUE</v>
      </c>
      <c r="N77" s="6">
        <f t="shared" si="19"/>
        <v>0</v>
      </c>
      <c r="O77" s="6">
        <f t="shared" si="20"/>
        <v>0</v>
      </c>
    </row>
    <row r="78" spans="1:15" ht="20.100000000000001" customHeight="1">
      <c r="A78" s="106"/>
      <c r="B78" s="106"/>
      <c r="E78" s="106"/>
      <c r="M78" s="52"/>
      <c r="N78" s="6">
        <f t="shared" si="19"/>
        <v>0</v>
      </c>
      <c r="O78" s="6">
        <f t="shared" si="20"/>
        <v>0</v>
      </c>
    </row>
    <row r="79" spans="1:15" ht="24.95" customHeight="1">
      <c r="A79" s="106"/>
      <c r="B79" s="106">
        <v>1</v>
      </c>
      <c r="C79" s="74"/>
      <c r="D79" s="256" t="s">
        <v>65</v>
      </c>
      <c r="E79" s="284"/>
      <c r="F79" s="284"/>
      <c r="G79" s="285"/>
      <c r="M79" s="52"/>
      <c r="N79" s="6">
        <f t="shared" si="19"/>
        <v>0</v>
      </c>
      <c r="O79" s="6">
        <f t="shared" si="20"/>
        <v>0</v>
      </c>
    </row>
    <row r="80" spans="1:15" s="34" customFormat="1" ht="20.100000000000001" customHeight="1">
      <c r="A80" s="113"/>
      <c r="B80" s="113">
        <v>1</v>
      </c>
      <c r="C80" s="74" t="s">
        <v>1912</v>
      </c>
      <c r="D80" s="7" t="s">
        <v>72</v>
      </c>
      <c r="E80" s="240"/>
      <c r="F80" s="241"/>
      <c r="G80" s="242"/>
      <c r="J80" s="6">
        <f t="shared" ref="J80:J85" si="26">IF($C80="*",IF($A80="Hide",0,$J$7),0)</f>
        <v>0</v>
      </c>
      <c r="K80" s="129">
        <f>IF(B80=1,0,1)</f>
        <v>0</v>
      </c>
      <c r="L80" s="127">
        <f>IF(A80="Hide",1,IF($J$7=1,B80,1))</f>
        <v>1</v>
      </c>
      <c r="M80" s="52" t="str">
        <f>formData!B241</f>
        <v>ACCOMPANYING_CHILD2_OTHER_IDENTITY_DOCUMENTS</v>
      </c>
      <c r="N80" s="6">
        <f t="shared" si="19"/>
        <v>0</v>
      </c>
      <c r="O80" s="6">
        <f t="shared" si="20"/>
        <v>0</v>
      </c>
    </row>
    <row r="81" spans="1:15" s="34" customFormat="1" ht="20.100000000000001" hidden="1" customHeight="1">
      <c r="A81" s="106" t="str">
        <f>IF($B$80=2,"Show","HIDE")</f>
        <v>HIDE</v>
      </c>
      <c r="B81" s="113"/>
      <c r="C81" s="74" t="s">
        <v>1912</v>
      </c>
      <c r="D81" s="7" t="s">
        <v>12</v>
      </c>
      <c r="E81" s="198"/>
      <c r="F81" s="199"/>
      <c r="G81" s="200"/>
      <c r="J81" s="6">
        <f t="shared" si="26"/>
        <v>0</v>
      </c>
      <c r="K81" s="130">
        <f>IF(LEN(E81)=0,0,1)</f>
        <v>0</v>
      </c>
      <c r="L81" s="126">
        <f>IF(A81="Hide",0,IF($J$7=1,E81,0))</f>
        <v>0</v>
      </c>
      <c r="M81" s="52" t="str">
        <f>formData!B242</f>
        <v>ACCOMPANYING_CHILD2_OTHER_IDENTITY_DOCS_FAMILY_NAME</v>
      </c>
      <c r="N81" s="6">
        <f t="shared" si="19"/>
        <v>0</v>
      </c>
      <c r="O81" s="6">
        <f t="shared" si="20"/>
        <v>0</v>
      </c>
    </row>
    <row r="82" spans="1:15" s="34" customFormat="1" ht="20.100000000000001" hidden="1" customHeight="1">
      <c r="A82" s="106" t="str">
        <f>IF($B$80=2,"Show","HIDE")</f>
        <v>HIDE</v>
      </c>
      <c r="B82" s="113"/>
      <c r="C82" s="74" t="s">
        <v>1912</v>
      </c>
      <c r="D82" s="7" t="s">
        <v>13</v>
      </c>
      <c r="E82" s="198"/>
      <c r="F82" s="199"/>
      <c r="G82" s="200"/>
      <c r="J82" s="6">
        <f t="shared" si="26"/>
        <v>0</v>
      </c>
      <c r="K82" s="130">
        <f>IF(LEN(E82)=0,0,1)</f>
        <v>0</v>
      </c>
      <c r="L82" s="126">
        <f>IF(A82="Hide",0,IF($J$7=1,E82,0))</f>
        <v>0</v>
      </c>
      <c r="M82" s="52" t="str">
        <f>formData!B243</f>
        <v>ACCOMPANYING_CHILD2_OTHER_IDENTITY_DOCS_GIVEN_NAMES</v>
      </c>
      <c r="N82" s="6">
        <f t="shared" si="19"/>
        <v>0</v>
      </c>
      <c r="O82" s="6">
        <f t="shared" si="20"/>
        <v>0</v>
      </c>
    </row>
    <row r="83" spans="1:15" s="34" customFormat="1" ht="20.100000000000001" hidden="1" customHeight="1">
      <c r="A83" s="106" t="str">
        <f>IF($B$80=2,"Show","HIDE")</f>
        <v>HIDE</v>
      </c>
      <c r="B83" s="113">
        <v>1</v>
      </c>
      <c r="C83" s="74" t="s">
        <v>1912</v>
      </c>
      <c r="D83" s="7" t="s">
        <v>34</v>
      </c>
      <c r="E83" s="240"/>
      <c r="F83" s="241"/>
      <c r="G83" s="242"/>
      <c r="J83" s="6">
        <f t="shared" si="26"/>
        <v>0</v>
      </c>
      <c r="K83" s="129">
        <f>IF(B83=1,0,1)</f>
        <v>0</v>
      </c>
      <c r="L83" s="127">
        <f>IF(A83="Hide",1,IF($J$7=1,B83,1))</f>
        <v>1</v>
      </c>
      <c r="M83" s="52" t="str">
        <f>formData!B244</f>
        <v>ACCOMPANYING_CHILD2_OTHER_IDENTITY_DOCS_TYPE_OF_DOCUMENT</v>
      </c>
      <c r="N83" s="6">
        <f t="shared" si="19"/>
        <v>0</v>
      </c>
      <c r="O83" s="6">
        <f t="shared" si="20"/>
        <v>0</v>
      </c>
    </row>
    <row r="84" spans="1:15" s="34" customFormat="1" ht="20.100000000000001" hidden="1" customHeight="1">
      <c r="A84" s="106" t="str">
        <f>IF($B$80=2,"Show","HIDE")</f>
        <v>HIDE</v>
      </c>
      <c r="B84" s="113"/>
      <c r="C84" s="74" t="s">
        <v>1912</v>
      </c>
      <c r="D84" s="7" t="s">
        <v>22</v>
      </c>
      <c r="E84" s="234"/>
      <c r="F84" s="235"/>
      <c r="G84" s="236"/>
      <c r="J84" s="6">
        <f t="shared" si="26"/>
        <v>0</v>
      </c>
      <c r="K84" s="130">
        <f>IF(LEN(E84)=0,0,1)</f>
        <v>0</v>
      </c>
      <c r="L84" s="126">
        <f>IF(A84="Hide",0,IF($J$7=1,E84,0))</f>
        <v>0</v>
      </c>
      <c r="M84" s="52" t="str">
        <f>formData!B245</f>
        <v>ACCOMPANYING_CHILD2_OTHER_IDENTITY_DOCS_ID_NUMBER</v>
      </c>
      <c r="N84" s="6">
        <f t="shared" si="19"/>
        <v>0</v>
      </c>
      <c r="O84" s="6">
        <f t="shared" si="20"/>
        <v>0</v>
      </c>
    </row>
    <row r="85" spans="1:15" s="34" customFormat="1" ht="20.100000000000001" hidden="1" customHeight="1">
      <c r="A85" s="106" t="str">
        <f>IF($B$80=2,"Show","HIDE")</f>
        <v>HIDE</v>
      </c>
      <c r="B85" s="113">
        <v>1</v>
      </c>
      <c r="C85" s="74" t="s">
        <v>1912</v>
      </c>
      <c r="D85" s="7" t="s">
        <v>23</v>
      </c>
      <c r="E85" s="240"/>
      <c r="F85" s="241"/>
      <c r="G85" s="242"/>
      <c r="J85" s="6">
        <f t="shared" si="26"/>
        <v>0</v>
      </c>
      <c r="K85" s="129">
        <f>IF(B85=1,0,1)</f>
        <v>0</v>
      </c>
      <c r="L85" s="127">
        <f>IF(A85="Hide",1,IF($J$7=1,B85,1))</f>
        <v>1</v>
      </c>
      <c r="M85" s="52" t="str">
        <f>formData!B246</f>
        <v>ACCOMPANYING_CHILD2_OTHER_IDENTITY_DOCS_COUNTRY_OF_ISSUE</v>
      </c>
      <c r="N85" s="6">
        <f t="shared" si="19"/>
        <v>0</v>
      </c>
      <c r="O85" s="6">
        <f t="shared" si="20"/>
        <v>0</v>
      </c>
    </row>
    <row r="86" spans="1:15" ht="20.100000000000001" customHeight="1">
      <c r="A86" s="106"/>
      <c r="B86" s="106"/>
      <c r="M86" s="52"/>
      <c r="N86" s="6">
        <f t="shared" si="19"/>
        <v>0</v>
      </c>
      <c r="O86" s="6">
        <f t="shared" si="20"/>
        <v>0</v>
      </c>
    </row>
    <row r="87" spans="1:15" ht="24.95" customHeight="1">
      <c r="A87" s="106"/>
      <c r="B87" s="106"/>
      <c r="C87" s="74"/>
      <c r="D87" s="256" t="s">
        <v>1909</v>
      </c>
      <c r="E87" s="284"/>
      <c r="F87" s="284"/>
      <c r="G87" s="285"/>
      <c r="M87" s="52"/>
      <c r="N87" s="6">
        <f t="shared" si="19"/>
        <v>0</v>
      </c>
      <c r="O87" s="6">
        <f t="shared" si="20"/>
        <v>0</v>
      </c>
    </row>
    <row r="88" spans="1:15" s="34" customFormat="1" ht="20.100000000000001" customHeight="1">
      <c r="A88" s="113"/>
      <c r="B88" s="113">
        <v>1</v>
      </c>
      <c r="C88" s="74" t="s">
        <v>1912</v>
      </c>
      <c r="D88" s="286" t="s">
        <v>1967</v>
      </c>
      <c r="E88" s="287"/>
      <c r="F88" s="287"/>
      <c r="G88" s="288"/>
      <c r="J88" s="6">
        <f t="shared" ref="J88:J89" si="27">IF($C88="*",IF($A88="Hide",0,$J$7),0)</f>
        <v>0</v>
      </c>
      <c r="K88" s="129">
        <f>IF(B88=1,0,1)</f>
        <v>0</v>
      </c>
      <c r="L88" s="127">
        <f>IF(A88="Hide",1,IF($J$7=1,B88,1))</f>
        <v>1</v>
      </c>
      <c r="M88" s="52" t="str">
        <f>formData!B247</f>
        <v>ACCOMPANYING_CHILD2_ADD_QUESTIONS_APPLICANT_DEPENDENT</v>
      </c>
      <c r="N88" s="6">
        <f t="shared" si="19"/>
        <v>0</v>
      </c>
      <c r="O88" s="6">
        <f t="shared" si="20"/>
        <v>0</v>
      </c>
    </row>
    <row r="89" spans="1:15" s="34" customFormat="1" ht="20.100000000000001" customHeight="1">
      <c r="A89" s="113"/>
      <c r="B89" s="113">
        <v>1</v>
      </c>
      <c r="C89" s="74" t="s">
        <v>1912</v>
      </c>
      <c r="D89" s="250" t="s">
        <v>73</v>
      </c>
      <c r="E89" s="251"/>
      <c r="F89" s="251"/>
      <c r="G89" s="252"/>
      <c r="J89" s="6">
        <f t="shared" si="27"/>
        <v>0</v>
      </c>
      <c r="K89" s="129">
        <f>IF(B89=1,0,1)</f>
        <v>0</v>
      </c>
      <c r="L89" s="127">
        <f>IF(A89="Hide",1,IF($J$7=1,B89,1))</f>
        <v>1</v>
      </c>
      <c r="M89" s="52" t="str">
        <f>formData!B248</f>
        <v>ACCOMPANYING_CHILD2_ADD_QUESTIONS_MENTAL</v>
      </c>
      <c r="N89" s="6">
        <f t="shared" si="19"/>
        <v>0</v>
      </c>
      <c r="O89" s="6">
        <f t="shared" si="20"/>
        <v>0</v>
      </c>
    </row>
    <row r="90" spans="1:15" s="34" customFormat="1" ht="18" customHeight="1">
      <c r="A90" s="113"/>
      <c r="B90" s="113"/>
      <c r="D90" s="250" t="s">
        <v>74</v>
      </c>
      <c r="E90" s="251"/>
      <c r="F90" s="251"/>
      <c r="G90" s="252"/>
      <c r="M90" s="52"/>
      <c r="N90" s="6">
        <f t="shared" si="19"/>
        <v>0</v>
      </c>
      <c r="O90" s="6">
        <f t="shared" si="20"/>
        <v>0</v>
      </c>
    </row>
    <row r="91" spans="1:15" s="34" customFormat="1" ht="60" customHeight="1">
      <c r="A91" s="113"/>
      <c r="B91" s="113"/>
      <c r="D91" s="270"/>
      <c r="E91" s="271"/>
      <c r="F91" s="271"/>
      <c r="G91" s="272"/>
      <c r="J91" s="157">
        <f t="shared" ref="J91" si="28">IF($C91="*",IF($A91="Hide",0,$J$7),0)</f>
        <v>0</v>
      </c>
      <c r="K91" s="158">
        <f>IF(LEN(D91)=0,0,1)</f>
        <v>0</v>
      </c>
      <c r="L91" s="157">
        <f>IF(A91="Hide",0,IF($J$7=1,D91,0))</f>
        <v>0</v>
      </c>
      <c r="M91" s="52" t="str">
        <f>formData!B249</f>
        <v>ACCOMPANYING_CHILD2_ADD_QUESTIONS_GIVE_DETAILS_1</v>
      </c>
      <c r="N91" s="6">
        <f t="shared" si="19"/>
        <v>0</v>
      </c>
      <c r="O91" s="6">
        <f t="shared" si="20"/>
        <v>0</v>
      </c>
    </row>
    <row r="92" spans="1:15" s="34" customFormat="1" ht="20.100000000000001" customHeight="1">
      <c r="A92" s="113"/>
      <c r="B92" s="113">
        <v>1</v>
      </c>
      <c r="C92" s="74" t="s">
        <v>1912</v>
      </c>
      <c r="D92" s="250" t="s">
        <v>75</v>
      </c>
      <c r="E92" s="251"/>
      <c r="F92" s="251"/>
      <c r="G92" s="252"/>
      <c r="J92" s="6">
        <f t="shared" ref="J92" si="29">IF($C92="*",IF($A92="Hide",0,$J$7),0)</f>
        <v>0</v>
      </c>
      <c r="K92" s="129">
        <f>IF(B92=1,0,1)</f>
        <v>0</v>
      </c>
      <c r="L92" s="127">
        <f>IF(A92="Hide",1,IF($J$7=1,B92,1))</f>
        <v>1</v>
      </c>
      <c r="M92" s="52" t="str">
        <f>formData!B250</f>
        <v>ACCOMPANYING_CHILD2_ADD_QUESTIONS_LEGAL_CUSTODY</v>
      </c>
      <c r="N92" s="6">
        <f t="shared" si="19"/>
        <v>0</v>
      </c>
      <c r="O92" s="6">
        <f t="shared" si="20"/>
        <v>0</v>
      </c>
    </row>
    <row r="93" spans="1:15" s="34" customFormat="1" ht="18" customHeight="1">
      <c r="A93" s="113"/>
      <c r="B93" s="113"/>
      <c r="D93" s="250" t="s">
        <v>76</v>
      </c>
      <c r="E93" s="251"/>
      <c r="F93" s="251"/>
      <c r="G93" s="252"/>
      <c r="M93" s="52"/>
      <c r="N93" s="6">
        <f t="shared" si="19"/>
        <v>0</v>
      </c>
      <c r="O93" s="6">
        <f t="shared" si="20"/>
        <v>0</v>
      </c>
    </row>
    <row r="94" spans="1:15" s="34" customFormat="1" ht="60" customHeight="1">
      <c r="A94" s="113"/>
      <c r="B94" s="113"/>
      <c r="D94" s="270"/>
      <c r="E94" s="271"/>
      <c r="F94" s="271"/>
      <c r="G94" s="272"/>
      <c r="J94" s="157">
        <f t="shared" ref="J94" si="30">IF($C94="*",IF($A94="Hide",0,$J$7),0)</f>
        <v>0</v>
      </c>
      <c r="K94" s="158">
        <f>IF(LEN(D94)=0,0,1)</f>
        <v>0</v>
      </c>
      <c r="L94" s="157">
        <f>IF(A94="Hide",0,IF($J$7=1,D94,0))</f>
        <v>0</v>
      </c>
      <c r="M94" s="52" t="str">
        <f>formData!B251</f>
        <v>ACCOMPANYING_CHILD2_ADD_QUESTIONS_GIVE_DETAILS_2</v>
      </c>
      <c r="N94" s="6">
        <f t="shared" si="19"/>
        <v>0</v>
      </c>
      <c r="O94" s="6">
        <f t="shared" si="20"/>
        <v>0</v>
      </c>
    </row>
    <row r="95" spans="1:15" s="34" customFormat="1" ht="20.100000000000001" customHeight="1">
      <c r="A95" s="113"/>
      <c r="B95" s="113">
        <v>1</v>
      </c>
      <c r="C95" s="74" t="s">
        <v>1912</v>
      </c>
      <c r="D95" s="250" t="s">
        <v>77</v>
      </c>
      <c r="E95" s="251"/>
      <c r="F95" s="251"/>
      <c r="G95" s="252"/>
      <c r="J95" s="6">
        <f t="shared" ref="J95" si="31">IF($C95="*",IF($A95="Hide",0,$J$7),0)</f>
        <v>0</v>
      </c>
      <c r="K95" s="129">
        <f>IF(B95=1,0,1)</f>
        <v>0</v>
      </c>
      <c r="L95" s="127">
        <f>IF(A95="Hide",1,IF($J$7=1,B95,1))</f>
        <v>1</v>
      </c>
      <c r="M95" s="52" t="str">
        <f>formData!B252</f>
        <v>ACCOMPANYING_CHILD2_ADD_QUESTIONS_OTHER_CUSTODY</v>
      </c>
      <c r="N95" s="6">
        <f t="shared" si="19"/>
        <v>0</v>
      </c>
      <c r="O95" s="6">
        <f t="shared" si="20"/>
        <v>0</v>
      </c>
    </row>
    <row r="96" spans="1:15" s="34" customFormat="1" ht="18" customHeight="1">
      <c r="A96" s="113"/>
      <c r="B96" s="113"/>
      <c r="D96" s="289" t="s">
        <v>74</v>
      </c>
      <c r="E96" s="251"/>
      <c r="F96" s="251"/>
      <c r="G96" s="252"/>
      <c r="M96" s="52"/>
      <c r="N96" s="6">
        <f t="shared" si="19"/>
        <v>0</v>
      </c>
      <c r="O96" s="6">
        <f t="shared" si="20"/>
        <v>0</v>
      </c>
    </row>
    <row r="97" spans="1:15" s="34" customFormat="1" ht="60" customHeight="1">
      <c r="A97" s="113"/>
      <c r="B97" s="113"/>
      <c r="D97" s="270"/>
      <c r="E97" s="271"/>
      <c r="F97" s="271"/>
      <c r="G97" s="272"/>
      <c r="J97" s="157">
        <f t="shared" ref="J97" si="32">IF($C97="*",IF($A97="Hide",0,$J$7),0)</f>
        <v>0</v>
      </c>
      <c r="K97" s="158">
        <f>IF(LEN(D97)=0,0,1)</f>
        <v>0</v>
      </c>
      <c r="L97" s="157">
        <f>IF(A97="Hide",0,IF($J$7=1,D97,0))</f>
        <v>0</v>
      </c>
      <c r="M97" s="52" t="str">
        <f>formData!B253</f>
        <v>ACCOMPANYING_CHILD2_ADD_QUESTIONS_GIVE_DETAILS_3</v>
      </c>
      <c r="N97" s="6">
        <f t="shared" si="19"/>
        <v>0</v>
      </c>
      <c r="O97" s="6">
        <f t="shared" si="20"/>
        <v>0</v>
      </c>
    </row>
    <row r="98" spans="1:15" s="34" customFormat="1" ht="20.100000000000001" customHeight="1">
      <c r="A98" s="113"/>
      <c r="B98" s="113">
        <v>1</v>
      </c>
      <c r="C98" s="74" t="s">
        <v>1912</v>
      </c>
      <c r="D98" s="250" t="s">
        <v>78</v>
      </c>
      <c r="E98" s="251"/>
      <c r="F98" s="251"/>
      <c r="G98" s="252"/>
      <c r="J98" s="6">
        <f t="shared" ref="J98" si="33">IF($C98="*",IF($A98="Hide",0,$J$7),0)</f>
        <v>0</v>
      </c>
      <c r="K98" s="129">
        <f>IF(B98=1,0,1)</f>
        <v>0</v>
      </c>
      <c r="L98" s="127">
        <f>IF(A98="Hide",1,IF($J$7=1,B98,1))</f>
        <v>1</v>
      </c>
      <c r="M98" s="52" t="str">
        <f>formData!B254</f>
        <v>ACCOMPANYING_CHILD2_ADD_QUESTIONS_LEGAL_IMPEDIMENTS</v>
      </c>
      <c r="N98" s="6">
        <f t="shared" si="19"/>
        <v>0</v>
      </c>
      <c r="O98" s="6">
        <f t="shared" si="20"/>
        <v>0</v>
      </c>
    </row>
    <row r="99" spans="1:15" s="34" customFormat="1" ht="18" customHeight="1">
      <c r="A99" s="113"/>
      <c r="B99" s="113"/>
      <c r="D99" s="289" t="s">
        <v>79</v>
      </c>
      <c r="E99" s="251"/>
      <c r="F99" s="251"/>
      <c r="G99" s="252"/>
      <c r="M99" s="52"/>
      <c r="N99" s="6">
        <f t="shared" si="19"/>
        <v>0</v>
      </c>
      <c r="O99" s="6">
        <f t="shared" si="20"/>
        <v>0</v>
      </c>
    </row>
    <row r="100" spans="1:15" ht="60" customHeight="1">
      <c r="A100" s="106"/>
      <c r="B100" s="106"/>
      <c r="D100" s="270"/>
      <c r="E100" s="271"/>
      <c r="F100" s="271"/>
      <c r="G100" s="272"/>
      <c r="J100" s="157">
        <f t="shared" ref="J100" si="34">IF($C100="*",IF($A100="Hide",0,$J$7),0)</f>
        <v>0</v>
      </c>
      <c r="K100" s="158">
        <f>IF(LEN(D100)=0,0,1)</f>
        <v>0</v>
      </c>
      <c r="L100" s="157">
        <f>IF(A100="Hide",0,IF($J$7=1,D100,0))</f>
        <v>0</v>
      </c>
      <c r="M100" s="52" t="str">
        <f>formData!B255</f>
        <v>ACCOMPANYING_CHILD2_ADD_QUESTIONS_GIVE_DETAILS_4</v>
      </c>
      <c r="N100" s="6">
        <f t="shared" si="19"/>
        <v>0</v>
      </c>
      <c r="O100" s="6">
        <f t="shared" si="20"/>
        <v>0</v>
      </c>
    </row>
    <row r="101" spans="1:15" ht="18" customHeight="1">
      <c r="B101" s="106"/>
      <c r="M101" s="52"/>
    </row>
    <row r="102" spans="1:15" ht="18" customHeight="1">
      <c r="M102" s="52"/>
    </row>
    <row r="103" spans="1:15" ht="18" customHeight="1">
      <c r="M103" s="52"/>
    </row>
    <row r="104" spans="1:15" ht="18" customHeight="1">
      <c r="M104" s="52"/>
    </row>
    <row r="105" spans="1:15" ht="18" customHeight="1">
      <c r="M105" s="52"/>
    </row>
    <row r="106" spans="1:15" ht="18" customHeight="1">
      <c r="M106" s="52"/>
    </row>
    <row r="107" spans="1:15" ht="18" customHeight="1">
      <c r="M107" s="52"/>
    </row>
    <row r="108" spans="1:15" ht="18" customHeight="1">
      <c r="M108" s="52"/>
    </row>
    <row r="109" spans="1:15" ht="18" customHeight="1">
      <c r="M109" s="52"/>
    </row>
    <row r="110" spans="1:15" ht="18" customHeight="1">
      <c r="M110" s="52"/>
    </row>
    <row r="111" spans="1:15" ht="18" customHeight="1">
      <c r="M111" s="52"/>
    </row>
    <row r="112" spans="1:15" ht="18" customHeight="1">
      <c r="M112" s="52"/>
    </row>
    <row r="113" spans="13:13" ht="18" customHeight="1">
      <c r="M113" s="52"/>
    </row>
    <row r="114" spans="13:13" ht="18" customHeight="1">
      <c r="M114" s="52"/>
    </row>
    <row r="115" spans="13:13" ht="18" customHeight="1">
      <c r="M115" s="52"/>
    </row>
    <row r="116" spans="13:13">
      <c r="M116" s="52"/>
    </row>
    <row r="117" spans="13:13">
      <c r="M117" s="52"/>
    </row>
    <row r="118" spans="13:13">
      <c r="M118" s="52"/>
    </row>
    <row r="119" spans="13:13">
      <c r="M119" s="52"/>
    </row>
    <row r="120" spans="13:13">
      <c r="M120" s="52"/>
    </row>
    <row r="121" spans="13:13">
      <c r="M121" s="52"/>
    </row>
    <row r="122" spans="13:13">
      <c r="M122" s="52"/>
    </row>
    <row r="123" spans="13:13">
      <c r="M123" s="52"/>
    </row>
    <row r="124" spans="13:13">
      <c r="M124" s="52"/>
    </row>
    <row r="125" spans="13:13">
      <c r="M125" s="52"/>
    </row>
    <row r="126" spans="13:13">
      <c r="M126" s="52"/>
    </row>
    <row r="127" spans="13:13">
      <c r="M127" s="52"/>
    </row>
    <row r="128" spans="13:13">
      <c r="M128" s="52"/>
    </row>
    <row r="129" spans="13:13">
      <c r="M129" s="52"/>
    </row>
    <row r="130" spans="13:13">
      <c r="M130" s="52"/>
    </row>
    <row r="131" spans="13:13">
      <c r="M131" s="52"/>
    </row>
    <row r="132" spans="13:13">
      <c r="M132" s="52"/>
    </row>
    <row r="133" spans="13:13">
      <c r="M133" s="52"/>
    </row>
    <row r="134" spans="13:13">
      <c r="M134" s="52"/>
    </row>
  </sheetData>
  <sheetProtection algorithmName="SHA-512" hashValue="h9rzw5K1zH/qvbXaDnnobJmXUco7JJnqULYjAFykk6Brz3tHXSaf/qUUJ8ErZV7/gQoPv193rtFTIpCUm+oLsQ==" saltValue="lijE4mWvE3QOCb8KDxwp1w==" spinCount="100000" sheet="1" objects="1" scenarios="1"/>
  <mergeCells count="83">
    <mergeCell ref="E10:G10"/>
    <mergeCell ref="D2:G2"/>
    <mergeCell ref="D4:G4"/>
    <mergeCell ref="E6:G6"/>
    <mergeCell ref="D8:G8"/>
    <mergeCell ref="E9:G9"/>
    <mergeCell ref="E27:G27"/>
    <mergeCell ref="D11:G11"/>
    <mergeCell ref="D12:G12"/>
    <mergeCell ref="D14:G14"/>
    <mergeCell ref="E17:G17"/>
    <mergeCell ref="E18:G18"/>
    <mergeCell ref="E20:G20"/>
    <mergeCell ref="E21:G21"/>
    <mergeCell ref="E22:G22"/>
    <mergeCell ref="E23:G23"/>
    <mergeCell ref="E24:G24"/>
    <mergeCell ref="E25:G25"/>
    <mergeCell ref="E15:G15"/>
    <mergeCell ref="E26:G26"/>
    <mergeCell ref="E46:G46"/>
    <mergeCell ref="D29:G29"/>
    <mergeCell ref="E30:G30"/>
    <mergeCell ref="E31:G31"/>
    <mergeCell ref="D33:G33"/>
    <mergeCell ref="E34:G34"/>
    <mergeCell ref="E36:G36"/>
    <mergeCell ref="E37:G37"/>
    <mergeCell ref="E39:G39"/>
    <mergeCell ref="E40:G40"/>
    <mergeCell ref="D44:G44"/>
    <mergeCell ref="E45:G45"/>
    <mergeCell ref="E35:G35"/>
    <mergeCell ref="D41:G41"/>
    <mergeCell ref="D42:G42"/>
    <mergeCell ref="E61:G61"/>
    <mergeCell ref="E47:G47"/>
    <mergeCell ref="D49:G49"/>
    <mergeCell ref="E50:G50"/>
    <mergeCell ref="D52:G52"/>
    <mergeCell ref="E53:G53"/>
    <mergeCell ref="E54:G54"/>
    <mergeCell ref="E55:G55"/>
    <mergeCell ref="E56:G56"/>
    <mergeCell ref="D57:G57"/>
    <mergeCell ref="D58:G58"/>
    <mergeCell ref="D60:G60"/>
    <mergeCell ref="E74:G74"/>
    <mergeCell ref="E62:G62"/>
    <mergeCell ref="E63:G63"/>
    <mergeCell ref="D65:G65"/>
    <mergeCell ref="E66:G66"/>
    <mergeCell ref="E67:G67"/>
    <mergeCell ref="E68:G68"/>
    <mergeCell ref="E69:G69"/>
    <mergeCell ref="E70:G70"/>
    <mergeCell ref="E71:G71"/>
    <mergeCell ref="E72:G72"/>
    <mergeCell ref="E73:G73"/>
    <mergeCell ref="D88:G88"/>
    <mergeCell ref="E75:G75"/>
    <mergeCell ref="E76:G76"/>
    <mergeCell ref="E77:G77"/>
    <mergeCell ref="D79:G79"/>
    <mergeCell ref="E80:G80"/>
    <mergeCell ref="E81:G81"/>
    <mergeCell ref="E82:G82"/>
    <mergeCell ref="E83:G83"/>
    <mergeCell ref="E84:G84"/>
    <mergeCell ref="E85:G85"/>
    <mergeCell ref="D87:G87"/>
    <mergeCell ref="D100:G100"/>
    <mergeCell ref="D89:G89"/>
    <mergeCell ref="D90:G90"/>
    <mergeCell ref="D91:G91"/>
    <mergeCell ref="D92:G92"/>
    <mergeCell ref="D93:G93"/>
    <mergeCell ref="D94:G94"/>
    <mergeCell ref="D95:G95"/>
    <mergeCell ref="D96:G96"/>
    <mergeCell ref="D97:G97"/>
    <mergeCell ref="D98:G98"/>
    <mergeCell ref="D99:G99"/>
  </mergeCells>
  <dataValidations disablePrompts="1" count="5">
    <dataValidation type="date" allowBlank="1" showInputMessage="1" showErrorMessage="1" errorTitle="Date of birth" error="Please enter a valid date" sqref="E20:G20 E71:G71" xr:uid="{00000000-0002-0000-0A00-000000000000}">
      <formula1>1</formula1>
      <formula2>54789</formula2>
    </dataValidation>
    <dataValidation type="date" allowBlank="1" showInputMessage="1" showErrorMessage="1" errorTitle="Date of expiry" error="Please enter a valid date" sqref="E40:G40 E76:G76 E25:G26" xr:uid="{00000000-0002-0000-0A00-000001000000}">
      <formula1>1</formula1>
      <formula2>54789</formula2>
    </dataValidation>
    <dataValidation type="date" allowBlank="1" showInputMessage="1" showErrorMessage="1" errorTitle="Date of issue" error="Please enter a valid date" sqref="E24:G24 E75:G75 E39:G39" xr:uid="{00000000-0002-0000-0A00-000002000000}">
      <formula1>1</formula1>
      <formula2>54789</formula2>
    </dataValidation>
    <dataValidation type="textLength" operator="lessThanOrEqual" allowBlank="1" showInputMessage="1" showErrorMessage="1" errorTitle="Give Details" error="The maximum length of text that you can enter is 300 characters" sqref="D12:G12 D91:G91 D94:G94 D97:G97 D100:G100 D42:G42" xr:uid="{00000000-0002-0000-0A00-000003000000}">
      <formula1>300</formula1>
    </dataValidation>
    <dataValidation type="textLength" allowBlank="1" showInputMessage="1" showErrorMessage="1" errorTitle="Give Details" error="The maximum length of text that you can enter is 300 characters" sqref="D58:G58" xr:uid="{00000000-0002-0000-0A00-000004000000}">
      <formula1>0</formula1>
      <formula2>300</formula2>
    </dataValidation>
  </dataValidations>
  <hyperlinks>
    <hyperlink ref="G3" location="child_2!G3" display="SAVE" xr:uid="{00000000-0004-0000-0A00-000000000000}"/>
    <hyperlink ref="D3" location="index!C1" display="INDEX" xr:uid="{00000000-0004-0000-0A00-000001000000}"/>
  </hyperlinks>
  <pageMargins left="0.7" right="0.7" top="0.75" bottom="0.75" header="0.3" footer="0.3"/>
  <pageSetup paperSize="9" scale="8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Drop Down 1">
              <controlPr locked="0" defaultSize="0" autoLine="0" autoPict="0">
                <anchor moveWithCells="1">
                  <from>
                    <xdr:col>5</xdr:col>
                    <xdr:colOff>161925</xdr:colOff>
                    <xdr:row>87</xdr:row>
                    <xdr:rowOff>0</xdr:rowOff>
                  </from>
                  <to>
                    <xdr:col>7</xdr:col>
                    <xdr:colOff>0</xdr:colOff>
                    <xdr:row>88</xdr:row>
                    <xdr:rowOff>0</xdr:rowOff>
                  </to>
                </anchor>
              </controlPr>
            </control>
          </mc:Choice>
        </mc:AlternateContent>
        <mc:AlternateContent xmlns:mc="http://schemas.openxmlformats.org/markup-compatibility/2006">
          <mc:Choice Requires="x14">
            <control shapeId="57346" r:id="rId5" name="Drop Down 2">
              <controlPr locked="0" defaultSize="0" autoLine="0" autoPict="0">
                <anchor moveWithCells="1">
                  <from>
                    <xdr:col>5</xdr:col>
                    <xdr:colOff>161925</xdr:colOff>
                    <xdr:row>88</xdr:row>
                    <xdr:rowOff>0</xdr:rowOff>
                  </from>
                  <to>
                    <xdr:col>7</xdr:col>
                    <xdr:colOff>0</xdr:colOff>
                    <xdr:row>89</xdr:row>
                    <xdr:rowOff>0</xdr:rowOff>
                  </to>
                </anchor>
              </controlPr>
            </control>
          </mc:Choice>
        </mc:AlternateContent>
        <mc:AlternateContent xmlns:mc="http://schemas.openxmlformats.org/markup-compatibility/2006">
          <mc:Choice Requires="x14">
            <control shapeId="57347" r:id="rId6" name="Drop Down 3">
              <controlPr locked="0" defaultSize="0" autoLine="0" autoPict="0">
                <anchor moveWithCells="1">
                  <from>
                    <xdr:col>5</xdr:col>
                    <xdr:colOff>161925</xdr:colOff>
                    <xdr:row>91</xdr:row>
                    <xdr:rowOff>0</xdr:rowOff>
                  </from>
                  <to>
                    <xdr:col>7</xdr:col>
                    <xdr:colOff>0</xdr:colOff>
                    <xdr:row>92</xdr:row>
                    <xdr:rowOff>0</xdr:rowOff>
                  </to>
                </anchor>
              </controlPr>
            </control>
          </mc:Choice>
        </mc:AlternateContent>
        <mc:AlternateContent xmlns:mc="http://schemas.openxmlformats.org/markup-compatibility/2006">
          <mc:Choice Requires="x14">
            <control shapeId="57348" r:id="rId7" name="Drop Down 4">
              <controlPr locked="0" defaultSize="0" autoLine="0" autoPict="0">
                <anchor moveWithCells="1">
                  <from>
                    <xdr:col>5</xdr:col>
                    <xdr:colOff>161925</xdr:colOff>
                    <xdr:row>94</xdr:row>
                    <xdr:rowOff>0</xdr:rowOff>
                  </from>
                  <to>
                    <xdr:col>7</xdr:col>
                    <xdr:colOff>0</xdr:colOff>
                    <xdr:row>95</xdr:row>
                    <xdr:rowOff>0</xdr:rowOff>
                  </to>
                </anchor>
              </controlPr>
            </control>
          </mc:Choice>
        </mc:AlternateContent>
        <mc:AlternateContent xmlns:mc="http://schemas.openxmlformats.org/markup-compatibility/2006">
          <mc:Choice Requires="x14">
            <control shapeId="57349" r:id="rId8" name="Drop Down 5">
              <controlPr locked="0" defaultSize="0" autoLine="0" autoPict="0">
                <anchor moveWithCells="1">
                  <from>
                    <xdr:col>5</xdr:col>
                    <xdr:colOff>161925</xdr:colOff>
                    <xdr:row>97</xdr:row>
                    <xdr:rowOff>0</xdr:rowOff>
                  </from>
                  <to>
                    <xdr:col>7</xdr:col>
                    <xdr:colOff>0</xdr:colOff>
                    <xdr:row>98</xdr:row>
                    <xdr:rowOff>0</xdr:rowOff>
                  </to>
                </anchor>
              </controlPr>
            </control>
          </mc:Choice>
        </mc:AlternateContent>
        <mc:AlternateContent xmlns:mc="http://schemas.openxmlformats.org/markup-compatibility/2006">
          <mc:Choice Requires="x14">
            <control shapeId="57350" r:id="rId9" name="Drop Down 6">
              <controlPr locked="0" defaultSize="0" autoLine="0" autoPict="0" macro="[0]!YourChild_2.DropDownChildHasOtherPassportOrTravelDoc_Change">
                <anchor moveWithCells="1">
                  <from>
                    <xdr:col>4</xdr:col>
                    <xdr:colOff>0</xdr:colOff>
                    <xdr:row>65</xdr:row>
                    <xdr:rowOff>66675</xdr:rowOff>
                  </from>
                  <to>
                    <xdr:col>7</xdr:col>
                    <xdr:colOff>0</xdr:colOff>
                    <xdr:row>65</xdr:row>
                    <xdr:rowOff>304800</xdr:rowOff>
                  </to>
                </anchor>
              </controlPr>
            </control>
          </mc:Choice>
        </mc:AlternateContent>
        <mc:AlternateContent xmlns:mc="http://schemas.openxmlformats.org/markup-compatibility/2006">
          <mc:Choice Requires="x14">
            <control shapeId="57351" r:id="rId10" name="Drop Down 7">
              <controlPr locked="0" defaultSize="0" autoLine="0" autoPict="0">
                <anchor moveWithCells="1">
                  <from>
                    <xdr:col>4</xdr:col>
                    <xdr:colOff>0</xdr:colOff>
                    <xdr:row>60</xdr:row>
                    <xdr:rowOff>66675</xdr:rowOff>
                  </from>
                  <to>
                    <xdr:col>7</xdr:col>
                    <xdr:colOff>0</xdr:colOff>
                    <xdr:row>60</xdr:row>
                    <xdr:rowOff>314325</xdr:rowOff>
                  </to>
                </anchor>
              </controlPr>
            </control>
          </mc:Choice>
        </mc:AlternateContent>
        <mc:AlternateContent xmlns:mc="http://schemas.openxmlformats.org/markup-compatibility/2006">
          <mc:Choice Requires="x14">
            <control shapeId="57352" r:id="rId11" name="Drop Down 8">
              <controlPr locked="0" defaultSize="0" autoLine="0" autoPict="0">
                <anchor moveWithCells="1">
                  <from>
                    <xdr:col>4</xdr:col>
                    <xdr:colOff>0</xdr:colOff>
                    <xdr:row>7</xdr:row>
                    <xdr:rowOff>314325</xdr:rowOff>
                  </from>
                  <to>
                    <xdr:col>7</xdr:col>
                    <xdr:colOff>0</xdr:colOff>
                    <xdr:row>9</xdr:row>
                    <xdr:rowOff>0</xdr:rowOff>
                  </to>
                </anchor>
              </controlPr>
            </control>
          </mc:Choice>
        </mc:AlternateContent>
        <mc:AlternateContent xmlns:mc="http://schemas.openxmlformats.org/markup-compatibility/2006">
          <mc:Choice Requires="x14">
            <control shapeId="57353" r:id="rId12" name="Drop Down 9">
              <controlPr locked="0" defaultSize="0" autoLine="0" autoPict="0">
                <anchor moveWithCells="1">
                  <from>
                    <xdr:col>4</xdr:col>
                    <xdr:colOff>0</xdr:colOff>
                    <xdr:row>9</xdr:row>
                    <xdr:rowOff>0</xdr:rowOff>
                  </from>
                  <to>
                    <xdr:col>7</xdr:col>
                    <xdr:colOff>0</xdr:colOff>
                    <xdr:row>10</xdr:row>
                    <xdr:rowOff>0</xdr:rowOff>
                  </to>
                </anchor>
              </controlPr>
            </control>
          </mc:Choice>
        </mc:AlternateContent>
        <mc:AlternateContent xmlns:mc="http://schemas.openxmlformats.org/markup-compatibility/2006">
          <mc:Choice Requires="x14">
            <control shapeId="57354" r:id="rId13" name="Drop Down 10">
              <controlPr locked="0" defaultSize="0" autoLine="0" autoPict="0">
                <anchor moveWithCells="1">
                  <from>
                    <xdr:col>4</xdr:col>
                    <xdr:colOff>0</xdr:colOff>
                    <xdr:row>18</xdr:row>
                    <xdr:rowOff>0</xdr:rowOff>
                  </from>
                  <to>
                    <xdr:col>7</xdr:col>
                    <xdr:colOff>0</xdr:colOff>
                    <xdr:row>19</xdr:row>
                    <xdr:rowOff>0</xdr:rowOff>
                  </to>
                </anchor>
              </controlPr>
            </control>
          </mc:Choice>
        </mc:AlternateContent>
        <mc:AlternateContent xmlns:mc="http://schemas.openxmlformats.org/markup-compatibility/2006">
          <mc:Choice Requires="x14">
            <control shapeId="57355" r:id="rId14" name="Drop Down 11">
              <controlPr locked="0" defaultSize="0" autoLine="0" autoPict="0" macro="[0]!DropDownChild2HasChinaPlaceofIssue_Change">
                <anchor moveWithCells="1">
                  <from>
                    <xdr:col>4</xdr:col>
                    <xdr:colOff>0</xdr:colOff>
                    <xdr:row>20</xdr:row>
                    <xdr:rowOff>257175</xdr:rowOff>
                  </from>
                  <to>
                    <xdr:col>7</xdr:col>
                    <xdr:colOff>0</xdr:colOff>
                    <xdr:row>28</xdr:row>
                    <xdr:rowOff>0</xdr:rowOff>
                  </to>
                </anchor>
              </controlPr>
            </control>
          </mc:Choice>
        </mc:AlternateContent>
        <mc:AlternateContent xmlns:mc="http://schemas.openxmlformats.org/markup-compatibility/2006">
          <mc:Choice Requires="x14">
            <control shapeId="57356" r:id="rId15" name="Drop Down 12">
              <controlPr locked="0" defaultSize="0" autoLine="0" autoPict="0">
                <anchor moveWithCells="1">
                  <from>
                    <xdr:col>4</xdr:col>
                    <xdr:colOff>0</xdr:colOff>
                    <xdr:row>21</xdr:row>
                    <xdr:rowOff>257175</xdr:rowOff>
                  </from>
                  <to>
                    <xdr:col>7</xdr:col>
                    <xdr:colOff>0</xdr:colOff>
                    <xdr:row>28</xdr:row>
                    <xdr:rowOff>0</xdr:rowOff>
                  </to>
                </anchor>
              </controlPr>
            </control>
          </mc:Choice>
        </mc:AlternateContent>
        <mc:AlternateContent xmlns:mc="http://schemas.openxmlformats.org/markup-compatibility/2006">
          <mc:Choice Requires="x14">
            <control shapeId="57357" r:id="rId16" name="Drop Down 13">
              <controlPr locked="0" defaultSize="0" autoLine="0" autoPict="0">
                <anchor moveWithCells="1">
                  <from>
                    <xdr:col>4</xdr:col>
                    <xdr:colOff>0</xdr:colOff>
                    <xdr:row>29</xdr:row>
                    <xdr:rowOff>66675</xdr:rowOff>
                  </from>
                  <to>
                    <xdr:col>7</xdr:col>
                    <xdr:colOff>0</xdr:colOff>
                    <xdr:row>29</xdr:row>
                    <xdr:rowOff>314325</xdr:rowOff>
                  </to>
                </anchor>
              </controlPr>
            </control>
          </mc:Choice>
        </mc:AlternateContent>
        <mc:AlternateContent xmlns:mc="http://schemas.openxmlformats.org/markup-compatibility/2006">
          <mc:Choice Requires="x14">
            <control shapeId="57358" r:id="rId17" name="Drop Down 14">
              <controlPr locked="0" defaultSize="0" autoLine="0" autoPict="0" macro="[0]!YourChild_2.DropDownChildHasNationalIdentityDoc_Change">
                <anchor moveWithCells="1">
                  <from>
                    <xdr:col>4</xdr:col>
                    <xdr:colOff>0</xdr:colOff>
                    <xdr:row>33</xdr:row>
                    <xdr:rowOff>0</xdr:rowOff>
                  </from>
                  <to>
                    <xdr:col>7</xdr:col>
                    <xdr:colOff>0</xdr:colOff>
                    <xdr:row>34</xdr:row>
                    <xdr:rowOff>0</xdr:rowOff>
                  </to>
                </anchor>
              </controlPr>
            </control>
          </mc:Choice>
        </mc:AlternateContent>
        <mc:AlternateContent xmlns:mc="http://schemas.openxmlformats.org/markup-compatibility/2006">
          <mc:Choice Requires="x14">
            <control shapeId="57359" r:id="rId18" name="Drop Down 15">
              <controlPr locked="0" defaultSize="0" autoLine="0" autoPict="0">
                <anchor moveWithCells="1">
                  <from>
                    <xdr:col>4</xdr:col>
                    <xdr:colOff>0</xdr:colOff>
                    <xdr:row>37</xdr:row>
                    <xdr:rowOff>0</xdr:rowOff>
                  </from>
                  <to>
                    <xdr:col>7</xdr:col>
                    <xdr:colOff>0</xdr:colOff>
                    <xdr:row>43</xdr:row>
                    <xdr:rowOff>0</xdr:rowOff>
                  </to>
                </anchor>
              </controlPr>
            </control>
          </mc:Choice>
        </mc:AlternateContent>
        <mc:AlternateContent xmlns:mc="http://schemas.openxmlformats.org/markup-compatibility/2006">
          <mc:Choice Requires="x14">
            <control shapeId="57360" r:id="rId19" name="Drop Down 16">
              <controlPr locked="0" defaultSize="0" autoLine="0" autoPict="0">
                <anchor moveWithCells="1">
                  <from>
                    <xdr:col>4</xdr:col>
                    <xdr:colOff>0</xdr:colOff>
                    <xdr:row>46</xdr:row>
                    <xdr:rowOff>0</xdr:rowOff>
                  </from>
                  <to>
                    <xdr:col>7</xdr:col>
                    <xdr:colOff>0</xdr:colOff>
                    <xdr:row>47</xdr:row>
                    <xdr:rowOff>0</xdr:rowOff>
                  </to>
                </anchor>
              </controlPr>
            </control>
          </mc:Choice>
        </mc:AlternateContent>
        <mc:AlternateContent xmlns:mc="http://schemas.openxmlformats.org/markup-compatibility/2006">
          <mc:Choice Requires="x14">
            <control shapeId="57361" r:id="rId20" name="Drop Down 17">
              <controlPr locked="0" defaultSize="0" autoLine="0" autoPict="0">
                <anchor moveWithCells="1">
                  <from>
                    <xdr:col>4</xdr:col>
                    <xdr:colOff>0</xdr:colOff>
                    <xdr:row>49</xdr:row>
                    <xdr:rowOff>0</xdr:rowOff>
                  </from>
                  <to>
                    <xdr:col>7</xdr:col>
                    <xdr:colOff>0</xdr:colOff>
                    <xdr:row>50</xdr:row>
                    <xdr:rowOff>0</xdr:rowOff>
                  </to>
                </anchor>
              </controlPr>
            </control>
          </mc:Choice>
        </mc:AlternateContent>
        <mc:AlternateContent xmlns:mc="http://schemas.openxmlformats.org/markup-compatibility/2006">
          <mc:Choice Requires="x14">
            <control shapeId="57362" r:id="rId21" name="Drop Down 18">
              <controlPr locked="0" defaultSize="0" autoLine="0" autoPict="0" macro="[0]!YourChild_2.DropDownChildHasOtherNamesOrSpelling_Change">
                <anchor moveWithCells="1">
                  <from>
                    <xdr:col>4</xdr:col>
                    <xdr:colOff>0</xdr:colOff>
                    <xdr:row>52</xdr:row>
                    <xdr:rowOff>66675</xdr:rowOff>
                  </from>
                  <to>
                    <xdr:col>7</xdr:col>
                    <xdr:colOff>0</xdr:colOff>
                    <xdr:row>52</xdr:row>
                    <xdr:rowOff>314325</xdr:rowOff>
                  </to>
                </anchor>
              </controlPr>
            </control>
          </mc:Choice>
        </mc:AlternateContent>
        <mc:AlternateContent xmlns:mc="http://schemas.openxmlformats.org/markup-compatibility/2006">
          <mc:Choice Requires="x14">
            <control shapeId="57363" r:id="rId22" name="Drop Down 19">
              <controlPr locked="0" defaultSize="0" autoLine="0" autoPict="0">
                <anchor moveWithCells="1">
                  <from>
                    <xdr:col>4</xdr:col>
                    <xdr:colOff>0</xdr:colOff>
                    <xdr:row>55</xdr:row>
                    <xdr:rowOff>0</xdr:rowOff>
                  </from>
                  <to>
                    <xdr:col>7</xdr:col>
                    <xdr:colOff>0</xdr:colOff>
                    <xdr:row>59</xdr:row>
                    <xdr:rowOff>0</xdr:rowOff>
                  </to>
                </anchor>
              </controlPr>
            </control>
          </mc:Choice>
        </mc:AlternateContent>
        <mc:AlternateContent xmlns:mc="http://schemas.openxmlformats.org/markup-compatibility/2006">
          <mc:Choice Requires="x14">
            <control shapeId="57364" r:id="rId23" name="Drop Down 20">
              <controlPr locked="0" defaultSize="0" autoLine="0" autoPict="0" macro="[0]!YourChild_2.DropDownChildHasOtherCountryPassport_Change">
                <anchor moveWithCells="1">
                  <from>
                    <xdr:col>4</xdr:col>
                    <xdr:colOff>0</xdr:colOff>
                    <xdr:row>61</xdr:row>
                    <xdr:rowOff>0</xdr:rowOff>
                  </from>
                  <to>
                    <xdr:col>7</xdr:col>
                    <xdr:colOff>0</xdr:colOff>
                    <xdr:row>62</xdr:row>
                    <xdr:rowOff>0</xdr:rowOff>
                  </to>
                </anchor>
              </controlPr>
            </control>
          </mc:Choice>
        </mc:AlternateContent>
        <mc:AlternateContent xmlns:mc="http://schemas.openxmlformats.org/markup-compatibility/2006">
          <mc:Choice Requires="x14">
            <control shapeId="57365" r:id="rId24" name="Drop Down 21">
              <controlPr locked="0" defaultSize="0" autoLine="0" autoPict="0">
                <anchor moveWithCells="1">
                  <from>
                    <xdr:col>4</xdr:col>
                    <xdr:colOff>0</xdr:colOff>
                    <xdr:row>62</xdr:row>
                    <xdr:rowOff>0</xdr:rowOff>
                  </from>
                  <to>
                    <xdr:col>4</xdr:col>
                    <xdr:colOff>1752600</xdr:colOff>
                    <xdr:row>64</xdr:row>
                    <xdr:rowOff>0</xdr:rowOff>
                  </to>
                </anchor>
              </controlPr>
            </control>
          </mc:Choice>
        </mc:AlternateContent>
        <mc:AlternateContent xmlns:mc="http://schemas.openxmlformats.org/markup-compatibility/2006">
          <mc:Choice Requires="x14">
            <control shapeId="57366" r:id="rId25" name="Drop Down 22">
              <controlPr locked="0" defaultSize="0" autoLine="0" autoPict="0">
                <anchor moveWithCells="1">
                  <from>
                    <xdr:col>4</xdr:col>
                    <xdr:colOff>1819275</xdr:colOff>
                    <xdr:row>62</xdr:row>
                    <xdr:rowOff>0</xdr:rowOff>
                  </from>
                  <to>
                    <xdr:col>7</xdr:col>
                    <xdr:colOff>0</xdr:colOff>
                    <xdr:row>64</xdr:row>
                    <xdr:rowOff>0</xdr:rowOff>
                  </to>
                </anchor>
              </controlPr>
            </control>
          </mc:Choice>
        </mc:AlternateContent>
        <mc:AlternateContent xmlns:mc="http://schemas.openxmlformats.org/markup-compatibility/2006">
          <mc:Choice Requires="x14">
            <control shapeId="57367" r:id="rId26" name="Drop Down 23">
              <controlPr locked="0" defaultSize="0" autoLine="0" autoPict="0">
                <anchor moveWithCells="1">
                  <from>
                    <xdr:col>4</xdr:col>
                    <xdr:colOff>0</xdr:colOff>
                    <xdr:row>66</xdr:row>
                    <xdr:rowOff>0</xdr:rowOff>
                  </from>
                  <to>
                    <xdr:col>7</xdr:col>
                    <xdr:colOff>0</xdr:colOff>
                    <xdr:row>78</xdr:row>
                    <xdr:rowOff>0</xdr:rowOff>
                  </to>
                </anchor>
              </controlPr>
            </control>
          </mc:Choice>
        </mc:AlternateContent>
        <mc:AlternateContent xmlns:mc="http://schemas.openxmlformats.org/markup-compatibility/2006">
          <mc:Choice Requires="x14">
            <control shapeId="57368" r:id="rId27" name="Drop Down 24">
              <controlPr locked="0" defaultSize="0" autoLine="0" autoPict="0">
                <anchor moveWithCells="1">
                  <from>
                    <xdr:col>4</xdr:col>
                    <xdr:colOff>0</xdr:colOff>
                    <xdr:row>69</xdr:row>
                    <xdr:rowOff>0</xdr:rowOff>
                  </from>
                  <to>
                    <xdr:col>7</xdr:col>
                    <xdr:colOff>0</xdr:colOff>
                    <xdr:row>78</xdr:row>
                    <xdr:rowOff>0</xdr:rowOff>
                  </to>
                </anchor>
              </controlPr>
            </control>
          </mc:Choice>
        </mc:AlternateContent>
        <mc:AlternateContent xmlns:mc="http://schemas.openxmlformats.org/markup-compatibility/2006">
          <mc:Choice Requires="x14">
            <control shapeId="57369" r:id="rId28" name="Drop Down 25">
              <controlPr locked="0" defaultSize="0" autoLine="0" autoPict="0">
                <anchor moveWithCells="1">
                  <from>
                    <xdr:col>4</xdr:col>
                    <xdr:colOff>0</xdr:colOff>
                    <xdr:row>71</xdr:row>
                    <xdr:rowOff>257175</xdr:rowOff>
                  </from>
                  <to>
                    <xdr:col>7</xdr:col>
                    <xdr:colOff>0</xdr:colOff>
                    <xdr:row>78</xdr:row>
                    <xdr:rowOff>0</xdr:rowOff>
                  </to>
                </anchor>
              </controlPr>
            </control>
          </mc:Choice>
        </mc:AlternateContent>
        <mc:AlternateContent xmlns:mc="http://schemas.openxmlformats.org/markup-compatibility/2006">
          <mc:Choice Requires="x14">
            <control shapeId="57370" r:id="rId29" name="Drop Down 26">
              <controlPr locked="0" defaultSize="0" autoLine="0" autoPict="0">
                <anchor moveWithCells="1">
                  <from>
                    <xdr:col>4</xdr:col>
                    <xdr:colOff>0</xdr:colOff>
                    <xdr:row>73</xdr:row>
                    <xdr:rowOff>0</xdr:rowOff>
                  </from>
                  <to>
                    <xdr:col>7</xdr:col>
                    <xdr:colOff>0</xdr:colOff>
                    <xdr:row>78</xdr:row>
                    <xdr:rowOff>0</xdr:rowOff>
                  </to>
                </anchor>
              </controlPr>
            </control>
          </mc:Choice>
        </mc:AlternateContent>
        <mc:AlternateContent xmlns:mc="http://schemas.openxmlformats.org/markup-compatibility/2006">
          <mc:Choice Requires="x14">
            <control shapeId="57371" r:id="rId30" name="Drop Down 27">
              <controlPr locked="0" defaultSize="0" autoLine="0" autoPict="0" macro="[0]!YourChild_2.DropDownChildHasOtherIdentityDoc_Change">
                <anchor moveWithCells="1">
                  <from>
                    <xdr:col>4</xdr:col>
                    <xdr:colOff>0</xdr:colOff>
                    <xdr:row>79</xdr:row>
                    <xdr:rowOff>0</xdr:rowOff>
                  </from>
                  <to>
                    <xdr:col>7</xdr:col>
                    <xdr:colOff>0</xdr:colOff>
                    <xdr:row>80</xdr:row>
                    <xdr:rowOff>0</xdr:rowOff>
                  </to>
                </anchor>
              </controlPr>
            </control>
          </mc:Choice>
        </mc:AlternateContent>
        <mc:AlternateContent xmlns:mc="http://schemas.openxmlformats.org/markup-compatibility/2006">
          <mc:Choice Requires="x14">
            <control shapeId="57372" r:id="rId31" name="Drop Down 28">
              <controlPr locked="0" defaultSize="0" autoLine="0" autoPict="0">
                <anchor moveWithCells="1">
                  <from>
                    <xdr:col>4</xdr:col>
                    <xdr:colOff>0</xdr:colOff>
                    <xdr:row>81</xdr:row>
                    <xdr:rowOff>257175</xdr:rowOff>
                  </from>
                  <to>
                    <xdr:col>7</xdr:col>
                    <xdr:colOff>0</xdr:colOff>
                    <xdr:row>86</xdr:row>
                    <xdr:rowOff>0</xdr:rowOff>
                  </to>
                </anchor>
              </controlPr>
            </control>
          </mc:Choice>
        </mc:AlternateContent>
        <mc:AlternateContent xmlns:mc="http://schemas.openxmlformats.org/markup-compatibility/2006">
          <mc:Choice Requires="x14">
            <control shapeId="57373" r:id="rId32" name="Drop Down 29">
              <controlPr locked="0" defaultSize="0" autoLine="0" autoPict="0">
                <anchor moveWithCells="1">
                  <from>
                    <xdr:col>4</xdr:col>
                    <xdr:colOff>0</xdr:colOff>
                    <xdr:row>83</xdr:row>
                    <xdr:rowOff>257175</xdr:rowOff>
                  </from>
                  <to>
                    <xdr:col>7</xdr:col>
                    <xdr:colOff>0</xdr:colOff>
                    <xdr:row>86</xdr:row>
                    <xdr:rowOff>0</xdr:rowOff>
                  </to>
                </anchor>
              </controlPr>
            </control>
          </mc:Choice>
        </mc:AlternateContent>
        <mc:AlternateContent xmlns:mc="http://schemas.openxmlformats.org/markup-compatibility/2006">
          <mc:Choice Requires="x14">
            <control shapeId="57374" r:id="rId33" name="Drop Down 30">
              <controlPr locked="0" defaultSize="0" autoLine="0" autoPict="0">
                <anchor moveWithCells="1">
                  <from>
                    <xdr:col>4</xdr:col>
                    <xdr:colOff>0</xdr:colOff>
                    <xdr:row>5</xdr:row>
                    <xdr:rowOff>0</xdr:rowOff>
                  </from>
                  <to>
                    <xdr:col>7</xdr:col>
                    <xdr:colOff>0</xdr:colOff>
                    <xdr:row>6</xdr:row>
                    <xdr:rowOff>0</xdr:rowOff>
                  </to>
                </anchor>
              </controlPr>
            </control>
          </mc:Choice>
        </mc:AlternateContent>
        <mc:AlternateContent xmlns:mc="http://schemas.openxmlformats.org/markup-compatibility/2006">
          <mc:Choice Requires="x14">
            <control shapeId="57375" r:id="rId34" name="Drop Down 31">
              <controlPr locked="0" defaultSize="0" autoLine="0" autoPict="0" macro="[0]!DropDownChild2HasCurrentPassport_Change">
                <anchor moveWithCells="1">
                  <from>
                    <xdr:col>4</xdr:col>
                    <xdr:colOff>0</xdr:colOff>
                    <xdr:row>14</xdr:row>
                    <xdr:rowOff>0</xdr:rowOff>
                  </from>
                  <to>
                    <xdr:col>7</xdr:col>
                    <xdr:colOff>0</xdr:colOff>
                    <xdr:row>15</xdr:row>
                    <xdr:rowOff>0</xdr:rowOff>
                  </to>
                </anchor>
              </controlPr>
            </control>
          </mc:Choice>
        </mc:AlternateContent>
        <mc:AlternateContent xmlns:mc="http://schemas.openxmlformats.org/markup-compatibility/2006">
          <mc:Choice Requires="x14">
            <control shapeId="57376" r:id="rId35" name="Drop Down 32">
              <controlPr locked="0" defaultSize="0" autoLine="0" autoPict="0" macro="[0]!DropDownChildHasCurrentPassport_Change">
                <anchor moveWithCells="1">
                  <from>
                    <xdr:col>4</xdr:col>
                    <xdr:colOff>0</xdr:colOff>
                    <xdr:row>15</xdr:row>
                    <xdr:rowOff>0</xdr:rowOff>
                  </from>
                  <to>
                    <xdr:col>7</xdr:col>
                    <xdr:colOff>0</xdr:colOff>
                    <xdr:row>17</xdr:row>
                    <xdr:rowOff>0</xdr:rowOff>
                  </to>
                </anchor>
              </controlPr>
            </control>
          </mc:Choice>
        </mc:AlternateContent>
        <mc:AlternateContent xmlns:mc="http://schemas.openxmlformats.org/markup-compatibility/2006">
          <mc:Choice Requires="x14">
            <control shapeId="57377" r:id="rId36" name="Drop Down 33">
              <controlPr locked="0" defaultSize="0" autoLine="0" autoPict="0">
                <anchor moveWithCells="1">
                  <from>
                    <xdr:col>4</xdr:col>
                    <xdr:colOff>9525</xdr:colOff>
                    <xdr:row>25</xdr:row>
                    <xdr:rowOff>0</xdr:rowOff>
                  </from>
                  <to>
                    <xdr:col>7</xdr:col>
                    <xdr:colOff>9525</xdr:colOff>
                    <xdr:row>26</xdr:row>
                    <xdr:rowOff>0</xdr:rowOff>
                  </to>
                </anchor>
              </controlPr>
            </control>
          </mc:Choice>
        </mc:AlternateContent>
        <mc:AlternateContent xmlns:mc="http://schemas.openxmlformats.org/markup-compatibility/2006">
          <mc:Choice Requires="x14">
            <control shapeId="57378" r:id="rId37" name="Drop Down 34">
              <controlPr locked="0" defaultSize="0" autoLine="0" autoPict="0" macro="[0]!DropDownChild2HasCurrentPassport_Change">
                <anchor moveWithCells="1">
                  <from>
                    <xdr:col>4</xdr:col>
                    <xdr:colOff>0</xdr:colOff>
                    <xdr:row>15</xdr:row>
                    <xdr:rowOff>0</xdr:rowOff>
                  </from>
                  <to>
                    <xdr:col>7</xdr:col>
                    <xdr:colOff>0</xdr:colOff>
                    <xdr:row>17</xdr:row>
                    <xdr:rowOff>0</xdr:rowOff>
                  </to>
                </anchor>
              </controlPr>
            </control>
          </mc:Choice>
        </mc:AlternateContent>
        <mc:AlternateContent xmlns:mc="http://schemas.openxmlformats.org/markup-compatibility/2006">
          <mc:Choice Requires="x14">
            <control shapeId="57379" r:id="rId38" name="Drop Down 35">
              <controlPr locked="0" defaultSize="0" autoLine="0" autoPict="0">
                <anchor moveWithCells="1">
                  <from>
                    <xdr:col>4</xdr:col>
                    <xdr:colOff>0</xdr:colOff>
                    <xdr:row>25</xdr:row>
                    <xdr:rowOff>0</xdr:rowOff>
                  </from>
                  <to>
                    <xdr:col>7</xdr:col>
                    <xdr:colOff>9525</xdr:colOff>
                    <xdr:row>28</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2">
    <tabColor theme="8" tint="0.59999389629810485"/>
    <pageSetUpPr fitToPage="1"/>
  </sheetPr>
  <dimension ref="A1:P134"/>
  <sheetViews>
    <sheetView showGridLines="0" showRowColHeaders="0" topLeftCell="C2" workbookViewId="0">
      <selection activeCell="D3" sqref="D3"/>
    </sheetView>
  </sheetViews>
  <sheetFormatPr defaultColWidth="9.33203125" defaultRowHeight="12.75"/>
  <cols>
    <col min="1" max="1" width="7.33203125" style="32" hidden="1" customWidth="1"/>
    <col min="2" max="2" width="13.6640625" style="32" hidden="1" customWidth="1"/>
    <col min="3" max="3" width="3.83203125" style="32" customWidth="1"/>
    <col min="4" max="4" width="50.83203125" style="32" customWidth="1"/>
    <col min="5" max="5" width="40.83203125" style="32" customWidth="1"/>
    <col min="6" max="7" width="10.83203125" style="32" customWidth="1"/>
    <col min="8" max="8" width="3.83203125" style="32" customWidth="1"/>
    <col min="9" max="9" width="9.33203125" style="32" customWidth="1"/>
    <col min="10" max="12" width="9.33203125" style="32" hidden="1" customWidth="1"/>
    <col min="13" max="13" width="71.33203125" style="32" hidden="1" customWidth="1"/>
    <col min="14" max="15" width="9.33203125" style="32" hidden="1" customWidth="1"/>
    <col min="16" max="16" width="9.33203125" style="32" customWidth="1"/>
    <col min="17" max="16384" width="9.33203125" style="32"/>
  </cols>
  <sheetData>
    <row r="1" spans="1:15" ht="39.950000000000003" customHeight="1">
      <c r="B1" s="106"/>
      <c r="G1" s="86"/>
      <c r="J1" s="4" t="s">
        <v>1960</v>
      </c>
      <c r="K1" s="4" t="s">
        <v>1960</v>
      </c>
      <c r="L1" s="4" t="s">
        <v>1960</v>
      </c>
      <c r="M1" s="4" t="s">
        <v>1960</v>
      </c>
      <c r="N1" s="4" t="s">
        <v>1960</v>
      </c>
      <c r="O1" s="4" t="s">
        <v>1960</v>
      </c>
    </row>
    <row r="2" spans="1:15" s="78" customFormat="1" ht="39.950000000000003" customHeight="1">
      <c r="B2" s="159"/>
      <c r="D2" s="212" t="s">
        <v>8</v>
      </c>
      <c r="E2" s="212"/>
      <c r="F2" s="212"/>
      <c r="G2" s="212"/>
      <c r="J2" s="79" t="s">
        <v>1965</v>
      </c>
      <c r="K2" s="79"/>
      <c r="L2" s="79"/>
      <c r="M2" s="79"/>
      <c r="N2" s="79"/>
      <c r="O2" s="79"/>
    </row>
    <row r="3" spans="1:15" ht="30" customHeight="1">
      <c r="B3" s="106"/>
      <c r="D3" s="120" t="s">
        <v>40</v>
      </c>
      <c r="F3" s="88"/>
      <c r="G3" s="88" t="s">
        <v>1224</v>
      </c>
      <c r="J3" s="4" t="s">
        <v>1961</v>
      </c>
      <c r="K3" s="4" t="s">
        <v>1962</v>
      </c>
      <c r="L3" s="4" t="s">
        <v>1963</v>
      </c>
      <c r="M3" s="4" t="s">
        <v>1964</v>
      </c>
      <c r="N3" s="4"/>
      <c r="O3" s="4"/>
    </row>
    <row r="4" spans="1:15" ht="30" customHeight="1">
      <c r="B4" s="106"/>
      <c r="C4" s="70"/>
      <c r="D4" s="184" t="s">
        <v>1914</v>
      </c>
      <c r="E4" s="184"/>
      <c r="F4" s="184"/>
      <c r="G4" s="184"/>
      <c r="H4" s="70"/>
      <c r="J4" s="4"/>
      <c r="K4" s="125">
        <f>IF(N4=O4,1,0)</f>
        <v>1</v>
      </c>
      <c r="L4" s="4"/>
      <c r="M4" s="4"/>
      <c r="N4" s="4">
        <f>SUM(N6:N100)</f>
        <v>0</v>
      </c>
      <c r="O4" s="4">
        <f>SUM(O6:O100)</f>
        <v>0</v>
      </c>
    </row>
    <row r="5" spans="1:15" ht="20.100000000000001" customHeight="1">
      <c r="B5" s="106"/>
      <c r="D5" s="5"/>
      <c r="E5" s="5"/>
      <c r="J5" s="4"/>
      <c r="K5" s="4"/>
      <c r="L5" s="4"/>
      <c r="M5" s="4"/>
      <c r="N5" s="4"/>
      <c r="O5" s="4"/>
    </row>
    <row r="6" spans="1:15" s="1" customFormat="1" ht="20.100000000000001" customHeight="1">
      <c r="A6" s="112"/>
      <c r="B6" s="112">
        <v>1</v>
      </c>
      <c r="C6" s="74" t="s">
        <v>1912</v>
      </c>
      <c r="D6" s="61" t="s">
        <v>88</v>
      </c>
      <c r="E6" s="293"/>
      <c r="F6" s="294"/>
      <c r="G6" s="295"/>
      <c r="J6" s="6">
        <f>IF(applicantDetails!$B$20&gt;3,child_1!$J$6,0)</f>
        <v>0</v>
      </c>
      <c r="K6" s="129">
        <f>IF(B6=1,0,1)</f>
        <v>0</v>
      </c>
      <c r="L6" s="127">
        <f>IF(J6,B6,1)</f>
        <v>1</v>
      </c>
      <c r="M6" s="52" t="str">
        <f>formData!B257</f>
        <v>ACCOMPANYING_CHILD3_RELATIONSHIP_TO_PRIMARY_APPLICANT</v>
      </c>
      <c r="N6" s="6">
        <f>IF(J6=1,1,0)</f>
        <v>0</v>
      </c>
      <c r="O6" s="6">
        <f>+J6*K6</f>
        <v>0</v>
      </c>
    </row>
    <row r="7" spans="1:15" ht="20.100000000000001" customHeight="1">
      <c r="A7" s="106"/>
      <c r="B7" s="106"/>
      <c r="D7" s="5"/>
      <c r="E7" s="5"/>
      <c r="J7" s="32">
        <f>J6</f>
        <v>0</v>
      </c>
      <c r="M7" s="52"/>
      <c r="N7" s="6"/>
      <c r="O7" s="6"/>
    </row>
    <row r="8" spans="1:15" ht="24.95" customHeight="1">
      <c r="A8" s="106"/>
      <c r="B8" s="106"/>
      <c r="C8" s="74" t="s">
        <v>1912</v>
      </c>
      <c r="D8" s="256" t="s">
        <v>44</v>
      </c>
      <c r="E8" s="284"/>
      <c r="F8" s="284"/>
      <c r="G8" s="285"/>
      <c r="J8" s="6"/>
      <c r="K8" s="6"/>
      <c r="L8" s="6"/>
      <c r="M8" s="52"/>
      <c r="N8" s="6">
        <f t="shared" ref="N8:N24" si="0">IF(J8=1,1,0)</f>
        <v>0</v>
      </c>
      <c r="O8" s="6">
        <f t="shared" ref="O8:O24" si="1">+J8*K8</f>
        <v>0</v>
      </c>
    </row>
    <row r="9" spans="1:15" s="34" customFormat="1" ht="20.100000000000001" customHeight="1">
      <c r="A9" s="113"/>
      <c r="B9" s="113">
        <v>1</v>
      </c>
      <c r="C9" s="74" t="s">
        <v>1912</v>
      </c>
      <c r="D9" s="7" t="s">
        <v>57</v>
      </c>
      <c r="E9" s="240"/>
      <c r="F9" s="241"/>
      <c r="G9" s="242"/>
      <c r="J9" s="6">
        <f t="shared" ref="J9:J10" si="2">IF($C9="*",IF($A9="Hide",0,$J$7),0)</f>
        <v>0</v>
      </c>
      <c r="K9" s="129">
        <f>IF(B9=1,0,1)</f>
        <v>0</v>
      </c>
      <c r="L9" s="127">
        <f>IF(A9="Hide",1,IF($J$7=1,B9,1))</f>
        <v>1</v>
      </c>
      <c r="M9" s="52" t="str">
        <f>formData!B258</f>
        <v>ACCOMPANYING_CHILD3_CURRENT_LOCATION_COUNTRY</v>
      </c>
      <c r="N9" s="6">
        <f t="shared" si="0"/>
        <v>0</v>
      </c>
      <c r="O9" s="6">
        <f t="shared" si="1"/>
        <v>0</v>
      </c>
    </row>
    <row r="10" spans="1:15" s="34" customFormat="1" ht="20.100000000000001" customHeight="1">
      <c r="A10" s="113"/>
      <c r="B10" s="113">
        <v>1</v>
      </c>
      <c r="C10" s="74" t="s">
        <v>1912</v>
      </c>
      <c r="D10" s="7" t="s">
        <v>58</v>
      </c>
      <c r="E10" s="240"/>
      <c r="F10" s="241"/>
      <c r="G10" s="242"/>
      <c r="J10" s="6">
        <f t="shared" si="2"/>
        <v>0</v>
      </c>
      <c r="K10" s="129">
        <f>IF(B10=1,0,1)</f>
        <v>0</v>
      </c>
      <c r="L10" s="127">
        <f>IF(A10="Hide",1,IF($J$7=1,B10,1))</f>
        <v>1</v>
      </c>
      <c r="M10" s="52" t="str">
        <f>formData!B259</f>
        <v>ACCOMPANYING_CHILD3_CURRENT_LOCATION_LEGAL_STATUS</v>
      </c>
      <c r="N10" s="6">
        <f t="shared" si="0"/>
        <v>0</v>
      </c>
      <c r="O10" s="6">
        <f t="shared" si="1"/>
        <v>0</v>
      </c>
    </row>
    <row r="11" spans="1:15" s="34" customFormat="1" ht="20.100000000000001" customHeight="1">
      <c r="A11" s="113"/>
      <c r="B11" s="113"/>
      <c r="D11" s="296" t="s">
        <v>66</v>
      </c>
      <c r="E11" s="297"/>
      <c r="F11" s="297"/>
      <c r="G11" s="298"/>
      <c r="J11" s="6"/>
      <c r="K11" s="6"/>
      <c r="L11" s="6"/>
      <c r="M11" s="52"/>
      <c r="N11" s="6">
        <f t="shared" si="0"/>
        <v>0</v>
      </c>
      <c r="O11" s="6">
        <f t="shared" si="1"/>
        <v>0</v>
      </c>
    </row>
    <row r="12" spans="1:15" s="34" customFormat="1" ht="60" customHeight="1">
      <c r="A12" s="113"/>
      <c r="B12" s="113"/>
      <c r="D12" s="270"/>
      <c r="E12" s="271"/>
      <c r="F12" s="271"/>
      <c r="G12" s="272"/>
      <c r="J12" s="157">
        <f t="shared" ref="J12" si="3">IF($C12="*",IF($A12="Hide",0,$J$7),0)</f>
        <v>0</v>
      </c>
      <c r="K12" s="158">
        <f>IF(LEN(D12)=0,0,1)</f>
        <v>0</v>
      </c>
      <c r="L12" s="157">
        <f>IF(A12="Hide",0,IF($J$7=1,D12,0))</f>
        <v>0</v>
      </c>
      <c r="M12" s="52" t="str">
        <f>formData!B260</f>
        <v>ACCOMPANYING_CHILD3_CURRENT_LOCATION_GIVE_DETAILS</v>
      </c>
      <c r="N12" s="6">
        <f t="shared" si="0"/>
        <v>0</v>
      </c>
      <c r="O12" s="6">
        <f t="shared" si="1"/>
        <v>0</v>
      </c>
    </row>
    <row r="13" spans="1:15" s="34" customFormat="1" ht="20.100000000000001" customHeight="1">
      <c r="A13" s="113"/>
      <c r="B13" s="113"/>
      <c r="D13" s="10"/>
      <c r="E13" s="65"/>
      <c r="N13" s="6">
        <f t="shared" si="0"/>
        <v>0</v>
      </c>
      <c r="O13" s="6">
        <f t="shared" si="1"/>
        <v>0</v>
      </c>
    </row>
    <row r="14" spans="1:15" ht="24.95" customHeight="1">
      <c r="A14" s="106"/>
      <c r="B14" s="106"/>
      <c r="C14" s="74" t="s">
        <v>1912</v>
      </c>
      <c r="D14" s="256" t="s">
        <v>46</v>
      </c>
      <c r="E14" s="284"/>
      <c r="F14" s="284"/>
      <c r="G14" s="285"/>
      <c r="N14" s="6">
        <f t="shared" si="0"/>
        <v>0</v>
      </c>
      <c r="O14" s="6">
        <f t="shared" si="1"/>
        <v>0</v>
      </c>
    </row>
    <row r="15" spans="1:15" ht="19.5" customHeight="1">
      <c r="A15" s="106"/>
      <c r="B15" s="106">
        <v>1</v>
      </c>
      <c r="C15" s="74" t="s">
        <v>1912</v>
      </c>
      <c r="D15" s="31" t="s">
        <v>1992</v>
      </c>
      <c r="E15" s="278"/>
      <c r="F15" s="279"/>
      <c r="G15" s="280"/>
      <c r="J15" s="6">
        <f t="shared" ref="J15:J16" si="4">IF($C15="*",IF($A15="Hide",0,$J$7),0)</f>
        <v>0</v>
      </c>
      <c r="K15" s="129">
        <f>IF(B15=1,0,1)</f>
        <v>0</v>
      </c>
      <c r="L15" s="127">
        <f>IF(A15="Hide",1,IF($J$7=1,B15,1))</f>
        <v>1</v>
      </c>
      <c r="M15" s="131" t="str">
        <f>formData!B261</f>
        <v>ACCOMPANYING_CHILD3_PASSPORT_DETAILS_OVER_FIVE_YEARS_OF_AGE</v>
      </c>
      <c r="N15" s="6">
        <f>IF(J15=1,1,0)</f>
        <v>0</v>
      </c>
      <c r="O15" s="6">
        <f>+J15*K15</f>
        <v>0</v>
      </c>
    </row>
    <row r="16" spans="1:15" ht="19.5" hidden="1" customHeight="1">
      <c r="A16" s="106" t="str">
        <f>IF($B$15=3,"Show","HIDE")</f>
        <v>HIDE</v>
      </c>
      <c r="B16" s="106">
        <v>1</v>
      </c>
      <c r="C16" s="74" t="s">
        <v>1912</v>
      </c>
      <c r="D16" s="31" t="s">
        <v>1994</v>
      </c>
      <c r="E16" s="176"/>
      <c r="F16" s="177"/>
      <c r="G16" s="178"/>
      <c r="J16" s="6">
        <f t="shared" si="4"/>
        <v>0</v>
      </c>
      <c r="K16" s="129">
        <f>IF(B16=1,0,1)</f>
        <v>0</v>
      </c>
      <c r="L16" s="127">
        <f>IF(A16="Hide",1,IF($J$7=1,B16,1))</f>
        <v>1</v>
      </c>
      <c r="M16" s="131" t="str">
        <f>formData!B262</f>
        <v>ACCOMPANYING_CHILD3_PASSPORT_DETAILS_CURRENT_PASSPORT</v>
      </c>
      <c r="N16" s="6">
        <f>IF(J16=1,1,0)</f>
        <v>0</v>
      </c>
      <c r="O16" s="6">
        <f t="shared" ref="O16" si="5">+J16*K16</f>
        <v>0</v>
      </c>
    </row>
    <row r="17" spans="1:16" s="34" customFormat="1" ht="20.100000000000001" customHeight="1">
      <c r="A17" s="113"/>
      <c r="B17" s="113"/>
      <c r="C17" s="74" t="s">
        <v>1912</v>
      </c>
      <c r="D17" s="7" t="s">
        <v>12</v>
      </c>
      <c r="E17" s="278">
        <f>applicantDetails!E31</f>
        <v>0</v>
      </c>
      <c r="F17" s="279"/>
      <c r="G17" s="280"/>
      <c r="J17" s="6">
        <f t="shared" ref="J17:J27" si="6">IF($C17="*",IF($A17="Hide",0,$J$7),0)</f>
        <v>0</v>
      </c>
      <c r="K17" s="130">
        <f>IF(LEN(E17)=0,0,1)</f>
        <v>1</v>
      </c>
      <c r="L17" s="126">
        <f>IF(A17="Hide",0,IF($J$7=1,E17,0))</f>
        <v>0</v>
      </c>
      <c r="M17" s="52" t="str">
        <f>formData!B263</f>
        <v>ACCOMPANYING_CHILD3_PASSPORT_DETAILS_FAMILY_NAME</v>
      </c>
      <c r="N17" s="6">
        <f t="shared" si="0"/>
        <v>0</v>
      </c>
      <c r="O17" s="6">
        <f t="shared" si="1"/>
        <v>0</v>
      </c>
    </row>
    <row r="18" spans="1:16" s="34" customFormat="1" ht="20.100000000000001" customHeight="1">
      <c r="A18" s="113"/>
      <c r="B18" s="113"/>
      <c r="C18" s="74" t="s">
        <v>1912</v>
      </c>
      <c r="D18" s="7" t="s">
        <v>13</v>
      </c>
      <c r="E18" s="278">
        <f>applicantDetails!E32</f>
        <v>0</v>
      </c>
      <c r="F18" s="279"/>
      <c r="G18" s="280"/>
      <c r="J18" s="6">
        <f t="shared" si="6"/>
        <v>0</v>
      </c>
      <c r="K18" s="130">
        <f>IF(LEN(E18)=0,0,1)</f>
        <v>1</v>
      </c>
      <c r="L18" s="126">
        <f>IF(A18="Hide",0,IF($J$7=1,E18,0))</f>
        <v>0</v>
      </c>
      <c r="M18" s="52" t="str">
        <f>formData!B264</f>
        <v>ACCOMPANYING_CHILD3_PASSPORT_DETAILS_GIVEN NAMES</v>
      </c>
      <c r="N18" s="6">
        <f t="shared" si="0"/>
        <v>0</v>
      </c>
      <c r="O18" s="6">
        <f t="shared" si="1"/>
        <v>0</v>
      </c>
    </row>
    <row r="19" spans="1:16" s="34" customFormat="1" ht="20.100000000000001" customHeight="1">
      <c r="A19" s="113"/>
      <c r="B19" s="113">
        <v>1</v>
      </c>
      <c r="C19" s="74" t="s">
        <v>1912</v>
      </c>
      <c r="D19" s="7" t="s">
        <v>14</v>
      </c>
      <c r="E19" s="62"/>
      <c r="F19" s="63"/>
      <c r="G19" s="64"/>
      <c r="J19" s="6">
        <f t="shared" si="6"/>
        <v>0</v>
      </c>
      <c r="K19" s="129">
        <f>IF(B19=1,0,1)</f>
        <v>0</v>
      </c>
      <c r="L19" s="127">
        <f>IF(A19="Hide",1,IF($J$7=1,B19,1))</f>
        <v>1</v>
      </c>
      <c r="M19" s="52" t="str">
        <f>formData!B265</f>
        <v>ACCOMPANYING_CHILD3_PASSPORT_DETAILS_SEX</v>
      </c>
      <c r="N19" s="6">
        <f t="shared" si="0"/>
        <v>0</v>
      </c>
      <c r="O19" s="6">
        <f t="shared" si="1"/>
        <v>0</v>
      </c>
    </row>
    <row r="20" spans="1:16" s="34" customFormat="1" ht="20.100000000000001" customHeight="1">
      <c r="A20" s="113"/>
      <c r="B20" s="113"/>
      <c r="C20" s="74" t="s">
        <v>1912</v>
      </c>
      <c r="D20" s="31" t="s">
        <v>1976</v>
      </c>
      <c r="E20" s="219"/>
      <c r="F20" s="220"/>
      <c r="G20" s="221"/>
      <c r="J20" s="6">
        <f t="shared" si="6"/>
        <v>0</v>
      </c>
      <c r="K20" s="130">
        <f>IF(LEN(E20)=0,0,1)</f>
        <v>0</v>
      </c>
      <c r="L20" s="126">
        <f>IF(A20="Hide",0,IF($J$7=1,E20,0))</f>
        <v>0</v>
      </c>
      <c r="M20" s="52" t="str">
        <f>formData!B266</f>
        <v>ACCOMPANYING_CHILD3_PASSPORT_DETAILS_DATE_OF_BIRTH</v>
      </c>
      <c r="N20" s="6">
        <f t="shared" si="0"/>
        <v>0</v>
      </c>
      <c r="O20" s="6">
        <f t="shared" si="1"/>
        <v>0</v>
      </c>
    </row>
    <row r="21" spans="1:16" s="34" customFormat="1" ht="20.100000000000001" hidden="1" customHeight="1">
      <c r="A21" s="106" t="str">
        <f>IF(OR($B$15=2,AND($B$15=3,$B$16=2)),"Show","HIDE")</f>
        <v>HIDE</v>
      </c>
      <c r="B21" s="113"/>
      <c r="C21" s="74" t="s">
        <v>1912</v>
      </c>
      <c r="D21" s="7" t="s">
        <v>15</v>
      </c>
      <c r="E21" s="234"/>
      <c r="F21" s="235"/>
      <c r="G21" s="236"/>
      <c r="J21" s="6">
        <f t="shared" si="6"/>
        <v>0</v>
      </c>
      <c r="K21" s="130">
        <f>IF(LEN(E21)=0,0,1)</f>
        <v>0</v>
      </c>
      <c r="L21" s="126">
        <f>IF(A21="Hide",0,IF($J$7=1,E21,0))</f>
        <v>0</v>
      </c>
      <c r="M21" s="52" t="str">
        <f>formData!B267</f>
        <v>ACCOMPANYING_CHILD3_PASSPORT_DETAILS_PASSPORT_NUMBER</v>
      </c>
      <c r="N21" s="6">
        <f t="shared" si="0"/>
        <v>0</v>
      </c>
      <c r="O21" s="6">
        <f t="shared" si="1"/>
        <v>0</v>
      </c>
    </row>
    <row r="22" spans="1:16" s="34" customFormat="1" ht="20.100000000000001" hidden="1" customHeight="1">
      <c r="A22" s="113" t="str">
        <f>A21</f>
        <v>HIDE</v>
      </c>
      <c r="B22" s="113">
        <v>1</v>
      </c>
      <c r="C22" s="74" t="s">
        <v>1912</v>
      </c>
      <c r="D22" s="7" t="s">
        <v>16</v>
      </c>
      <c r="E22" s="281"/>
      <c r="F22" s="282"/>
      <c r="G22" s="283"/>
      <c r="J22" s="6">
        <f t="shared" si="6"/>
        <v>0</v>
      </c>
      <c r="K22" s="129">
        <f>IF(B22=1,0,1)</f>
        <v>0</v>
      </c>
      <c r="L22" s="127">
        <f>IF(A22="Hide",1,IF($J$7=1,B22,1))</f>
        <v>1</v>
      </c>
      <c r="M22" s="52" t="str">
        <f>formData!B268</f>
        <v>ACCOMPANYING_CHILD3_PASSPORT_DETAILS_COUNTRY_OF_PASSPORT</v>
      </c>
      <c r="N22" s="6">
        <f t="shared" si="0"/>
        <v>0</v>
      </c>
      <c r="O22" s="6">
        <f t="shared" si="1"/>
        <v>0</v>
      </c>
    </row>
    <row r="23" spans="1:16" s="34" customFormat="1" ht="20.100000000000001" hidden="1" customHeight="1">
      <c r="A23" s="113" t="str">
        <f>A22</f>
        <v>HIDE</v>
      </c>
      <c r="B23" s="113">
        <v>1</v>
      </c>
      <c r="C23" s="74" t="s">
        <v>1912</v>
      </c>
      <c r="D23" s="7" t="s">
        <v>17</v>
      </c>
      <c r="E23" s="281"/>
      <c r="F23" s="282"/>
      <c r="G23" s="283"/>
      <c r="J23" s="6">
        <f t="shared" si="6"/>
        <v>0</v>
      </c>
      <c r="K23" s="129">
        <f>IF(B23=1,0,1)</f>
        <v>0</v>
      </c>
      <c r="L23" s="127">
        <f>IF(A23="Hide",1,IF($J$7=1,B23,1))</f>
        <v>1</v>
      </c>
      <c r="M23" s="52" t="str">
        <f>formData!B269</f>
        <v>ACCOMPANYING_CHILD3_PASSPORT_DETAILS_NATIONALITY_OF_PASSPORT_HOLDER</v>
      </c>
      <c r="N23" s="6">
        <f t="shared" si="0"/>
        <v>0</v>
      </c>
      <c r="O23" s="6">
        <f t="shared" si="1"/>
        <v>0</v>
      </c>
    </row>
    <row r="24" spans="1:16" s="34" customFormat="1" ht="20.100000000000001" hidden="1" customHeight="1">
      <c r="A24" s="113" t="str">
        <f>A23</f>
        <v>HIDE</v>
      </c>
      <c r="B24" s="113"/>
      <c r="C24" s="74" t="s">
        <v>1912</v>
      </c>
      <c r="D24" s="31" t="s">
        <v>1973</v>
      </c>
      <c r="E24" s="219"/>
      <c r="F24" s="220"/>
      <c r="G24" s="221"/>
      <c r="J24" s="6">
        <f t="shared" si="6"/>
        <v>0</v>
      </c>
      <c r="K24" s="130">
        <f>IF(LEN(E24)=0,0,1)</f>
        <v>0</v>
      </c>
      <c r="L24" s="126">
        <f>IF(A24="Hide",0,IF($J$7=1,E24,0))</f>
        <v>0</v>
      </c>
      <c r="M24" s="52" t="str">
        <f>formData!B270</f>
        <v>ACCOMPANYING_CHILD3_PASSPORT_DETAILS_DATE_OF_ISSUE</v>
      </c>
      <c r="N24" s="6">
        <f t="shared" si="0"/>
        <v>0</v>
      </c>
      <c r="O24" s="6">
        <f t="shared" si="1"/>
        <v>0</v>
      </c>
    </row>
    <row r="25" spans="1:16" s="34" customFormat="1" ht="20.100000000000001" hidden="1" customHeight="1">
      <c r="A25" s="113" t="str">
        <f>A24</f>
        <v>HIDE</v>
      </c>
      <c r="B25" s="113"/>
      <c r="C25" s="74" t="s">
        <v>1912</v>
      </c>
      <c r="D25" s="31" t="s">
        <v>1972</v>
      </c>
      <c r="E25" s="219"/>
      <c r="F25" s="220"/>
      <c r="G25" s="221"/>
      <c r="J25" s="6">
        <f t="shared" si="6"/>
        <v>0</v>
      </c>
      <c r="K25" s="130">
        <f t="shared" ref="K25:K27" si="7">IF(LEN(E25)=0,0,1)</f>
        <v>0</v>
      </c>
      <c r="L25" s="126">
        <f t="shared" ref="L25:L27" si="8">IF(A25="Hide",0,IF($J$7=1,E25,0))</f>
        <v>0</v>
      </c>
      <c r="M25" s="52" t="str">
        <f>formData!B271</f>
        <v>ACCOMPANYING_CHILD3_PASSPORT_DETAILS_EXPIRY_DATE</v>
      </c>
      <c r="N25" s="6">
        <f>IF(J25=1,1,0)</f>
        <v>0</v>
      </c>
      <c r="O25" s="6">
        <f>+J25*K25</f>
        <v>0</v>
      </c>
    </row>
    <row r="26" spans="1:16" s="34" customFormat="1" ht="20.100000000000001" hidden="1" customHeight="1">
      <c r="A26" s="106" t="str">
        <f>IF(OR(AND($B$15=2,B22=44),AND($B$15=3,$B$16=2,B22=44)),"Show","HIDE")</f>
        <v>HIDE</v>
      </c>
      <c r="B26" s="113">
        <v>1</v>
      </c>
      <c r="C26" s="74" t="s">
        <v>1912</v>
      </c>
      <c r="D26" s="7" t="s">
        <v>18</v>
      </c>
      <c r="E26" s="198"/>
      <c r="F26" s="199"/>
      <c r="G26" s="200"/>
      <c r="J26" s="6">
        <f t="shared" si="6"/>
        <v>0</v>
      </c>
      <c r="K26" s="129">
        <f>IF(B26=1,0,1)</f>
        <v>0</v>
      </c>
      <c r="L26" s="127">
        <f>IF(A26="Hide",1,IF($J$7=1,B26,1))</f>
        <v>1</v>
      </c>
      <c r="M26" s="131" t="str">
        <f>formData!B272</f>
        <v>ACCOMPANYING_CHILD3_PASSPORT_DETAILS_PLACE_OF_ISSUE_CHINA</v>
      </c>
      <c r="N26" s="6">
        <f>IF(J26=1,1,0)</f>
        <v>0</v>
      </c>
      <c r="O26" s="6">
        <f>+J26*K26</f>
        <v>0</v>
      </c>
      <c r="P26" s="32"/>
    </row>
    <row r="27" spans="1:16" s="34" customFormat="1" ht="20.100000000000001" hidden="1" customHeight="1">
      <c r="A27" s="113" t="str">
        <f>IF(OR(AND($B$15=2,NOT(B22=44)),AND($B$15=3,$B$16=2,NOT(B22=44))),"Show","HIDE")</f>
        <v>HIDE</v>
      </c>
      <c r="B27" s="113"/>
      <c r="C27" s="74" t="s">
        <v>1912</v>
      </c>
      <c r="D27" s="7" t="s">
        <v>18</v>
      </c>
      <c r="E27" s="198"/>
      <c r="F27" s="199"/>
      <c r="G27" s="200"/>
      <c r="J27" s="6">
        <f t="shared" si="6"/>
        <v>0</v>
      </c>
      <c r="K27" s="130">
        <f t="shared" si="7"/>
        <v>0</v>
      </c>
      <c r="L27" s="126">
        <f t="shared" si="8"/>
        <v>0</v>
      </c>
      <c r="M27" s="52" t="str">
        <f>formData!B273</f>
        <v>ACCOMPANYING_CHILD3_PASSPORT_DETAILS_PLACE_OF_ISSUE</v>
      </c>
      <c r="N27" s="6">
        <f t="shared" ref="N27:N47" si="9">IF(J27=1,1,0)</f>
        <v>0</v>
      </c>
      <c r="O27" s="6">
        <f t="shared" ref="O27:O47" si="10">+J27*K27</f>
        <v>0</v>
      </c>
    </row>
    <row r="28" spans="1:16" s="34" customFormat="1" ht="20.100000000000001" customHeight="1">
      <c r="A28" s="113"/>
      <c r="B28" s="113"/>
      <c r="D28" s="66"/>
      <c r="E28" s="65"/>
      <c r="M28" s="52"/>
      <c r="N28" s="6">
        <f t="shared" si="9"/>
        <v>0</v>
      </c>
      <c r="O28" s="6">
        <f t="shared" si="10"/>
        <v>0</v>
      </c>
    </row>
    <row r="29" spans="1:16" ht="24.95" customHeight="1">
      <c r="A29" s="106"/>
      <c r="B29" s="106"/>
      <c r="C29" s="74" t="s">
        <v>1912</v>
      </c>
      <c r="D29" s="256" t="s">
        <v>45</v>
      </c>
      <c r="E29" s="284"/>
      <c r="F29" s="284"/>
      <c r="G29" s="285"/>
      <c r="M29" s="52"/>
      <c r="N29" s="6">
        <f t="shared" si="9"/>
        <v>0</v>
      </c>
      <c r="O29" s="6">
        <f t="shared" si="10"/>
        <v>0</v>
      </c>
    </row>
    <row r="30" spans="1:16" s="34" customFormat="1" ht="30" customHeight="1">
      <c r="A30" s="113"/>
      <c r="B30" s="113">
        <v>1</v>
      </c>
      <c r="C30" s="74" t="s">
        <v>1912</v>
      </c>
      <c r="D30" s="7" t="s">
        <v>68</v>
      </c>
      <c r="E30" s="240"/>
      <c r="F30" s="241"/>
      <c r="G30" s="242"/>
      <c r="J30" s="6">
        <f t="shared" ref="J30:J31" si="11">IF($C30="*",IF($A30="Hide",0,$J$7),0)</f>
        <v>0</v>
      </c>
      <c r="K30" s="129">
        <f>IF(B30=1,0,1)</f>
        <v>0</v>
      </c>
      <c r="L30" s="127">
        <f>IF(A30="Hide",1,IF($J$7=1,B30,1))</f>
        <v>1</v>
      </c>
      <c r="M30" s="52" t="str">
        <f>formData!B274</f>
        <v>ACCOMPANYING_CHILD3_AUSTRALIAN_VISA_PREVIOUS_VISA</v>
      </c>
      <c r="N30" s="6">
        <f t="shared" si="9"/>
        <v>0</v>
      </c>
      <c r="O30" s="6">
        <f t="shared" si="10"/>
        <v>0</v>
      </c>
    </row>
    <row r="31" spans="1:16" s="34" customFormat="1" ht="20.100000000000001" customHeight="1">
      <c r="A31" s="113"/>
      <c r="B31" s="113"/>
      <c r="D31" s="26" t="s">
        <v>56</v>
      </c>
      <c r="E31" s="234"/>
      <c r="F31" s="235"/>
      <c r="G31" s="236"/>
      <c r="J31" s="6">
        <f t="shared" si="11"/>
        <v>0</v>
      </c>
      <c r="K31" s="130">
        <f>IF(LEN(E31)=0,0,1)</f>
        <v>0</v>
      </c>
      <c r="L31" s="126">
        <f>IF(A31="Hide",0,IF($J$7=1,E31,0))</f>
        <v>0</v>
      </c>
      <c r="M31" s="52" t="str">
        <f>formData!B275</f>
        <v>ACCOMPANYING_CHILD3_AUSTRALIAN_VISA_GRANT_NUMBER</v>
      </c>
      <c r="N31" s="6">
        <f t="shared" si="9"/>
        <v>0</v>
      </c>
      <c r="O31" s="6">
        <f t="shared" si="10"/>
        <v>0</v>
      </c>
    </row>
    <row r="32" spans="1:16" s="34" customFormat="1" ht="18" customHeight="1">
      <c r="A32" s="113"/>
      <c r="B32" s="113"/>
      <c r="D32" s="66"/>
      <c r="E32" s="19"/>
      <c r="F32" s="19"/>
      <c r="G32" s="19"/>
      <c r="M32" s="52"/>
      <c r="N32" s="6">
        <f t="shared" si="9"/>
        <v>0</v>
      </c>
      <c r="O32" s="6">
        <f t="shared" si="10"/>
        <v>0</v>
      </c>
    </row>
    <row r="33" spans="1:16" s="34" customFormat="1" ht="24.95" customHeight="1">
      <c r="A33" s="113"/>
      <c r="B33" s="113">
        <v>1</v>
      </c>
      <c r="C33" s="74"/>
      <c r="D33" s="253" t="s">
        <v>2</v>
      </c>
      <c r="E33" s="254"/>
      <c r="F33" s="254"/>
      <c r="G33" s="255"/>
      <c r="M33" s="52"/>
      <c r="N33" s="6">
        <f t="shared" si="9"/>
        <v>0</v>
      </c>
      <c r="O33" s="6">
        <f t="shared" si="10"/>
        <v>0</v>
      </c>
    </row>
    <row r="34" spans="1:16" s="34" customFormat="1" ht="20.100000000000001" customHeight="1">
      <c r="A34" s="113"/>
      <c r="B34" s="113">
        <v>1</v>
      </c>
      <c r="C34" s="74" t="s">
        <v>1912</v>
      </c>
      <c r="D34" s="7" t="s">
        <v>67</v>
      </c>
      <c r="E34" s="240"/>
      <c r="F34" s="241"/>
      <c r="G34" s="242"/>
      <c r="J34" s="6">
        <f t="shared" ref="J34:J40" si="12">IF($C34="*",IF($A34="Hide",0,$J$7),0)</f>
        <v>0</v>
      </c>
      <c r="K34" s="129">
        <f>IF(B34=1,0,1)</f>
        <v>0</v>
      </c>
      <c r="L34" s="127">
        <f>IF(A34="Hide",1,IF($J$7=1,B34,1))</f>
        <v>1</v>
      </c>
      <c r="M34" s="52" t="str">
        <f>formData!B276</f>
        <v>ACCOMPANYING_CHILD3_NATIONAL_IDENTITY_HAVE_NATIONAL_ID</v>
      </c>
      <c r="N34" s="6">
        <f t="shared" si="9"/>
        <v>0</v>
      </c>
      <c r="O34" s="6">
        <f t="shared" si="10"/>
        <v>0</v>
      </c>
    </row>
    <row r="35" spans="1:16" s="34" customFormat="1" ht="20.100000000000001" hidden="1" customHeight="1">
      <c r="A35" s="106" t="str">
        <f t="shared" ref="A35:A40" si="13">IF($B$34=2,"Show","HIDE")</f>
        <v>HIDE</v>
      </c>
      <c r="B35" s="113"/>
      <c r="C35" s="74" t="s">
        <v>1912</v>
      </c>
      <c r="D35" s="7" t="s">
        <v>12</v>
      </c>
      <c r="E35" s="198"/>
      <c r="F35" s="199"/>
      <c r="G35" s="200"/>
      <c r="J35" s="6">
        <f t="shared" si="12"/>
        <v>0</v>
      </c>
      <c r="K35" s="130">
        <f t="shared" ref="K35:K37" si="14">IF(LEN(E35)=0,0,1)</f>
        <v>0</v>
      </c>
      <c r="L35" s="126">
        <f t="shared" ref="L35:L37" si="15">IF(A35="Hide",0,IF($J$7=1,E35,0))</f>
        <v>0</v>
      </c>
      <c r="M35" s="52" t="str">
        <f>formData!B277</f>
        <v>ACCOMPANYING_CHILD3_NATIONAL_IDENTITY_FAMILY_NAME</v>
      </c>
      <c r="N35" s="6">
        <f t="shared" si="9"/>
        <v>0</v>
      </c>
      <c r="O35" s="6">
        <f t="shared" si="10"/>
        <v>0</v>
      </c>
    </row>
    <row r="36" spans="1:16" s="34" customFormat="1" ht="20.100000000000001" hidden="1" customHeight="1">
      <c r="A36" s="106" t="str">
        <f t="shared" si="13"/>
        <v>HIDE</v>
      </c>
      <c r="B36" s="113"/>
      <c r="C36" s="74" t="s">
        <v>1912</v>
      </c>
      <c r="D36" s="7" t="s">
        <v>13</v>
      </c>
      <c r="E36" s="198"/>
      <c r="F36" s="199"/>
      <c r="G36" s="200"/>
      <c r="J36" s="6">
        <f t="shared" si="12"/>
        <v>0</v>
      </c>
      <c r="K36" s="130">
        <f t="shared" si="14"/>
        <v>0</v>
      </c>
      <c r="L36" s="126">
        <f t="shared" si="15"/>
        <v>0</v>
      </c>
      <c r="M36" s="52" t="str">
        <f>formData!B278</f>
        <v>ACCOMPANYING_CHILD3_NATIONAL_IDENTITY_GIVEN_NAMES</v>
      </c>
      <c r="N36" s="6">
        <f t="shared" si="9"/>
        <v>0</v>
      </c>
      <c r="O36" s="6">
        <f t="shared" si="10"/>
        <v>0</v>
      </c>
    </row>
    <row r="37" spans="1:16" s="34" customFormat="1" ht="20.100000000000001" hidden="1" customHeight="1">
      <c r="A37" s="106" t="str">
        <f t="shared" si="13"/>
        <v>HIDE</v>
      </c>
      <c r="B37" s="113"/>
      <c r="C37" s="74" t="s">
        <v>1912</v>
      </c>
      <c r="D37" s="7" t="s">
        <v>22</v>
      </c>
      <c r="E37" s="234"/>
      <c r="F37" s="235"/>
      <c r="G37" s="236"/>
      <c r="J37" s="6">
        <f t="shared" si="12"/>
        <v>0</v>
      </c>
      <c r="K37" s="130">
        <f t="shared" si="14"/>
        <v>0</v>
      </c>
      <c r="L37" s="126">
        <f t="shared" si="15"/>
        <v>0</v>
      </c>
      <c r="M37" s="52" t="str">
        <f>formData!B279</f>
        <v>ACCOMPANYING_CHILD3_NATIONAL_IDENTITY_ID_NUMBER</v>
      </c>
      <c r="N37" s="6">
        <f t="shared" si="9"/>
        <v>0</v>
      </c>
      <c r="O37" s="6">
        <f t="shared" si="10"/>
        <v>0</v>
      </c>
    </row>
    <row r="38" spans="1:16" s="34" customFormat="1" ht="20.100000000000001" hidden="1" customHeight="1">
      <c r="A38" s="106" t="str">
        <f t="shared" si="13"/>
        <v>HIDE</v>
      </c>
      <c r="B38" s="113">
        <v>1</v>
      </c>
      <c r="C38" s="74" t="s">
        <v>1912</v>
      </c>
      <c r="D38" s="7" t="s">
        <v>23</v>
      </c>
      <c r="E38" s="62"/>
      <c r="F38" s="63"/>
      <c r="G38" s="64"/>
      <c r="J38" s="6">
        <f t="shared" si="12"/>
        <v>0</v>
      </c>
      <c r="K38" s="129">
        <f>IF(B38=1,0,1)</f>
        <v>0</v>
      </c>
      <c r="L38" s="127">
        <f>IF(A38="Hide",1,IF($J$7=1,B38,1))</f>
        <v>1</v>
      </c>
      <c r="M38" s="52" t="str">
        <f>formData!B280</f>
        <v>ACCOMPANYING_CHILD3_OTHER_TRAVEL_DOCS_COUNTRY_OF_ISSUE</v>
      </c>
      <c r="N38" s="6">
        <f t="shared" si="9"/>
        <v>0</v>
      </c>
      <c r="O38" s="6">
        <f t="shared" si="10"/>
        <v>0</v>
      </c>
    </row>
    <row r="39" spans="1:16" s="34" customFormat="1" ht="20.100000000000001" hidden="1" customHeight="1">
      <c r="A39" s="106" t="str">
        <f t="shared" si="13"/>
        <v>HIDE</v>
      </c>
      <c r="B39" s="113"/>
      <c r="C39" s="74"/>
      <c r="D39" s="31" t="s">
        <v>1973</v>
      </c>
      <c r="E39" s="219"/>
      <c r="F39" s="220"/>
      <c r="G39" s="221"/>
      <c r="J39" s="6">
        <f t="shared" si="12"/>
        <v>0</v>
      </c>
      <c r="K39" s="130">
        <f>IF(LEN(E39)=0,0,1)</f>
        <v>0</v>
      </c>
      <c r="L39" s="126">
        <f>IF(A39="Hide",0,IF($J$7=1,E39,0))</f>
        <v>0</v>
      </c>
      <c r="M39" s="52" t="str">
        <f>formData!B281</f>
        <v>ACCOMPANYING_CHILD3_NATIONAL_IDENTITY_DATE_OF_ISSUE</v>
      </c>
      <c r="N39" s="6">
        <f t="shared" si="9"/>
        <v>0</v>
      </c>
      <c r="O39" s="6">
        <f t="shared" si="10"/>
        <v>0</v>
      </c>
    </row>
    <row r="40" spans="1:16" s="34" customFormat="1" ht="20.100000000000001" hidden="1" customHeight="1">
      <c r="A40" s="106" t="str">
        <f t="shared" si="13"/>
        <v>HIDE</v>
      </c>
      <c r="B40" s="113"/>
      <c r="C40" s="74"/>
      <c r="D40" s="31" t="s">
        <v>1972</v>
      </c>
      <c r="E40" s="219"/>
      <c r="F40" s="220"/>
      <c r="G40" s="221"/>
      <c r="J40" s="6">
        <f t="shared" si="12"/>
        <v>0</v>
      </c>
      <c r="K40" s="130">
        <f>IF(LEN(E40)=0,0,1)</f>
        <v>0</v>
      </c>
      <c r="L40" s="126">
        <f>IF(A40="Hide",0,IF($J$7=1,E40,0))</f>
        <v>0</v>
      </c>
      <c r="M40" s="52" t="str">
        <f>formData!B282</f>
        <v>ACCOMPANYING_CHILD3_NATIONAL_IDENTITY_EXPIRY_DATE</v>
      </c>
      <c r="N40" s="6">
        <f t="shared" si="9"/>
        <v>0</v>
      </c>
      <c r="O40" s="6">
        <f t="shared" si="10"/>
        <v>0</v>
      </c>
    </row>
    <row r="41" spans="1:16" s="34" customFormat="1" ht="20.100000000000001" hidden="1" customHeight="1">
      <c r="A41" s="106" t="str">
        <f>IF($B$34=3,"Show","HIDE")</f>
        <v>HIDE</v>
      </c>
      <c r="B41" s="105"/>
      <c r="C41" s="74" t="s">
        <v>1912</v>
      </c>
      <c r="D41" s="244" t="s">
        <v>2037</v>
      </c>
      <c r="E41" s="245"/>
      <c r="F41" s="245"/>
      <c r="G41" s="246"/>
      <c r="H41" s="6"/>
      <c r="I41" s="6"/>
      <c r="J41" s="6"/>
      <c r="K41" s="6"/>
      <c r="L41" s="6"/>
      <c r="N41" s="6">
        <f t="shared" si="9"/>
        <v>0</v>
      </c>
      <c r="O41" s="6">
        <f t="shared" si="10"/>
        <v>0</v>
      </c>
      <c r="P41" s="32"/>
    </row>
    <row r="42" spans="1:16" s="6" customFormat="1" ht="46.5" hidden="1" customHeight="1">
      <c r="A42" s="106" t="str">
        <f>IF($B$34=3,"Show","HIDE")</f>
        <v>HIDE</v>
      </c>
      <c r="B42" s="105"/>
      <c r="D42" s="247"/>
      <c r="E42" s="248"/>
      <c r="F42" s="248"/>
      <c r="G42" s="249"/>
      <c r="J42" s="6">
        <f>IF($C41="*",IF($A42="Hide",0,$J$7),0)</f>
        <v>0</v>
      </c>
      <c r="K42" s="158">
        <f>IF(LEN(D42)=0,0,1)</f>
        <v>0</v>
      </c>
      <c r="L42" s="157">
        <f>IF(A42="Hide",0,IF($J$5=1,D42,0))</f>
        <v>0</v>
      </c>
      <c r="M42" s="131" t="str">
        <f>formData!B283</f>
        <v>ACCOMPANYING_CHILD3_NATIONAL_IDENTITY_GIVE_REASON</v>
      </c>
      <c r="N42" s="6">
        <f t="shared" si="9"/>
        <v>0</v>
      </c>
      <c r="O42" s="6">
        <f t="shared" si="10"/>
        <v>0</v>
      </c>
    </row>
    <row r="43" spans="1:16" s="34" customFormat="1" ht="20.100000000000001" customHeight="1">
      <c r="A43" s="113"/>
      <c r="B43" s="113"/>
      <c r="D43" s="66"/>
      <c r="E43" s="109"/>
      <c r="M43" s="52"/>
      <c r="N43" s="6">
        <f t="shared" si="9"/>
        <v>0</v>
      </c>
      <c r="O43" s="6">
        <f t="shared" si="10"/>
        <v>0</v>
      </c>
    </row>
    <row r="44" spans="1:16" ht="24.95" customHeight="1">
      <c r="A44" s="106"/>
      <c r="B44" s="106"/>
      <c r="C44" s="74"/>
      <c r="D44" s="256" t="s">
        <v>47</v>
      </c>
      <c r="E44" s="284"/>
      <c r="F44" s="284"/>
      <c r="G44" s="285"/>
      <c r="M44" s="52"/>
      <c r="N44" s="6">
        <f t="shared" si="9"/>
        <v>0</v>
      </c>
      <c r="O44" s="6">
        <f t="shared" si="10"/>
        <v>0</v>
      </c>
    </row>
    <row r="45" spans="1:16" s="34" customFormat="1" ht="20.100000000000001" customHeight="1">
      <c r="A45" s="113"/>
      <c r="B45" s="113"/>
      <c r="C45" s="74" t="s">
        <v>1912</v>
      </c>
      <c r="D45" s="7" t="s">
        <v>24</v>
      </c>
      <c r="E45" s="198"/>
      <c r="F45" s="199"/>
      <c r="G45" s="200"/>
      <c r="J45" s="6">
        <f t="shared" ref="J45:J47" si="16">IF($C45="*",IF($A45="Hide",0,$J$7),0)</f>
        <v>0</v>
      </c>
      <c r="K45" s="130">
        <f t="shared" ref="K45:K46" si="17">IF(LEN(E45)=0,0,1)</f>
        <v>0</v>
      </c>
      <c r="L45" s="126">
        <f t="shared" ref="L45:L46" si="18">IF(A45="Hide",0,IF($J$7=1,E45,0))</f>
        <v>0</v>
      </c>
      <c r="M45" s="52" t="str">
        <f>formData!B284</f>
        <v>ACCOMPANYING_CHILD3_PLACE_OF_BIRTH_CITY</v>
      </c>
      <c r="N45" s="6">
        <f t="shared" si="9"/>
        <v>0</v>
      </c>
      <c r="O45" s="6">
        <f t="shared" si="10"/>
        <v>0</v>
      </c>
    </row>
    <row r="46" spans="1:16" s="34" customFormat="1" ht="20.100000000000001" customHeight="1">
      <c r="A46" s="113"/>
      <c r="B46" s="113"/>
      <c r="C46" s="74" t="s">
        <v>1912</v>
      </c>
      <c r="D46" s="7" t="s">
        <v>25</v>
      </c>
      <c r="E46" s="198"/>
      <c r="F46" s="199"/>
      <c r="G46" s="200"/>
      <c r="J46" s="6">
        <f t="shared" si="16"/>
        <v>0</v>
      </c>
      <c r="K46" s="130">
        <f t="shared" si="17"/>
        <v>0</v>
      </c>
      <c r="L46" s="126">
        <f t="shared" si="18"/>
        <v>0</v>
      </c>
      <c r="M46" s="52" t="str">
        <f>formData!B285</f>
        <v>ACCOMPANYING_CHILD3_PLACE_OF_STATE_PROVINCE</v>
      </c>
      <c r="N46" s="6">
        <f t="shared" si="9"/>
        <v>0</v>
      </c>
      <c r="O46" s="6">
        <f t="shared" si="10"/>
        <v>0</v>
      </c>
    </row>
    <row r="47" spans="1:16" s="34" customFormat="1" ht="20.100000000000001" customHeight="1">
      <c r="A47" s="113"/>
      <c r="B47" s="113">
        <v>1</v>
      </c>
      <c r="C47" s="74" t="s">
        <v>1912</v>
      </c>
      <c r="D47" s="7" t="s">
        <v>26</v>
      </c>
      <c r="E47" s="240"/>
      <c r="F47" s="241"/>
      <c r="G47" s="242"/>
      <c r="J47" s="6">
        <f t="shared" si="16"/>
        <v>0</v>
      </c>
      <c r="K47" s="129">
        <f>IF(B47=1,0,1)</f>
        <v>0</v>
      </c>
      <c r="L47" s="127">
        <f>IF(A47="Hide",1,IF($J$7=1,B47,1))</f>
        <v>1</v>
      </c>
      <c r="M47" s="52" t="str">
        <f>formData!B286</f>
        <v>ACCOMPANYING_CHILD3_PLACE_OF_BIRTH_COUNTRY</v>
      </c>
      <c r="N47" s="6">
        <f t="shared" si="9"/>
        <v>0</v>
      </c>
      <c r="O47" s="6">
        <f t="shared" si="10"/>
        <v>0</v>
      </c>
    </row>
    <row r="48" spans="1:16" s="34" customFormat="1" ht="20.100000000000001" customHeight="1">
      <c r="A48" s="113"/>
      <c r="B48" s="113"/>
      <c r="D48" s="66"/>
      <c r="E48" s="66"/>
      <c r="M48" s="52"/>
      <c r="N48" s="6">
        <f t="shared" ref="N48:N100" si="19">IF(J48=1,1,0)</f>
        <v>0</v>
      </c>
      <c r="O48" s="6">
        <f t="shared" ref="O48:O100" si="20">+J48*K48</f>
        <v>0</v>
      </c>
    </row>
    <row r="49" spans="1:15" ht="24.95" customHeight="1">
      <c r="A49" s="106"/>
      <c r="B49" s="106"/>
      <c r="C49" s="74"/>
      <c r="D49" s="256" t="s">
        <v>1970</v>
      </c>
      <c r="E49" s="284"/>
      <c r="F49" s="284"/>
      <c r="G49" s="285"/>
      <c r="M49" s="52"/>
      <c r="N49" s="6">
        <f t="shared" si="19"/>
        <v>0</v>
      </c>
      <c r="O49" s="6">
        <f t="shared" si="20"/>
        <v>0</v>
      </c>
    </row>
    <row r="50" spans="1:15" s="34" customFormat="1" ht="20.100000000000001" customHeight="1">
      <c r="A50" s="113"/>
      <c r="B50" s="113">
        <v>1</v>
      </c>
      <c r="C50" s="74" t="s">
        <v>1912</v>
      </c>
      <c r="D50" s="7" t="s">
        <v>27</v>
      </c>
      <c r="E50" s="240"/>
      <c r="F50" s="241"/>
      <c r="G50" s="242"/>
      <c r="J50" s="6">
        <f t="shared" ref="J50" si="21">IF($C50="*",IF($A50="Hide",0,$J$7),0)</f>
        <v>0</v>
      </c>
      <c r="K50" s="129">
        <f>IF(B50=1,0,1)</f>
        <v>0</v>
      </c>
      <c r="L50" s="127">
        <f>IF(A50="Hide",1,IF($J$7=1,B50,1))</f>
        <v>1</v>
      </c>
      <c r="M50" s="52" t="str">
        <f>formData!B287</f>
        <v>ACCOMPANYING_CHILD3_RELATIONSHIP_STATUS</v>
      </c>
      <c r="N50" s="6">
        <f t="shared" si="19"/>
        <v>0</v>
      </c>
      <c r="O50" s="6">
        <f t="shared" si="20"/>
        <v>0</v>
      </c>
    </row>
    <row r="51" spans="1:15" s="34" customFormat="1" ht="20.100000000000001" customHeight="1">
      <c r="A51" s="113"/>
      <c r="B51" s="113"/>
      <c r="D51" s="66"/>
      <c r="E51" s="65"/>
      <c r="M51" s="52"/>
      <c r="N51" s="6">
        <f t="shared" si="19"/>
        <v>0</v>
      </c>
      <c r="O51" s="6">
        <f t="shared" si="20"/>
        <v>0</v>
      </c>
    </row>
    <row r="52" spans="1:15" ht="24.95" customHeight="1">
      <c r="A52" s="106"/>
      <c r="B52" s="106">
        <v>1</v>
      </c>
      <c r="C52" s="74"/>
      <c r="D52" s="256" t="s">
        <v>48</v>
      </c>
      <c r="E52" s="284"/>
      <c r="F52" s="284"/>
      <c r="G52" s="285"/>
      <c r="M52" s="52"/>
      <c r="N52" s="6">
        <f t="shared" si="19"/>
        <v>0</v>
      </c>
      <c r="O52" s="6">
        <f t="shared" si="20"/>
        <v>0</v>
      </c>
    </row>
    <row r="53" spans="1:15" s="34" customFormat="1" ht="30" customHeight="1">
      <c r="A53" s="113"/>
      <c r="B53" s="113">
        <v>1</v>
      </c>
      <c r="C53" s="74" t="s">
        <v>1912</v>
      </c>
      <c r="D53" s="25" t="s">
        <v>1228</v>
      </c>
      <c r="E53" s="240"/>
      <c r="F53" s="241"/>
      <c r="G53" s="242"/>
      <c r="J53" s="6">
        <f t="shared" ref="J53:J56" si="22">IF($C53="*",IF($A53="Hide",0,$J$7),0)</f>
        <v>0</v>
      </c>
      <c r="K53" s="129">
        <f>IF(B53=1,0,1)</f>
        <v>0</v>
      </c>
      <c r="L53" s="127">
        <f>IF(A53="Hide",1,IF($J$7=1,B53,1))</f>
        <v>1</v>
      </c>
      <c r="M53" s="52" t="str">
        <f>formData!B288</f>
        <v>ACCOMPANYING_CHILD3_OTHER_NAMES_GIVEN_NAME</v>
      </c>
      <c r="N53" s="6">
        <f t="shared" si="19"/>
        <v>0</v>
      </c>
      <c r="O53" s="6">
        <f t="shared" si="20"/>
        <v>0</v>
      </c>
    </row>
    <row r="54" spans="1:15" s="34" customFormat="1" ht="20.100000000000001" hidden="1" customHeight="1">
      <c r="A54" s="106" t="str">
        <f>IF($B$53=2,"Show","HIDE")</f>
        <v>HIDE</v>
      </c>
      <c r="B54" s="113"/>
      <c r="C54" s="74" t="s">
        <v>1912</v>
      </c>
      <c r="D54" s="7" t="s">
        <v>12</v>
      </c>
      <c r="E54" s="198"/>
      <c r="F54" s="199"/>
      <c r="G54" s="200"/>
      <c r="J54" s="6">
        <f t="shared" si="22"/>
        <v>0</v>
      </c>
      <c r="K54" s="130">
        <f>IF(LEN(E54)=0,0,1)</f>
        <v>0</v>
      </c>
      <c r="L54" s="126">
        <f>IF(A54="Hide",0,IF($J$7=1,E54,0))</f>
        <v>0</v>
      </c>
      <c r="M54" s="52" t="str">
        <f>formData!B289</f>
        <v>ACCOMPANYING_CHILD3_OTHER_NAMES_FAMILY_NAME</v>
      </c>
      <c r="N54" s="6">
        <f t="shared" si="19"/>
        <v>0</v>
      </c>
      <c r="O54" s="6">
        <f t="shared" si="20"/>
        <v>0</v>
      </c>
    </row>
    <row r="55" spans="1:15" s="34" customFormat="1" ht="20.100000000000001" hidden="1" customHeight="1">
      <c r="A55" s="106" t="str">
        <f>IF($B$53=2,"Show","HIDE")</f>
        <v>HIDE</v>
      </c>
      <c r="B55" s="113"/>
      <c r="C55" s="74" t="s">
        <v>1912</v>
      </c>
      <c r="D55" s="7" t="s">
        <v>13</v>
      </c>
      <c r="E55" s="198"/>
      <c r="F55" s="199"/>
      <c r="G55" s="200"/>
      <c r="J55" s="6">
        <f t="shared" si="22"/>
        <v>0</v>
      </c>
      <c r="K55" s="130">
        <f>IF(LEN(E55)=0,0,1)</f>
        <v>0</v>
      </c>
      <c r="L55" s="126">
        <f>IF(A55="Hide",0,IF($J$7=1,E55,0))</f>
        <v>0</v>
      </c>
      <c r="M55" s="52" t="str">
        <f>formData!B290</f>
        <v>ACCOMPANYING_CHILD3_OTHER_NAMES_GIVEN_NAMES</v>
      </c>
      <c r="N55" s="6">
        <f t="shared" si="19"/>
        <v>0</v>
      </c>
      <c r="O55" s="6">
        <f t="shared" si="20"/>
        <v>0</v>
      </c>
    </row>
    <row r="56" spans="1:15" s="34" customFormat="1" ht="20.100000000000001" hidden="1" customHeight="1">
      <c r="A56" s="106" t="str">
        <f>IF($B$53=2,"Show","HIDE")</f>
        <v>HIDE</v>
      </c>
      <c r="B56" s="113">
        <v>1</v>
      </c>
      <c r="C56" s="74" t="s">
        <v>1912</v>
      </c>
      <c r="D56" s="7" t="s">
        <v>53</v>
      </c>
      <c r="E56" s="240"/>
      <c r="F56" s="241"/>
      <c r="G56" s="242"/>
      <c r="J56" s="6">
        <f t="shared" si="22"/>
        <v>0</v>
      </c>
      <c r="K56" s="129">
        <f>IF(B56=1,0,1)</f>
        <v>0</v>
      </c>
      <c r="L56" s="127">
        <f>IF(A56="Hide",1,IF($J$7=1,B56,1))</f>
        <v>1</v>
      </c>
      <c r="M56" s="52" t="str">
        <f>formData!B291</f>
        <v>ACCOMPANYING_CHILD3_OTHER_NAMES_REASON</v>
      </c>
      <c r="N56" s="6">
        <f t="shared" si="19"/>
        <v>0</v>
      </c>
      <c r="O56" s="6">
        <f t="shared" si="20"/>
        <v>0</v>
      </c>
    </row>
    <row r="57" spans="1:15" s="34" customFormat="1" ht="20.100000000000001" hidden="1" customHeight="1">
      <c r="A57" s="106" t="str">
        <f>IF($B$53=2,"Show","HIDE")</f>
        <v>HIDE</v>
      </c>
      <c r="B57" s="113"/>
      <c r="D57" s="290" t="s">
        <v>30</v>
      </c>
      <c r="E57" s="291"/>
      <c r="F57" s="291"/>
      <c r="G57" s="292"/>
      <c r="M57" s="52"/>
      <c r="N57" s="6">
        <f t="shared" si="19"/>
        <v>0</v>
      </c>
      <c r="O57" s="6">
        <f t="shared" si="20"/>
        <v>0</v>
      </c>
    </row>
    <row r="58" spans="1:15" s="34" customFormat="1" ht="60" hidden="1" customHeight="1">
      <c r="A58" s="106" t="str">
        <f>IF($B$53=2,"Show","HIDE")</f>
        <v>HIDE</v>
      </c>
      <c r="B58" s="113"/>
      <c r="D58" s="270"/>
      <c r="E58" s="271"/>
      <c r="F58" s="271"/>
      <c r="G58" s="272"/>
      <c r="J58" s="157">
        <f t="shared" ref="J58" si="23">IF($C58="*",IF($A58="Hide",0,$J$7),0)</f>
        <v>0</v>
      </c>
      <c r="K58" s="158">
        <f>IF(LEN(D58)=0,0,1)</f>
        <v>0</v>
      </c>
      <c r="L58" s="157">
        <f>IF(A58="Hide",0,IF($J$7=1,D58,0))</f>
        <v>0</v>
      </c>
      <c r="M58" s="52" t="str">
        <f>formData!B292</f>
        <v>ACCOMPANYING_CHILD3_OTHER_NAMES_GIVE_DETAILS</v>
      </c>
      <c r="N58" s="6">
        <f t="shared" si="19"/>
        <v>0</v>
      </c>
      <c r="O58" s="6">
        <f t="shared" si="20"/>
        <v>0</v>
      </c>
    </row>
    <row r="59" spans="1:15" s="34" customFormat="1" ht="20.100000000000001" customHeight="1">
      <c r="A59" s="113"/>
      <c r="B59" s="113"/>
      <c r="D59" s="66"/>
      <c r="E59" s="65"/>
      <c r="M59" s="52"/>
      <c r="N59" s="6">
        <f t="shared" si="19"/>
        <v>0</v>
      </c>
      <c r="O59" s="6">
        <f t="shared" si="20"/>
        <v>0</v>
      </c>
    </row>
    <row r="60" spans="1:15" ht="24.95" customHeight="1">
      <c r="A60" s="106"/>
      <c r="B60" s="106"/>
      <c r="C60" s="74"/>
      <c r="D60" s="256" t="s">
        <v>64</v>
      </c>
      <c r="E60" s="284"/>
      <c r="F60" s="284"/>
      <c r="G60" s="285"/>
      <c r="M60" s="52"/>
      <c r="N60" s="6">
        <f t="shared" si="19"/>
        <v>0</v>
      </c>
      <c r="O60" s="6">
        <f t="shared" si="20"/>
        <v>0</v>
      </c>
    </row>
    <row r="61" spans="1:15" s="34" customFormat="1" ht="30" customHeight="1">
      <c r="A61" s="113"/>
      <c r="B61" s="113">
        <v>1</v>
      </c>
      <c r="C61" s="74" t="s">
        <v>1912</v>
      </c>
      <c r="D61" s="7" t="s">
        <v>69</v>
      </c>
      <c r="E61" s="240"/>
      <c r="F61" s="241"/>
      <c r="G61" s="242"/>
      <c r="J61" s="6">
        <f t="shared" ref="J61:J77" si="24">IF($C61="*",IF($A61="Hide",0,$J$7),0)</f>
        <v>0</v>
      </c>
      <c r="K61" s="129">
        <f>IF(B61=1,0,1)</f>
        <v>0</v>
      </c>
      <c r="L61" s="127">
        <f>IF(A61="Hide",1,IF($J$7=1,B61,1))</f>
        <v>1</v>
      </c>
      <c r="M61" s="52" t="str">
        <f>formData!B293</f>
        <v>ACCOMPANYING_CHILD3_CITIZENSHIP_COUNTRY_OF_PASSPORT</v>
      </c>
      <c r="N61" s="6">
        <f t="shared" si="19"/>
        <v>0</v>
      </c>
      <c r="O61" s="6">
        <f t="shared" si="20"/>
        <v>0</v>
      </c>
    </row>
    <row r="62" spans="1:15" s="34" customFormat="1" ht="20.100000000000001" customHeight="1">
      <c r="A62" s="113"/>
      <c r="B62" s="113">
        <v>1</v>
      </c>
      <c r="C62" s="74" t="s">
        <v>1912</v>
      </c>
      <c r="D62" s="7" t="s">
        <v>70</v>
      </c>
      <c r="E62" s="240"/>
      <c r="F62" s="241"/>
      <c r="G62" s="242"/>
      <c r="J62" s="6">
        <f t="shared" si="24"/>
        <v>0</v>
      </c>
      <c r="K62" s="129">
        <f>IF(B62=1,0,1)</f>
        <v>0</v>
      </c>
      <c r="L62" s="127">
        <f>IF(A62="Hide",1,IF($J$7=1,B62,1))</f>
        <v>1</v>
      </c>
      <c r="M62" s="52" t="str">
        <f>formData!B294</f>
        <v>ACCOMPANYING_CHILD3_CITIZENSHIP_OTHER_COUNTRY_CITIZEN</v>
      </c>
      <c r="N62" s="6">
        <f t="shared" si="19"/>
        <v>0</v>
      </c>
      <c r="O62" s="6">
        <f t="shared" si="20"/>
        <v>0</v>
      </c>
    </row>
    <row r="63" spans="1:15" s="34" customFormat="1" ht="20.100000000000001" customHeight="1">
      <c r="A63" s="106" t="str">
        <f>IF($B$62=2,"Show","HIDE")</f>
        <v>HIDE</v>
      </c>
      <c r="B63" s="113">
        <v>1</v>
      </c>
      <c r="C63" s="74" t="s">
        <v>1912</v>
      </c>
      <c r="D63" s="7" t="s">
        <v>32</v>
      </c>
      <c r="E63" s="240"/>
      <c r="F63" s="241"/>
      <c r="G63" s="242"/>
      <c r="J63" s="6">
        <f>IF($C63="*",IF($A63="Hide",0,$J$7),0)</f>
        <v>0</v>
      </c>
      <c r="K63" s="129">
        <f>IF(B63=1,0,1)</f>
        <v>0</v>
      </c>
      <c r="L63" s="127">
        <f>IF(A63="Hide",1,IF($J$7=1,B63,1))</f>
        <v>1</v>
      </c>
      <c r="M63" s="52" t="str">
        <f>formData!B295</f>
        <v>ACCOMPANYING_CHILD3_CITIZENSHIP_LIST COUNTRIES1</v>
      </c>
      <c r="N63" s="6">
        <f t="shared" si="19"/>
        <v>0</v>
      </c>
      <c r="O63" s="6">
        <f t="shared" si="20"/>
        <v>0</v>
      </c>
    </row>
    <row r="64" spans="1:15" ht="20.100000000000001" customHeight="1">
      <c r="A64" s="106"/>
      <c r="B64" s="106">
        <v>1</v>
      </c>
      <c r="J64" s="6">
        <f>IF($C64="*",IF($A63="Hide",0,$J$7),0)</f>
        <v>0</v>
      </c>
      <c r="K64" s="129">
        <f>IF(B64=1,0,1)</f>
        <v>0</v>
      </c>
      <c r="L64" s="127">
        <f>IF(A64="Hide",1,IF($J$7=1,B64,1))</f>
        <v>1</v>
      </c>
      <c r="M64" s="52" t="str">
        <f>formData!B296</f>
        <v>ACCOMPANYING_CHILD3_CITIZENSHIP_LIST COUNTRIES2</v>
      </c>
      <c r="N64" s="6">
        <f t="shared" si="19"/>
        <v>0</v>
      </c>
      <c r="O64" s="6">
        <f t="shared" si="20"/>
        <v>0</v>
      </c>
    </row>
    <row r="65" spans="1:15" ht="24.95" customHeight="1">
      <c r="A65" s="106"/>
      <c r="B65" s="106">
        <v>1</v>
      </c>
      <c r="C65" s="74"/>
      <c r="D65" s="256" t="s">
        <v>60</v>
      </c>
      <c r="E65" s="284"/>
      <c r="F65" s="284"/>
      <c r="G65" s="285"/>
      <c r="M65" s="52"/>
      <c r="N65" s="6">
        <f t="shared" si="19"/>
        <v>0</v>
      </c>
      <c r="O65" s="6">
        <f t="shared" si="20"/>
        <v>0</v>
      </c>
    </row>
    <row r="66" spans="1:15" s="34" customFormat="1" ht="24">
      <c r="A66" s="113"/>
      <c r="B66" s="113">
        <v>1</v>
      </c>
      <c r="C66" s="74" t="s">
        <v>1912</v>
      </c>
      <c r="D66" s="7" t="s">
        <v>71</v>
      </c>
      <c r="E66" s="240"/>
      <c r="F66" s="241"/>
      <c r="G66" s="242"/>
      <c r="J66" s="6">
        <f t="shared" si="24"/>
        <v>0</v>
      </c>
      <c r="K66" s="129">
        <f>IF(B66=1,0,1)</f>
        <v>0</v>
      </c>
      <c r="L66" s="127">
        <f>IF(A66="Hide",1,IF($J$7=1,B66,1))</f>
        <v>1</v>
      </c>
      <c r="M66" s="52" t="str">
        <f>formData!B297</f>
        <v>ACCOMPANYING_CHILD3_OTHER_PASSPORT_OR_DOCUMENTS</v>
      </c>
      <c r="N66" s="6">
        <f t="shared" si="19"/>
        <v>0</v>
      </c>
      <c r="O66" s="6">
        <f t="shared" si="20"/>
        <v>0</v>
      </c>
    </row>
    <row r="67" spans="1:15" s="34" customFormat="1" ht="20.100000000000001" hidden="1" customHeight="1">
      <c r="A67" s="106" t="str">
        <f>IF($B$66=2,"Show","HIDE")</f>
        <v>HIDE</v>
      </c>
      <c r="B67" s="113">
        <v>1</v>
      </c>
      <c r="C67" s="74" t="s">
        <v>1912</v>
      </c>
      <c r="D67" s="7" t="s">
        <v>34</v>
      </c>
      <c r="E67" s="240"/>
      <c r="F67" s="241"/>
      <c r="G67" s="242"/>
      <c r="J67" s="6">
        <f t="shared" si="24"/>
        <v>0</v>
      </c>
      <c r="K67" s="129">
        <f>IF(B67=1,0,1)</f>
        <v>0</v>
      </c>
      <c r="L67" s="127">
        <f>IF(A67="Hide",1,IF($J$7=1,B67,1))</f>
        <v>1</v>
      </c>
      <c r="M67" s="52" t="str">
        <f>formData!B298</f>
        <v>ACCOMPANYING_CHILD3_OTHER_TRAVEL_DOCS_TYPE_OF_DOCUMENT</v>
      </c>
      <c r="N67" s="6">
        <f t="shared" si="19"/>
        <v>0</v>
      </c>
      <c r="O67" s="6">
        <f t="shared" si="20"/>
        <v>0</v>
      </c>
    </row>
    <row r="68" spans="1:15" s="34" customFormat="1" ht="20.100000000000001" hidden="1" customHeight="1">
      <c r="A68" s="106" t="str">
        <f t="shared" ref="A68:A77" si="25">IF($B$66=2,"Show","HIDE")</f>
        <v>HIDE</v>
      </c>
      <c r="B68" s="113"/>
      <c r="C68" s="74" t="s">
        <v>1912</v>
      </c>
      <c r="D68" s="7" t="s">
        <v>12</v>
      </c>
      <c r="E68" s="198"/>
      <c r="F68" s="199"/>
      <c r="G68" s="200"/>
      <c r="J68" s="6">
        <f t="shared" si="24"/>
        <v>0</v>
      </c>
      <c r="K68" s="130">
        <f>IF(LEN(E68)=0,0,1)</f>
        <v>0</v>
      </c>
      <c r="L68" s="126">
        <f>IF(A68="Hide",0,IF($J$7=1,E68,0))</f>
        <v>0</v>
      </c>
      <c r="M68" s="52" t="str">
        <f>formData!B299</f>
        <v>ACCOMPANYING_CHILD3_OTHER_TRAVEL_DOCS_FAMILY_NAME</v>
      </c>
      <c r="N68" s="6">
        <f t="shared" si="19"/>
        <v>0</v>
      </c>
      <c r="O68" s="6">
        <f t="shared" si="20"/>
        <v>0</v>
      </c>
    </row>
    <row r="69" spans="1:15" s="34" customFormat="1" ht="20.100000000000001" hidden="1" customHeight="1">
      <c r="A69" s="106" t="str">
        <f t="shared" si="25"/>
        <v>HIDE</v>
      </c>
      <c r="B69" s="113"/>
      <c r="C69" s="74" t="s">
        <v>1912</v>
      </c>
      <c r="D69" s="7" t="s">
        <v>13</v>
      </c>
      <c r="E69" s="198"/>
      <c r="F69" s="199"/>
      <c r="G69" s="200"/>
      <c r="J69" s="6">
        <f t="shared" si="24"/>
        <v>0</v>
      </c>
      <c r="K69" s="130">
        <f>IF(LEN(E69)=0,0,1)</f>
        <v>0</v>
      </c>
      <c r="L69" s="126">
        <f>IF(A69="Hide",0,IF($J$7=1,E69,0))</f>
        <v>0</v>
      </c>
      <c r="M69" s="52" t="str">
        <f>formData!B300</f>
        <v>ACCOMPANYING_CHILD3_OTHER_TRAVEL_DOCS_GIVEN_NAMES</v>
      </c>
      <c r="N69" s="6">
        <f t="shared" si="19"/>
        <v>0</v>
      </c>
      <c r="O69" s="6">
        <f t="shared" si="20"/>
        <v>0</v>
      </c>
    </row>
    <row r="70" spans="1:15" s="34" customFormat="1" ht="20.100000000000001" hidden="1" customHeight="1">
      <c r="A70" s="106" t="str">
        <f t="shared" si="25"/>
        <v>HIDE</v>
      </c>
      <c r="B70" s="113">
        <v>1</v>
      </c>
      <c r="C70" s="74" t="s">
        <v>1912</v>
      </c>
      <c r="D70" s="7" t="s">
        <v>14</v>
      </c>
      <c r="E70" s="240"/>
      <c r="F70" s="241"/>
      <c r="G70" s="242"/>
      <c r="J70" s="6">
        <f t="shared" si="24"/>
        <v>0</v>
      </c>
      <c r="K70" s="129">
        <f>IF(B70=1,0,1)</f>
        <v>0</v>
      </c>
      <c r="L70" s="127">
        <f>IF(A70="Hide",1,IF($J$7=1,B70,1))</f>
        <v>1</v>
      </c>
      <c r="M70" s="52" t="str">
        <f>formData!B301</f>
        <v>ACCOMPANYING_CHILD3_OTHER_TRAVEL_DOCS_SEX</v>
      </c>
      <c r="N70" s="6">
        <f t="shared" si="19"/>
        <v>0</v>
      </c>
      <c r="O70" s="6">
        <f t="shared" si="20"/>
        <v>0</v>
      </c>
    </row>
    <row r="71" spans="1:15" s="34" customFormat="1" ht="20.100000000000001" hidden="1" customHeight="1">
      <c r="A71" s="106" t="str">
        <f t="shared" si="25"/>
        <v>HIDE</v>
      </c>
      <c r="B71" s="113"/>
      <c r="C71" s="74" t="s">
        <v>1912</v>
      </c>
      <c r="D71" s="31" t="s">
        <v>1976</v>
      </c>
      <c r="E71" s="219"/>
      <c r="F71" s="220"/>
      <c r="G71" s="221"/>
      <c r="J71" s="6">
        <f t="shared" si="24"/>
        <v>0</v>
      </c>
      <c r="K71" s="130">
        <f>IF(LEN(E71)=0,0,1)</f>
        <v>0</v>
      </c>
      <c r="L71" s="126">
        <f>IF(A71="Hide",0,IF($J$7=1,E71,0))</f>
        <v>0</v>
      </c>
      <c r="M71" s="52" t="str">
        <f>formData!B302</f>
        <v>ACCOMPANYING_CHILD3_OTHER_TRAVEL_DOCS_DATE_OF_BIRTH</v>
      </c>
      <c r="N71" s="6">
        <f t="shared" si="19"/>
        <v>0</v>
      </c>
      <c r="O71" s="6">
        <f t="shared" si="20"/>
        <v>0</v>
      </c>
    </row>
    <row r="72" spans="1:15" s="34" customFormat="1" ht="20.100000000000001" hidden="1" customHeight="1">
      <c r="A72" s="106" t="str">
        <f t="shared" si="25"/>
        <v>HIDE</v>
      </c>
      <c r="B72" s="113"/>
      <c r="C72" s="74" t="s">
        <v>1912</v>
      </c>
      <c r="D72" s="7" t="s">
        <v>35</v>
      </c>
      <c r="E72" s="234"/>
      <c r="F72" s="235"/>
      <c r="G72" s="236"/>
      <c r="J72" s="6">
        <f t="shared" si="24"/>
        <v>0</v>
      </c>
      <c r="K72" s="130">
        <f>IF(LEN(E72)=0,0,1)</f>
        <v>0</v>
      </c>
      <c r="L72" s="126">
        <f>IF(A72="Hide",0,IF($J$7=1,E72,0))</f>
        <v>0</v>
      </c>
      <c r="M72" s="52" t="str">
        <f>formData!B303</f>
        <v>ACCOMPANYING_CHILD3_OTHER_TRAVEL_DOCS_ID_NUMBER</v>
      </c>
      <c r="N72" s="6">
        <f t="shared" si="19"/>
        <v>0</v>
      </c>
      <c r="O72" s="6">
        <f t="shared" si="20"/>
        <v>0</v>
      </c>
    </row>
    <row r="73" spans="1:15" s="34" customFormat="1" ht="20.100000000000001" hidden="1" customHeight="1">
      <c r="A73" s="106" t="str">
        <f t="shared" si="25"/>
        <v>HIDE</v>
      </c>
      <c r="B73" s="113">
        <v>1</v>
      </c>
      <c r="C73" s="74" t="s">
        <v>1912</v>
      </c>
      <c r="D73" s="7" t="s">
        <v>23</v>
      </c>
      <c r="E73" s="240"/>
      <c r="F73" s="241"/>
      <c r="G73" s="242"/>
      <c r="J73" s="6">
        <f t="shared" si="24"/>
        <v>0</v>
      </c>
      <c r="K73" s="129">
        <f>IF(B73=1,0,1)</f>
        <v>0</v>
      </c>
      <c r="L73" s="127">
        <f>IF(A73="Hide",1,IF($J$7=1,B73,1))</f>
        <v>1</v>
      </c>
      <c r="M73" s="52" t="str">
        <f>formData!B304</f>
        <v>ACCOMPANYING_CHILD3_NATIONAL_IDENTITY_COUNTRY_OF_ISSUE</v>
      </c>
      <c r="N73" s="6">
        <f t="shared" si="19"/>
        <v>0</v>
      </c>
      <c r="O73" s="6">
        <f t="shared" si="20"/>
        <v>0</v>
      </c>
    </row>
    <row r="74" spans="1:15" s="34" customFormat="1" ht="20.100000000000001" hidden="1" customHeight="1">
      <c r="A74" s="106" t="str">
        <f t="shared" si="25"/>
        <v>HIDE</v>
      </c>
      <c r="B74" s="113">
        <v>1</v>
      </c>
      <c r="C74" s="74" t="s">
        <v>1912</v>
      </c>
      <c r="D74" s="7" t="s">
        <v>36</v>
      </c>
      <c r="E74" s="240"/>
      <c r="F74" s="241"/>
      <c r="G74" s="242"/>
      <c r="J74" s="6">
        <f t="shared" si="24"/>
        <v>0</v>
      </c>
      <c r="K74" s="129">
        <f>IF(B74=1,0,1)</f>
        <v>0</v>
      </c>
      <c r="L74" s="127">
        <f>IF(A74="Hide",1,IF($J$7=1,B74,1))</f>
        <v>1</v>
      </c>
      <c r="M74" s="52" t="str">
        <f>formData!B305</f>
        <v>ACCOMPANYING_CHILD3_OTHER_TRAVEL_DOCS_NATIONALITY_OF_PASSPORT_HOLDER</v>
      </c>
      <c r="N74" s="6">
        <f t="shared" si="19"/>
        <v>0</v>
      </c>
      <c r="O74" s="6">
        <f t="shared" si="20"/>
        <v>0</v>
      </c>
    </row>
    <row r="75" spans="1:15" s="34" customFormat="1" ht="20.100000000000001" hidden="1" customHeight="1">
      <c r="A75" s="106" t="str">
        <f t="shared" si="25"/>
        <v>HIDE</v>
      </c>
      <c r="B75" s="113"/>
      <c r="C75" s="74" t="s">
        <v>1912</v>
      </c>
      <c r="D75" s="31" t="s">
        <v>1973</v>
      </c>
      <c r="E75" s="219"/>
      <c r="F75" s="220"/>
      <c r="G75" s="221"/>
      <c r="J75" s="6">
        <f t="shared" si="24"/>
        <v>0</v>
      </c>
      <c r="K75" s="130">
        <f>IF(LEN(E75)=0,0,1)</f>
        <v>0</v>
      </c>
      <c r="L75" s="126">
        <f>IF(A75="Hide",0,IF($J$7=1,E75,0))</f>
        <v>0</v>
      </c>
      <c r="M75" s="52" t="str">
        <f>formData!B306</f>
        <v>ACCOMPANYING_CHILD3_OTHER_TRAVEL_DOCS_DATE_OF_ISSUE</v>
      </c>
      <c r="N75" s="6">
        <f t="shared" si="19"/>
        <v>0</v>
      </c>
      <c r="O75" s="6">
        <f t="shared" si="20"/>
        <v>0</v>
      </c>
    </row>
    <row r="76" spans="1:15" s="34" customFormat="1" ht="20.100000000000001" hidden="1" customHeight="1">
      <c r="A76" s="106" t="str">
        <f t="shared" si="25"/>
        <v>HIDE</v>
      </c>
      <c r="B76" s="113"/>
      <c r="C76" s="74" t="s">
        <v>1912</v>
      </c>
      <c r="D76" s="31" t="s">
        <v>1972</v>
      </c>
      <c r="E76" s="219"/>
      <c r="F76" s="220"/>
      <c r="G76" s="221"/>
      <c r="J76" s="6">
        <f t="shared" si="24"/>
        <v>0</v>
      </c>
      <c r="K76" s="130">
        <f>IF(LEN(E76)=0,0,1)</f>
        <v>0</v>
      </c>
      <c r="L76" s="126">
        <f>IF(A76="Hide",0,IF($J$7=1,E76,0))</f>
        <v>0</v>
      </c>
      <c r="M76" s="52" t="str">
        <f>formData!B307</f>
        <v>ACCOMPANYING_CHILD3_OTHER_TRAVEL_DOCS_EXPIRY_DATE</v>
      </c>
      <c r="N76" s="6">
        <f t="shared" si="19"/>
        <v>0</v>
      </c>
      <c r="O76" s="6">
        <f t="shared" si="20"/>
        <v>0</v>
      </c>
    </row>
    <row r="77" spans="1:15" s="34" customFormat="1" ht="20.100000000000001" hidden="1" customHeight="1">
      <c r="A77" s="106" t="str">
        <f t="shared" si="25"/>
        <v>HIDE</v>
      </c>
      <c r="B77" s="113"/>
      <c r="C77" s="74" t="s">
        <v>1912</v>
      </c>
      <c r="D77" s="7" t="s">
        <v>18</v>
      </c>
      <c r="E77" s="198"/>
      <c r="F77" s="199"/>
      <c r="G77" s="200"/>
      <c r="J77" s="6">
        <f t="shared" si="24"/>
        <v>0</v>
      </c>
      <c r="K77" s="130">
        <f>IF(LEN(E77)=0,0,1)</f>
        <v>0</v>
      </c>
      <c r="L77" s="126">
        <f>IF(A77="Hide",0,IF($J$7=1,E77,0))</f>
        <v>0</v>
      </c>
      <c r="M77" s="52" t="str">
        <f>formData!B308</f>
        <v>ACCOMPANYING_CHILD3_OTHER_TRAVEL_DOCS_PLACE_OF_ISSUE</v>
      </c>
      <c r="N77" s="6">
        <f t="shared" si="19"/>
        <v>0</v>
      </c>
      <c r="O77" s="6">
        <f t="shared" si="20"/>
        <v>0</v>
      </c>
    </row>
    <row r="78" spans="1:15" ht="20.100000000000001" customHeight="1">
      <c r="A78" s="106"/>
      <c r="B78" s="106"/>
      <c r="E78" s="106"/>
      <c r="M78" s="52"/>
      <c r="N78" s="6">
        <f t="shared" si="19"/>
        <v>0</v>
      </c>
      <c r="O78" s="6">
        <f t="shared" si="20"/>
        <v>0</v>
      </c>
    </row>
    <row r="79" spans="1:15" ht="24.95" customHeight="1">
      <c r="A79" s="106"/>
      <c r="B79" s="106">
        <v>1</v>
      </c>
      <c r="C79" s="74"/>
      <c r="D79" s="256" t="s">
        <v>65</v>
      </c>
      <c r="E79" s="284"/>
      <c r="F79" s="284"/>
      <c r="G79" s="285"/>
      <c r="M79" s="52"/>
      <c r="N79" s="6">
        <f t="shared" si="19"/>
        <v>0</v>
      </c>
      <c r="O79" s="6">
        <f t="shared" si="20"/>
        <v>0</v>
      </c>
    </row>
    <row r="80" spans="1:15" s="34" customFormat="1" ht="20.100000000000001" customHeight="1">
      <c r="A80" s="113"/>
      <c r="B80" s="113">
        <v>1</v>
      </c>
      <c r="C80" s="74" t="s">
        <v>1912</v>
      </c>
      <c r="D80" s="7" t="s">
        <v>72</v>
      </c>
      <c r="E80" s="240"/>
      <c r="F80" s="241"/>
      <c r="G80" s="242"/>
      <c r="J80" s="6">
        <f t="shared" ref="J80:J85" si="26">IF($C80="*",IF($A80="Hide",0,$J$7),0)</f>
        <v>0</v>
      </c>
      <c r="K80" s="129">
        <f>IF(B80=1,0,1)</f>
        <v>0</v>
      </c>
      <c r="L80" s="127">
        <f>IF(A80="Hide",1,IF($J$7=1,B80,1))</f>
        <v>1</v>
      </c>
      <c r="M80" s="52" t="str">
        <f>formData!B309</f>
        <v>ACCOMPANYING_CHILD3_ADD_QUESTIONS_OTHER_ID_DOCUMENTS</v>
      </c>
      <c r="N80" s="6">
        <f t="shared" si="19"/>
        <v>0</v>
      </c>
      <c r="O80" s="6">
        <f t="shared" si="20"/>
        <v>0</v>
      </c>
    </row>
    <row r="81" spans="1:15" s="34" customFormat="1" ht="20.100000000000001" hidden="1" customHeight="1">
      <c r="A81" s="106" t="str">
        <f>IF($B$80=2,"Show","HIDE")</f>
        <v>HIDE</v>
      </c>
      <c r="B81" s="113"/>
      <c r="C81" s="74" t="s">
        <v>1912</v>
      </c>
      <c r="D81" s="7" t="s">
        <v>12</v>
      </c>
      <c r="E81" s="198"/>
      <c r="F81" s="199"/>
      <c r="G81" s="200"/>
      <c r="J81" s="6">
        <f t="shared" si="26"/>
        <v>0</v>
      </c>
      <c r="K81" s="130">
        <f>IF(LEN(E81)=0,0,1)</f>
        <v>0</v>
      </c>
      <c r="L81" s="126">
        <f>IF(A81="Hide",0,IF($J$7=1,E81,0))</f>
        <v>0</v>
      </c>
      <c r="M81" s="52" t="str">
        <f>formData!B310</f>
        <v>ACCOMPANYING_CHILD3_OTHER_IDENTITY_DOCS_FAMILY_NAME</v>
      </c>
      <c r="N81" s="6">
        <f t="shared" si="19"/>
        <v>0</v>
      </c>
      <c r="O81" s="6">
        <f t="shared" si="20"/>
        <v>0</v>
      </c>
    </row>
    <row r="82" spans="1:15" s="34" customFormat="1" ht="20.100000000000001" hidden="1" customHeight="1">
      <c r="A82" s="106" t="str">
        <f>IF($B$80=2,"Show","HIDE")</f>
        <v>HIDE</v>
      </c>
      <c r="B82" s="113"/>
      <c r="C82" s="74" t="s">
        <v>1912</v>
      </c>
      <c r="D82" s="7" t="s">
        <v>13</v>
      </c>
      <c r="E82" s="198"/>
      <c r="F82" s="199"/>
      <c r="G82" s="200"/>
      <c r="J82" s="6">
        <f t="shared" si="26"/>
        <v>0</v>
      </c>
      <c r="K82" s="130">
        <f>IF(LEN(E82)=0,0,1)</f>
        <v>0</v>
      </c>
      <c r="L82" s="126">
        <f>IF(A82="Hide",0,IF($J$7=1,E82,0))</f>
        <v>0</v>
      </c>
      <c r="M82" s="52" t="str">
        <f>formData!B311</f>
        <v>ACCOMPANYING_CHILD3_OTHER_IDENTITY_DOCS_GIVEN_NAMES</v>
      </c>
      <c r="N82" s="6">
        <f t="shared" si="19"/>
        <v>0</v>
      </c>
      <c r="O82" s="6">
        <f t="shared" si="20"/>
        <v>0</v>
      </c>
    </row>
    <row r="83" spans="1:15" s="34" customFormat="1" ht="20.100000000000001" hidden="1" customHeight="1">
      <c r="A83" s="106" t="str">
        <f>IF($B$80=2,"Show","HIDE")</f>
        <v>HIDE</v>
      </c>
      <c r="B83" s="113">
        <v>1</v>
      </c>
      <c r="C83" s="74" t="s">
        <v>1912</v>
      </c>
      <c r="D83" s="7" t="s">
        <v>34</v>
      </c>
      <c r="E83" s="240"/>
      <c r="F83" s="241"/>
      <c r="G83" s="242"/>
      <c r="J83" s="6">
        <f t="shared" si="26"/>
        <v>0</v>
      </c>
      <c r="K83" s="129">
        <f>IF(B83=1,0,1)</f>
        <v>0</v>
      </c>
      <c r="L83" s="127">
        <f>IF(A83="Hide",1,IF($J$7=1,B83,1))</f>
        <v>1</v>
      </c>
      <c r="M83" s="52" t="str">
        <f>formData!B312</f>
        <v>ACCOMPANYING_CHILD3_OTHER_IDENTITY_DOCS_TYPE_OF_DOCUMENT</v>
      </c>
      <c r="N83" s="6">
        <f t="shared" si="19"/>
        <v>0</v>
      </c>
      <c r="O83" s="6">
        <f t="shared" si="20"/>
        <v>0</v>
      </c>
    </row>
    <row r="84" spans="1:15" s="34" customFormat="1" ht="20.100000000000001" hidden="1" customHeight="1">
      <c r="A84" s="106" t="str">
        <f>IF($B$80=2,"Show","HIDE")</f>
        <v>HIDE</v>
      </c>
      <c r="B84" s="113"/>
      <c r="C84" s="74" t="s">
        <v>1912</v>
      </c>
      <c r="D84" s="7" t="s">
        <v>22</v>
      </c>
      <c r="E84" s="234"/>
      <c r="F84" s="235"/>
      <c r="G84" s="236"/>
      <c r="J84" s="6">
        <f t="shared" si="26"/>
        <v>0</v>
      </c>
      <c r="K84" s="130">
        <f>IF(LEN(E84)=0,0,1)</f>
        <v>0</v>
      </c>
      <c r="L84" s="126">
        <f>IF(A84="Hide",0,IF($J$7=1,E84,0))</f>
        <v>0</v>
      </c>
      <c r="M84" s="52" t="str">
        <f>formData!B313</f>
        <v>ACCOMPANYING_CHILD3_OTHER_IDENTITY_DOCS_ID_NUMBER</v>
      </c>
      <c r="N84" s="6">
        <f t="shared" si="19"/>
        <v>0</v>
      </c>
      <c r="O84" s="6">
        <f t="shared" si="20"/>
        <v>0</v>
      </c>
    </row>
    <row r="85" spans="1:15" s="34" customFormat="1" ht="20.100000000000001" hidden="1" customHeight="1">
      <c r="A85" s="106" t="str">
        <f>IF($B$80=2,"Show","HIDE")</f>
        <v>HIDE</v>
      </c>
      <c r="B85" s="113">
        <v>1</v>
      </c>
      <c r="C85" s="74" t="s">
        <v>1912</v>
      </c>
      <c r="D85" s="7" t="s">
        <v>23</v>
      </c>
      <c r="E85" s="240"/>
      <c r="F85" s="241"/>
      <c r="G85" s="242"/>
      <c r="J85" s="6">
        <f t="shared" si="26"/>
        <v>0</v>
      </c>
      <c r="K85" s="129">
        <f>IF(B85=1,0,1)</f>
        <v>0</v>
      </c>
      <c r="L85" s="127">
        <f>IF(A85="Hide",1,IF($J$7=1,B85,1))</f>
        <v>1</v>
      </c>
      <c r="M85" s="52" t="str">
        <f>formData!B314</f>
        <v>ACCOMPANYING_CHILD3_OTHER_IDENTITY_DOCS_COUNTRY_OF_ISSUE</v>
      </c>
      <c r="N85" s="6">
        <f t="shared" si="19"/>
        <v>0</v>
      </c>
      <c r="O85" s="6">
        <f t="shared" si="20"/>
        <v>0</v>
      </c>
    </row>
    <row r="86" spans="1:15" ht="20.100000000000001" customHeight="1">
      <c r="A86" s="106"/>
      <c r="B86" s="106"/>
      <c r="M86" s="52"/>
      <c r="N86" s="6">
        <f t="shared" si="19"/>
        <v>0</v>
      </c>
      <c r="O86" s="6">
        <f t="shared" si="20"/>
        <v>0</v>
      </c>
    </row>
    <row r="87" spans="1:15" ht="24.95" customHeight="1">
      <c r="A87" s="106"/>
      <c r="B87" s="106"/>
      <c r="C87" s="74"/>
      <c r="D87" s="256" t="s">
        <v>1909</v>
      </c>
      <c r="E87" s="284"/>
      <c r="F87" s="284"/>
      <c r="G87" s="285"/>
      <c r="M87" s="52"/>
      <c r="N87" s="6">
        <f t="shared" si="19"/>
        <v>0</v>
      </c>
      <c r="O87" s="6">
        <f t="shared" si="20"/>
        <v>0</v>
      </c>
    </row>
    <row r="88" spans="1:15" s="34" customFormat="1" ht="20.100000000000001" customHeight="1">
      <c r="A88" s="113"/>
      <c r="B88" s="113">
        <v>1</v>
      </c>
      <c r="C88" s="74" t="s">
        <v>1912</v>
      </c>
      <c r="D88" s="286" t="s">
        <v>1967</v>
      </c>
      <c r="E88" s="287"/>
      <c r="F88" s="287"/>
      <c r="G88" s="288"/>
      <c r="J88" s="6">
        <f t="shared" ref="J88:J89" si="27">IF($C88="*",IF($A88="Hide",0,$J$7),0)</f>
        <v>0</v>
      </c>
      <c r="K88" s="129">
        <f>IF(B88=1,0,1)</f>
        <v>0</v>
      </c>
      <c r="L88" s="127">
        <f>IF(A88="Hide",1,IF($J$7=1,B88,1))</f>
        <v>1</v>
      </c>
      <c r="M88" s="52" t="str">
        <f>formData!B315</f>
        <v>ACCOMPANYING_CHILD3_ADD_QUESTIONS_APPLICANT_DEPENDENT</v>
      </c>
      <c r="N88" s="6">
        <f t="shared" si="19"/>
        <v>0</v>
      </c>
      <c r="O88" s="6">
        <f t="shared" si="20"/>
        <v>0</v>
      </c>
    </row>
    <row r="89" spans="1:15" s="34" customFormat="1" ht="20.100000000000001" customHeight="1">
      <c r="A89" s="113"/>
      <c r="B89" s="113">
        <v>1</v>
      </c>
      <c r="C89" s="74" t="s">
        <v>1912</v>
      </c>
      <c r="D89" s="250" t="s">
        <v>73</v>
      </c>
      <c r="E89" s="251"/>
      <c r="F89" s="251"/>
      <c r="G89" s="252"/>
      <c r="J89" s="6">
        <f t="shared" si="27"/>
        <v>0</v>
      </c>
      <c r="K89" s="129">
        <f>IF(B89=1,0,1)</f>
        <v>0</v>
      </c>
      <c r="L89" s="127">
        <f>IF(A89="Hide",1,IF($J$7=1,B89,1))</f>
        <v>1</v>
      </c>
      <c r="M89" s="52" t="str">
        <f>formData!B316</f>
        <v>ACCOMPANYING_CHILD3_ADD_QUESTIONS_MENTAL</v>
      </c>
      <c r="N89" s="6">
        <f t="shared" si="19"/>
        <v>0</v>
      </c>
      <c r="O89" s="6">
        <f t="shared" si="20"/>
        <v>0</v>
      </c>
    </row>
    <row r="90" spans="1:15" s="34" customFormat="1" ht="18" customHeight="1">
      <c r="A90" s="113"/>
      <c r="B90" s="113"/>
      <c r="D90" s="250" t="s">
        <v>74</v>
      </c>
      <c r="E90" s="251"/>
      <c r="F90" s="251"/>
      <c r="G90" s="252"/>
      <c r="M90" s="52"/>
      <c r="N90" s="6">
        <f t="shared" si="19"/>
        <v>0</v>
      </c>
      <c r="O90" s="6">
        <f t="shared" si="20"/>
        <v>0</v>
      </c>
    </row>
    <row r="91" spans="1:15" s="34" customFormat="1" ht="60" customHeight="1">
      <c r="A91" s="113"/>
      <c r="B91" s="113"/>
      <c r="D91" s="270"/>
      <c r="E91" s="271"/>
      <c r="F91" s="271"/>
      <c r="G91" s="272"/>
      <c r="J91" s="157">
        <f t="shared" ref="J91:J92" si="28">IF($C91="*",IF($A91="Hide",0,$J$7),0)</f>
        <v>0</v>
      </c>
      <c r="K91" s="158">
        <f>IF(LEN(D91)=0,0,1)</f>
        <v>0</v>
      </c>
      <c r="L91" s="157">
        <f>IF(A91="Hide",0,IF($J$7=1,D91,0))</f>
        <v>0</v>
      </c>
      <c r="M91" s="52" t="str">
        <f>formData!B317</f>
        <v>ACCOMPANYING_CHILD3_ADD_QUESTIONS_GIVE_DETAILS_1</v>
      </c>
      <c r="N91" s="6">
        <f t="shared" si="19"/>
        <v>0</v>
      </c>
      <c r="O91" s="6">
        <f t="shared" si="20"/>
        <v>0</v>
      </c>
    </row>
    <row r="92" spans="1:15" s="34" customFormat="1" ht="20.100000000000001" customHeight="1">
      <c r="A92" s="113"/>
      <c r="B92" s="113">
        <v>1</v>
      </c>
      <c r="C92" s="74" t="s">
        <v>1912</v>
      </c>
      <c r="D92" s="250" t="s">
        <v>75</v>
      </c>
      <c r="E92" s="251"/>
      <c r="F92" s="251"/>
      <c r="G92" s="252"/>
      <c r="J92" s="6">
        <f t="shared" si="28"/>
        <v>0</v>
      </c>
      <c r="K92" s="129">
        <f>IF(B92=1,0,1)</f>
        <v>0</v>
      </c>
      <c r="L92" s="127">
        <f>IF(A92="Hide",1,IF($J$7=1,B92,1))</f>
        <v>1</v>
      </c>
      <c r="M92" s="52" t="str">
        <f>formData!B318</f>
        <v>ACCOMPANYING_CHILD3_ADD_QUESTIONS_LEGAL_CUSTODY</v>
      </c>
      <c r="N92" s="6">
        <f t="shared" si="19"/>
        <v>0</v>
      </c>
      <c r="O92" s="6">
        <f t="shared" si="20"/>
        <v>0</v>
      </c>
    </row>
    <row r="93" spans="1:15" s="34" customFormat="1" ht="18" customHeight="1">
      <c r="A93" s="113"/>
      <c r="B93" s="113"/>
      <c r="D93" s="250" t="s">
        <v>76</v>
      </c>
      <c r="E93" s="251"/>
      <c r="F93" s="251"/>
      <c r="G93" s="252"/>
      <c r="M93" s="52"/>
      <c r="N93" s="6">
        <f t="shared" si="19"/>
        <v>0</v>
      </c>
      <c r="O93" s="6">
        <f t="shared" si="20"/>
        <v>0</v>
      </c>
    </row>
    <row r="94" spans="1:15" s="34" customFormat="1" ht="60" customHeight="1">
      <c r="A94" s="113"/>
      <c r="B94" s="113"/>
      <c r="D94" s="270"/>
      <c r="E94" s="271"/>
      <c r="F94" s="271"/>
      <c r="G94" s="272"/>
      <c r="J94" s="157">
        <f t="shared" ref="J94:J95" si="29">IF($C94="*",IF($A94="Hide",0,$J$7),0)</f>
        <v>0</v>
      </c>
      <c r="K94" s="158">
        <f>IF(LEN(D94)=0,0,1)</f>
        <v>0</v>
      </c>
      <c r="L94" s="157">
        <f>IF(A94="Hide",0,IF($J$7=1,D94,0))</f>
        <v>0</v>
      </c>
      <c r="M94" s="52" t="str">
        <f>formData!B319</f>
        <v>ACCOMPANYING_CHILD3_ADD_QUESTIONS_GIVE_DETAILS_2</v>
      </c>
      <c r="N94" s="6">
        <f t="shared" si="19"/>
        <v>0</v>
      </c>
      <c r="O94" s="6">
        <f t="shared" si="20"/>
        <v>0</v>
      </c>
    </row>
    <row r="95" spans="1:15" s="34" customFormat="1" ht="20.100000000000001" customHeight="1">
      <c r="A95" s="113"/>
      <c r="B95" s="113">
        <v>1</v>
      </c>
      <c r="C95" s="74" t="s">
        <v>1912</v>
      </c>
      <c r="D95" s="250" t="s">
        <v>77</v>
      </c>
      <c r="E95" s="251"/>
      <c r="F95" s="251"/>
      <c r="G95" s="252"/>
      <c r="J95" s="6">
        <f t="shared" si="29"/>
        <v>0</v>
      </c>
      <c r="K95" s="129">
        <f>IF(B95=1,0,1)</f>
        <v>0</v>
      </c>
      <c r="L95" s="127">
        <f>IF(A95="Hide",1,IF($J$7=1,B95,1))</f>
        <v>1</v>
      </c>
      <c r="M95" s="52" t="str">
        <f>formData!B320</f>
        <v>ACCOMPANYING_CHILD3_ADD_QUESTIONS_OTHER_CUSTODY</v>
      </c>
      <c r="N95" s="6">
        <f t="shared" si="19"/>
        <v>0</v>
      </c>
      <c r="O95" s="6">
        <f t="shared" si="20"/>
        <v>0</v>
      </c>
    </row>
    <row r="96" spans="1:15" s="34" customFormat="1" ht="18" customHeight="1">
      <c r="A96" s="113"/>
      <c r="B96" s="113"/>
      <c r="D96" s="289" t="s">
        <v>74</v>
      </c>
      <c r="E96" s="251"/>
      <c r="F96" s="251"/>
      <c r="G96" s="252"/>
      <c r="M96" s="52"/>
      <c r="N96" s="6">
        <f t="shared" si="19"/>
        <v>0</v>
      </c>
      <c r="O96" s="6">
        <f t="shared" si="20"/>
        <v>0</v>
      </c>
    </row>
    <row r="97" spans="1:15" s="34" customFormat="1" ht="60" customHeight="1">
      <c r="A97" s="113"/>
      <c r="B97" s="113"/>
      <c r="D97" s="270"/>
      <c r="E97" s="271"/>
      <c r="F97" s="271"/>
      <c r="G97" s="272"/>
      <c r="J97" s="157">
        <f t="shared" ref="J97:J98" si="30">IF($C97="*",IF($A97="Hide",0,$J$7),0)</f>
        <v>0</v>
      </c>
      <c r="K97" s="158">
        <f>IF(LEN(D97)=0,0,1)</f>
        <v>0</v>
      </c>
      <c r="L97" s="157">
        <f>IF(A97="Hide",0,IF($J$7=1,D97,0))</f>
        <v>0</v>
      </c>
      <c r="M97" s="52" t="str">
        <f>formData!B321</f>
        <v>ACCOMPANYING_CHILD3_ADD_QUESTIONS_GIVE_DETAILS_3</v>
      </c>
      <c r="N97" s="6">
        <f t="shared" si="19"/>
        <v>0</v>
      </c>
      <c r="O97" s="6">
        <f t="shared" si="20"/>
        <v>0</v>
      </c>
    </row>
    <row r="98" spans="1:15" s="34" customFormat="1" ht="20.100000000000001" customHeight="1">
      <c r="A98" s="113"/>
      <c r="B98" s="113">
        <v>1</v>
      </c>
      <c r="C98" s="74" t="s">
        <v>1912</v>
      </c>
      <c r="D98" s="250" t="s">
        <v>78</v>
      </c>
      <c r="E98" s="251"/>
      <c r="F98" s="251"/>
      <c r="G98" s="252"/>
      <c r="J98" s="6">
        <f t="shared" si="30"/>
        <v>0</v>
      </c>
      <c r="K98" s="129">
        <f>IF(B98=1,0,1)</f>
        <v>0</v>
      </c>
      <c r="L98" s="127">
        <f>IF(A98="Hide",1,IF($J$7=1,B98,1))</f>
        <v>1</v>
      </c>
      <c r="M98" s="52" t="str">
        <f>formData!B322</f>
        <v>ACCOMPANYING_CHILD3_ADD_QUESTIONS_LEGAL_IMPEDIMENTS</v>
      </c>
      <c r="N98" s="6">
        <f t="shared" si="19"/>
        <v>0</v>
      </c>
      <c r="O98" s="6">
        <f t="shared" si="20"/>
        <v>0</v>
      </c>
    </row>
    <row r="99" spans="1:15" s="34" customFormat="1" ht="18" customHeight="1">
      <c r="A99" s="113"/>
      <c r="B99" s="113"/>
      <c r="D99" s="289" t="s">
        <v>79</v>
      </c>
      <c r="E99" s="251"/>
      <c r="F99" s="251"/>
      <c r="G99" s="252"/>
      <c r="M99" s="52"/>
      <c r="N99" s="6">
        <f t="shared" si="19"/>
        <v>0</v>
      </c>
      <c r="O99" s="6">
        <f t="shared" si="20"/>
        <v>0</v>
      </c>
    </row>
    <row r="100" spans="1:15" ht="60" customHeight="1">
      <c r="A100" s="106"/>
      <c r="B100" s="106"/>
      <c r="D100" s="270"/>
      <c r="E100" s="271"/>
      <c r="F100" s="271"/>
      <c r="G100" s="272"/>
      <c r="J100" s="157">
        <f t="shared" ref="J100" si="31">IF($C100="*",IF($A100="Hide",0,$J$7),0)</f>
        <v>0</v>
      </c>
      <c r="K100" s="158">
        <f>IF(LEN(D100)=0,0,1)</f>
        <v>0</v>
      </c>
      <c r="L100" s="157">
        <f>IF(A100="Hide",0,IF($J$7=1,D100,0))</f>
        <v>0</v>
      </c>
      <c r="M100" s="52" t="str">
        <f>formData!B323</f>
        <v>ACCOMPANYING_CHILD3_ADD_QUESTIONS_GIVE_DETAILS_4</v>
      </c>
      <c r="N100" s="6">
        <f t="shared" si="19"/>
        <v>0</v>
      </c>
      <c r="O100" s="6">
        <f t="shared" si="20"/>
        <v>0</v>
      </c>
    </row>
    <row r="101" spans="1:15" ht="18" customHeight="1">
      <c r="B101" s="106"/>
      <c r="M101" s="52"/>
    </row>
    <row r="102" spans="1:15" ht="18" customHeight="1">
      <c r="M102" s="52"/>
    </row>
    <row r="103" spans="1:15" ht="18" customHeight="1">
      <c r="M103" s="52"/>
    </row>
    <row r="104" spans="1:15" ht="18" customHeight="1">
      <c r="M104" s="52"/>
    </row>
    <row r="105" spans="1:15" ht="18" customHeight="1">
      <c r="M105" s="52"/>
    </row>
    <row r="106" spans="1:15" ht="18" customHeight="1">
      <c r="M106" s="52"/>
    </row>
    <row r="107" spans="1:15" ht="18" customHeight="1">
      <c r="M107" s="52"/>
    </row>
    <row r="108" spans="1:15" ht="18" customHeight="1">
      <c r="M108" s="52"/>
    </row>
    <row r="109" spans="1:15" ht="18" customHeight="1">
      <c r="M109" s="52"/>
    </row>
    <row r="110" spans="1:15" ht="18" customHeight="1">
      <c r="M110" s="52"/>
    </row>
    <row r="111" spans="1:15" ht="18" customHeight="1">
      <c r="M111" s="52"/>
    </row>
    <row r="112" spans="1:15" ht="18" customHeight="1">
      <c r="M112" s="52"/>
    </row>
    <row r="113" spans="13:13" ht="18" customHeight="1">
      <c r="M113" s="52"/>
    </row>
    <row r="114" spans="13:13" ht="18" customHeight="1">
      <c r="M114" s="52"/>
    </row>
    <row r="115" spans="13:13" ht="18" customHeight="1">
      <c r="M115" s="52"/>
    </row>
    <row r="116" spans="13:13">
      <c r="M116" s="52"/>
    </row>
    <row r="117" spans="13:13">
      <c r="M117" s="52"/>
    </row>
    <row r="118" spans="13:13">
      <c r="M118" s="52"/>
    </row>
    <row r="119" spans="13:13">
      <c r="M119" s="52"/>
    </row>
    <row r="120" spans="13:13">
      <c r="M120" s="52"/>
    </row>
    <row r="121" spans="13:13">
      <c r="M121" s="52"/>
    </row>
    <row r="122" spans="13:13">
      <c r="M122" s="52"/>
    </row>
    <row r="123" spans="13:13">
      <c r="M123" s="52"/>
    </row>
    <row r="124" spans="13:13">
      <c r="M124" s="52"/>
    </row>
    <row r="125" spans="13:13">
      <c r="M125" s="52"/>
    </row>
    <row r="126" spans="13:13">
      <c r="M126" s="52"/>
    </row>
    <row r="127" spans="13:13">
      <c r="M127" s="52"/>
    </row>
    <row r="128" spans="13:13">
      <c r="M128" s="52"/>
    </row>
    <row r="129" spans="13:13">
      <c r="M129" s="52"/>
    </row>
    <row r="130" spans="13:13">
      <c r="M130" s="52"/>
    </row>
    <row r="131" spans="13:13">
      <c r="M131" s="52"/>
    </row>
    <row r="132" spans="13:13">
      <c r="M132" s="52"/>
    </row>
    <row r="133" spans="13:13">
      <c r="M133" s="52"/>
    </row>
    <row r="134" spans="13:13">
      <c r="M134" s="52"/>
    </row>
  </sheetData>
  <sheetProtection algorithmName="SHA-512" hashValue="fQe9i1IpNxDWhVLMBPGhvWxR04IX2Kt/KMj++nuQw1un8Y5YzsWPrCHHoOJ2StggXM/Aloe7y85ScqTFgZxltQ==" saltValue="1nlyX0il15ZkCiKYkyCPUg==" spinCount="100000" sheet="1" objects="1" scenarios="1"/>
  <mergeCells count="83">
    <mergeCell ref="E10:G10"/>
    <mergeCell ref="D2:G2"/>
    <mergeCell ref="D4:G4"/>
    <mergeCell ref="E6:G6"/>
    <mergeCell ref="D8:G8"/>
    <mergeCell ref="E9:G9"/>
    <mergeCell ref="E27:G27"/>
    <mergeCell ref="D11:G11"/>
    <mergeCell ref="D12:G12"/>
    <mergeCell ref="D14:G14"/>
    <mergeCell ref="E17:G17"/>
    <mergeCell ref="E18:G18"/>
    <mergeCell ref="E20:G20"/>
    <mergeCell ref="E21:G21"/>
    <mergeCell ref="E22:G22"/>
    <mergeCell ref="E23:G23"/>
    <mergeCell ref="E24:G24"/>
    <mergeCell ref="E25:G25"/>
    <mergeCell ref="E15:G15"/>
    <mergeCell ref="E26:G26"/>
    <mergeCell ref="E46:G46"/>
    <mergeCell ref="D29:G29"/>
    <mergeCell ref="E30:G30"/>
    <mergeCell ref="E31:G31"/>
    <mergeCell ref="D33:G33"/>
    <mergeCell ref="E34:G34"/>
    <mergeCell ref="E36:G36"/>
    <mergeCell ref="E37:G37"/>
    <mergeCell ref="E39:G39"/>
    <mergeCell ref="E40:G40"/>
    <mergeCell ref="D44:G44"/>
    <mergeCell ref="E45:G45"/>
    <mergeCell ref="E35:G35"/>
    <mergeCell ref="D41:G41"/>
    <mergeCell ref="D42:G42"/>
    <mergeCell ref="E61:G61"/>
    <mergeCell ref="E47:G47"/>
    <mergeCell ref="D49:G49"/>
    <mergeCell ref="E50:G50"/>
    <mergeCell ref="D52:G52"/>
    <mergeCell ref="E53:G53"/>
    <mergeCell ref="E54:G54"/>
    <mergeCell ref="E55:G55"/>
    <mergeCell ref="E56:G56"/>
    <mergeCell ref="D57:G57"/>
    <mergeCell ref="D58:G58"/>
    <mergeCell ref="D60:G60"/>
    <mergeCell ref="E74:G74"/>
    <mergeCell ref="E62:G62"/>
    <mergeCell ref="E63:G63"/>
    <mergeCell ref="D65:G65"/>
    <mergeCell ref="E66:G66"/>
    <mergeCell ref="E67:G67"/>
    <mergeCell ref="E68:G68"/>
    <mergeCell ref="E69:G69"/>
    <mergeCell ref="E70:G70"/>
    <mergeCell ref="E71:G71"/>
    <mergeCell ref="E72:G72"/>
    <mergeCell ref="E73:G73"/>
    <mergeCell ref="D88:G88"/>
    <mergeCell ref="E75:G75"/>
    <mergeCell ref="E76:G76"/>
    <mergeCell ref="E77:G77"/>
    <mergeCell ref="D79:G79"/>
    <mergeCell ref="E80:G80"/>
    <mergeCell ref="E81:G81"/>
    <mergeCell ref="E82:G82"/>
    <mergeCell ref="E83:G83"/>
    <mergeCell ref="E84:G84"/>
    <mergeCell ref="E85:G85"/>
    <mergeCell ref="D87:G87"/>
    <mergeCell ref="D100:G100"/>
    <mergeCell ref="D89:G89"/>
    <mergeCell ref="D90:G90"/>
    <mergeCell ref="D91:G91"/>
    <mergeCell ref="D92:G92"/>
    <mergeCell ref="D93:G93"/>
    <mergeCell ref="D94:G94"/>
    <mergeCell ref="D95:G95"/>
    <mergeCell ref="D96:G96"/>
    <mergeCell ref="D97:G97"/>
    <mergeCell ref="D98:G98"/>
    <mergeCell ref="D99:G99"/>
  </mergeCells>
  <dataValidations count="5">
    <dataValidation type="date" allowBlank="1" showInputMessage="1" showErrorMessage="1" errorTitle="Date of birth" error="Please enter a valid date" sqref="E20:G20 E71:G71" xr:uid="{00000000-0002-0000-0B00-000000000000}">
      <formula1>1</formula1>
      <formula2>54789</formula2>
    </dataValidation>
    <dataValidation type="date" allowBlank="1" showInputMessage="1" showErrorMessage="1" errorTitle="Date of issue" error="Please enter a valid date" sqref="E24:G24 E39:G39 E75:G75" xr:uid="{00000000-0002-0000-0B00-000001000000}">
      <formula1>1</formula1>
      <formula2>54789</formula2>
    </dataValidation>
    <dataValidation type="date" allowBlank="1" showInputMessage="1" showErrorMessage="1" errorTitle="Date of expiry" error="Please enter a valid date" sqref="E76:G76 E25:G26 E40:G40" xr:uid="{00000000-0002-0000-0B00-000002000000}">
      <formula1>1</formula1>
      <formula2>54789</formula2>
    </dataValidation>
    <dataValidation type="textLength" operator="lessThanOrEqual" allowBlank="1" showInputMessage="1" showErrorMessage="1" errorTitle="Give Details" error="The maximum length of text that you can enter is 300 characters" sqref="D12:G12 D91:G91 D94:G94 D97:G97 D100:G100 D42:G42" xr:uid="{00000000-0002-0000-0B00-000003000000}">
      <formula1>300</formula1>
    </dataValidation>
    <dataValidation type="textLength" allowBlank="1" showInputMessage="1" showErrorMessage="1" errorTitle="Give Details" error="The maximum length of text that you can enter is 300 characters" sqref="D58:G58" xr:uid="{00000000-0002-0000-0B00-000004000000}">
      <formula1>0</formula1>
      <formula2>300</formula2>
    </dataValidation>
  </dataValidations>
  <hyperlinks>
    <hyperlink ref="G3" location="child_3!G3" display="SAVE" xr:uid="{00000000-0004-0000-0B00-000000000000}"/>
    <hyperlink ref="D3" location="index!C1" display="INDEX" xr:uid="{00000000-0004-0000-0B00-000001000000}"/>
  </hyperlinks>
  <pageMargins left="0.7" right="0.7" top="0.75" bottom="0.75" header="0.3" footer="0.3"/>
  <pageSetup paperSize="9" scale="8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8369" r:id="rId4" name="Drop Down 1">
              <controlPr locked="0" defaultSize="0" autoLine="0" autoPict="0">
                <anchor moveWithCells="1">
                  <from>
                    <xdr:col>5</xdr:col>
                    <xdr:colOff>161925</xdr:colOff>
                    <xdr:row>87</xdr:row>
                    <xdr:rowOff>0</xdr:rowOff>
                  </from>
                  <to>
                    <xdr:col>7</xdr:col>
                    <xdr:colOff>0</xdr:colOff>
                    <xdr:row>88</xdr:row>
                    <xdr:rowOff>0</xdr:rowOff>
                  </to>
                </anchor>
              </controlPr>
            </control>
          </mc:Choice>
        </mc:AlternateContent>
        <mc:AlternateContent xmlns:mc="http://schemas.openxmlformats.org/markup-compatibility/2006">
          <mc:Choice Requires="x14">
            <control shapeId="58370" r:id="rId5" name="Drop Down 2">
              <controlPr locked="0" defaultSize="0" autoLine="0" autoPict="0">
                <anchor moveWithCells="1">
                  <from>
                    <xdr:col>5</xdr:col>
                    <xdr:colOff>161925</xdr:colOff>
                    <xdr:row>88</xdr:row>
                    <xdr:rowOff>0</xdr:rowOff>
                  </from>
                  <to>
                    <xdr:col>7</xdr:col>
                    <xdr:colOff>0</xdr:colOff>
                    <xdr:row>89</xdr:row>
                    <xdr:rowOff>0</xdr:rowOff>
                  </to>
                </anchor>
              </controlPr>
            </control>
          </mc:Choice>
        </mc:AlternateContent>
        <mc:AlternateContent xmlns:mc="http://schemas.openxmlformats.org/markup-compatibility/2006">
          <mc:Choice Requires="x14">
            <control shapeId="58371" r:id="rId6" name="Drop Down 3">
              <controlPr locked="0" defaultSize="0" autoLine="0" autoPict="0">
                <anchor moveWithCells="1">
                  <from>
                    <xdr:col>5</xdr:col>
                    <xdr:colOff>161925</xdr:colOff>
                    <xdr:row>91</xdr:row>
                    <xdr:rowOff>0</xdr:rowOff>
                  </from>
                  <to>
                    <xdr:col>7</xdr:col>
                    <xdr:colOff>0</xdr:colOff>
                    <xdr:row>92</xdr:row>
                    <xdr:rowOff>0</xdr:rowOff>
                  </to>
                </anchor>
              </controlPr>
            </control>
          </mc:Choice>
        </mc:AlternateContent>
        <mc:AlternateContent xmlns:mc="http://schemas.openxmlformats.org/markup-compatibility/2006">
          <mc:Choice Requires="x14">
            <control shapeId="58372" r:id="rId7" name="Drop Down 4">
              <controlPr locked="0" defaultSize="0" autoLine="0" autoPict="0">
                <anchor moveWithCells="1">
                  <from>
                    <xdr:col>5</xdr:col>
                    <xdr:colOff>161925</xdr:colOff>
                    <xdr:row>94</xdr:row>
                    <xdr:rowOff>0</xdr:rowOff>
                  </from>
                  <to>
                    <xdr:col>7</xdr:col>
                    <xdr:colOff>0</xdr:colOff>
                    <xdr:row>95</xdr:row>
                    <xdr:rowOff>0</xdr:rowOff>
                  </to>
                </anchor>
              </controlPr>
            </control>
          </mc:Choice>
        </mc:AlternateContent>
        <mc:AlternateContent xmlns:mc="http://schemas.openxmlformats.org/markup-compatibility/2006">
          <mc:Choice Requires="x14">
            <control shapeId="58373" r:id="rId8" name="Drop Down 5">
              <controlPr locked="0" defaultSize="0" autoLine="0" autoPict="0">
                <anchor moveWithCells="1">
                  <from>
                    <xdr:col>5</xdr:col>
                    <xdr:colOff>161925</xdr:colOff>
                    <xdr:row>97</xdr:row>
                    <xdr:rowOff>0</xdr:rowOff>
                  </from>
                  <to>
                    <xdr:col>7</xdr:col>
                    <xdr:colOff>0</xdr:colOff>
                    <xdr:row>98</xdr:row>
                    <xdr:rowOff>0</xdr:rowOff>
                  </to>
                </anchor>
              </controlPr>
            </control>
          </mc:Choice>
        </mc:AlternateContent>
        <mc:AlternateContent xmlns:mc="http://schemas.openxmlformats.org/markup-compatibility/2006">
          <mc:Choice Requires="x14">
            <control shapeId="58374" r:id="rId9" name="Drop Down 6">
              <controlPr locked="0" defaultSize="0" autoLine="0" autoPict="0" macro="[0]!YourChild_3.DropDownChildHasOtherPassportOrTravelDoc_Change">
                <anchor moveWithCells="1">
                  <from>
                    <xdr:col>4</xdr:col>
                    <xdr:colOff>0</xdr:colOff>
                    <xdr:row>65</xdr:row>
                    <xdr:rowOff>66675</xdr:rowOff>
                  </from>
                  <to>
                    <xdr:col>7</xdr:col>
                    <xdr:colOff>0</xdr:colOff>
                    <xdr:row>65</xdr:row>
                    <xdr:rowOff>304800</xdr:rowOff>
                  </to>
                </anchor>
              </controlPr>
            </control>
          </mc:Choice>
        </mc:AlternateContent>
        <mc:AlternateContent xmlns:mc="http://schemas.openxmlformats.org/markup-compatibility/2006">
          <mc:Choice Requires="x14">
            <control shapeId="58375" r:id="rId10" name="Drop Down 7">
              <controlPr locked="0" defaultSize="0" autoLine="0" autoPict="0">
                <anchor moveWithCells="1">
                  <from>
                    <xdr:col>4</xdr:col>
                    <xdr:colOff>0</xdr:colOff>
                    <xdr:row>60</xdr:row>
                    <xdr:rowOff>66675</xdr:rowOff>
                  </from>
                  <to>
                    <xdr:col>7</xdr:col>
                    <xdr:colOff>0</xdr:colOff>
                    <xdr:row>60</xdr:row>
                    <xdr:rowOff>314325</xdr:rowOff>
                  </to>
                </anchor>
              </controlPr>
            </control>
          </mc:Choice>
        </mc:AlternateContent>
        <mc:AlternateContent xmlns:mc="http://schemas.openxmlformats.org/markup-compatibility/2006">
          <mc:Choice Requires="x14">
            <control shapeId="58376" r:id="rId11" name="Drop Down 8">
              <controlPr locked="0" defaultSize="0" autoLine="0" autoPict="0">
                <anchor moveWithCells="1">
                  <from>
                    <xdr:col>4</xdr:col>
                    <xdr:colOff>0</xdr:colOff>
                    <xdr:row>7</xdr:row>
                    <xdr:rowOff>314325</xdr:rowOff>
                  </from>
                  <to>
                    <xdr:col>7</xdr:col>
                    <xdr:colOff>0</xdr:colOff>
                    <xdr:row>9</xdr:row>
                    <xdr:rowOff>0</xdr:rowOff>
                  </to>
                </anchor>
              </controlPr>
            </control>
          </mc:Choice>
        </mc:AlternateContent>
        <mc:AlternateContent xmlns:mc="http://schemas.openxmlformats.org/markup-compatibility/2006">
          <mc:Choice Requires="x14">
            <control shapeId="58377" r:id="rId12" name="Drop Down 9">
              <controlPr locked="0" defaultSize="0" autoLine="0" autoPict="0">
                <anchor moveWithCells="1">
                  <from>
                    <xdr:col>4</xdr:col>
                    <xdr:colOff>0</xdr:colOff>
                    <xdr:row>9</xdr:row>
                    <xdr:rowOff>0</xdr:rowOff>
                  </from>
                  <to>
                    <xdr:col>7</xdr:col>
                    <xdr:colOff>0</xdr:colOff>
                    <xdr:row>10</xdr:row>
                    <xdr:rowOff>0</xdr:rowOff>
                  </to>
                </anchor>
              </controlPr>
            </control>
          </mc:Choice>
        </mc:AlternateContent>
        <mc:AlternateContent xmlns:mc="http://schemas.openxmlformats.org/markup-compatibility/2006">
          <mc:Choice Requires="x14">
            <control shapeId="58378" r:id="rId13" name="Drop Down 10">
              <controlPr locked="0" defaultSize="0" autoLine="0" autoPict="0">
                <anchor moveWithCells="1">
                  <from>
                    <xdr:col>4</xdr:col>
                    <xdr:colOff>0</xdr:colOff>
                    <xdr:row>18</xdr:row>
                    <xdr:rowOff>0</xdr:rowOff>
                  </from>
                  <to>
                    <xdr:col>7</xdr:col>
                    <xdr:colOff>0</xdr:colOff>
                    <xdr:row>19</xdr:row>
                    <xdr:rowOff>0</xdr:rowOff>
                  </to>
                </anchor>
              </controlPr>
            </control>
          </mc:Choice>
        </mc:AlternateContent>
        <mc:AlternateContent xmlns:mc="http://schemas.openxmlformats.org/markup-compatibility/2006">
          <mc:Choice Requires="x14">
            <control shapeId="58379" r:id="rId14" name="Drop Down 11">
              <controlPr locked="0" defaultSize="0" autoLine="0" autoPict="0" macro="[0]!DropDownChild3HasChinaPlaceofIssue_Change">
                <anchor moveWithCells="1">
                  <from>
                    <xdr:col>4</xdr:col>
                    <xdr:colOff>0</xdr:colOff>
                    <xdr:row>20</xdr:row>
                    <xdr:rowOff>257175</xdr:rowOff>
                  </from>
                  <to>
                    <xdr:col>7</xdr:col>
                    <xdr:colOff>0</xdr:colOff>
                    <xdr:row>28</xdr:row>
                    <xdr:rowOff>0</xdr:rowOff>
                  </to>
                </anchor>
              </controlPr>
            </control>
          </mc:Choice>
        </mc:AlternateContent>
        <mc:AlternateContent xmlns:mc="http://schemas.openxmlformats.org/markup-compatibility/2006">
          <mc:Choice Requires="x14">
            <control shapeId="58380" r:id="rId15" name="Drop Down 12">
              <controlPr locked="0" defaultSize="0" autoLine="0" autoPict="0">
                <anchor moveWithCells="1">
                  <from>
                    <xdr:col>4</xdr:col>
                    <xdr:colOff>0</xdr:colOff>
                    <xdr:row>21</xdr:row>
                    <xdr:rowOff>257175</xdr:rowOff>
                  </from>
                  <to>
                    <xdr:col>7</xdr:col>
                    <xdr:colOff>0</xdr:colOff>
                    <xdr:row>28</xdr:row>
                    <xdr:rowOff>0</xdr:rowOff>
                  </to>
                </anchor>
              </controlPr>
            </control>
          </mc:Choice>
        </mc:AlternateContent>
        <mc:AlternateContent xmlns:mc="http://schemas.openxmlformats.org/markup-compatibility/2006">
          <mc:Choice Requires="x14">
            <control shapeId="58381" r:id="rId16" name="Drop Down 13">
              <controlPr locked="0" defaultSize="0" autoLine="0" autoPict="0">
                <anchor moveWithCells="1">
                  <from>
                    <xdr:col>4</xdr:col>
                    <xdr:colOff>0</xdr:colOff>
                    <xdr:row>29</xdr:row>
                    <xdr:rowOff>66675</xdr:rowOff>
                  </from>
                  <to>
                    <xdr:col>7</xdr:col>
                    <xdr:colOff>0</xdr:colOff>
                    <xdr:row>29</xdr:row>
                    <xdr:rowOff>314325</xdr:rowOff>
                  </to>
                </anchor>
              </controlPr>
            </control>
          </mc:Choice>
        </mc:AlternateContent>
        <mc:AlternateContent xmlns:mc="http://schemas.openxmlformats.org/markup-compatibility/2006">
          <mc:Choice Requires="x14">
            <control shapeId="58382" r:id="rId17" name="Drop Down 14">
              <controlPr locked="0" defaultSize="0" autoLine="0" autoPict="0" macro="[0]!YourChild_3.DropDownChildHasNationalIdentityDoc_Change">
                <anchor moveWithCells="1">
                  <from>
                    <xdr:col>4</xdr:col>
                    <xdr:colOff>0</xdr:colOff>
                    <xdr:row>33</xdr:row>
                    <xdr:rowOff>0</xdr:rowOff>
                  </from>
                  <to>
                    <xdr:col>7</xdr:col>
                    <xdr:colOff>0</xdr:colOff>
                    <xdr:row>34</xdr:row>
                    <xdr:rowOff>0</xdr:rowOff>
                  </to>
                </anchor>
              </controlPr>
            </control>
          </mc:Choice>
        </mc:AlternateContent>
        <mc:AlternateContent xmlns:mc="http://schemas.openxmlformats.org/markup-compatibility/2006">
          <mc:Choice Requires="x14">
            <control shapeId="58383" r:id="rId18" name="Drop Down 15">
              <controlPr locked="0" defaultSize="0" autoLine="0" autoPict="0">
                <anchor moveWithCells="1">
                  <from>
                    <xdr:col>4</xdr:col>
                    <xdr:colOff>0</xdr:colOff>
                    <xdr:row>37</xdr:row>
                    <xdr:rowOff>0</xdr:rowOff>
                  </from>
                  <to>
                    <xdr:col>7</xdr:col>
                    <xdr:colOff>0</xdr:colOff>
                    <xdr:row>43</xdr:row>
                    <xdr:rowOff>0</xdr:rowOff>
                  </to>
                </anchor>
              </controlPr>
            </control>
          </mc:Choice>
        </mc:AlternateContent>
        <mc:AlternateContent xmlns:mc="http://schemas.openxmlformats.org/markup-compatibility/2006">
          <mc:Choice Requires="x14">
            <control shapeId="58384" r:id="rId19" name="Drop Down 16">
              <controlPr locked="0" defaultSize="0" autoLine="0" autoPict="0">
                <anchor moveWithCells="1">
                  <from>
                    <xdr:col>4</xdr:col>
                    <xdr:colOff>0</xdr:colOff>
                    <xdr:row>46</xdr:row>
                    <xdr:rowOff>0</xdr:rowOff>
                  </from>
                  <to>
                    <xdr:col>7</xdr:col>
                    <xdr:colOff>0</xdr:colOff>
                    <xdr:row>47</xdr:row>
                    <xdr:rowOff>0</xdr:rowOff>
                  </to>
                </anchor>
              </controlPr>
            </control>
          </mc:Choice>
        </mc:AlternateContent>
        <mc:AlternateContent xmlns:mc="http://schemas.openxmlformats.org/markup-compatibility/2006">
          <mc:Choice Requires="x14">
            <control shapeId="58385" r:id="rId20" name="Drop Down 17">
              <controlPr locked="0" defaultSize="0" autoLine="0" autoPict="0">
                <anchor moveWithCells="1">
                  <from>
                    <xdr:col>4</xdr:col>
                    <xdr:colOff>0</xdr:colOff>
                    <xdr:row>49</xdr:row>
                    <xdr:rowOff>0</xdr:rowOff>
                  </from>
                  <to>
                    <xdr:col>7</xdr:col>
                    <xdr:colOff>0</xdr:colOff>
                    <xdr:row>50</xdr:row>
                    <xdr:rowOff>0</xdr:rowOff>
                  </to>
                </anchor>
              </controlPr>
            </control>
          </mc:Choice>
        </mc:AlternateContent>
        <mc:AlternateContent xmlns:mc="http://schemas.openxmlformats.org/markup-compatibility/2006">
          <mc:Choice Requires="x14">
            <control shapeId="58386" r:id="rId21" name="Drop Down 18">
              <controlPr locked="0" defaultSize="0" autoLine="0" autoPict="0" macro="[0]!YourChild_3.DropDownChildHasOtherNamesOrSpelling_Change">
                <anchor moveWithCells="1">
                  <from>
                    <xdr:col>4</xdr:col>
                    <xdr:colOff>0</xdr:colOff>
                    <xdr:row>52</xdr:row>
                    <xdr:rowOff>66675</xdr:rowOff>
                  </from>
                  <to>
                    <xdr:col>7</xdr:col>
                    <xdr:colOff>0</xdr:colOff>
                    <xdr:row>52</xdr:row>
                    <xdr:rowOff>314325</xdr:rowOff>
                  </to>
                </anchor>
              </controlPr>
            </control>
          </mc:Choice>
        </mc:AlternateContent>
        <mc:AlternateContent xmlns:mc="http://schemas.openxmlformats.org/markup-compatibility/2006">
          <mc:Choice Requires="x14">
            <control shapeId="58387" r:id="rId22" name="Drop Down 19">
              <controlPr locked="0" defaultSize="0" autoLine="0" autoPict="0">
                <anchor moveWithCells="1">
                  <from>
                    <xdr:col>4</xdr:col>
                    <xdr:colOff>0</xdr:colOff>
                    <xdr:row>55</xdr:row>
                    <xdr:rowOff>0</xdr:rowOff>
                  </from>
                  <to>
                    <xdr:col>7</xdr:col>
                    <xdr:colOff>0</xdr:colOff>
                    <xdr:row>59</xdr:row>
                    <xdr:rowOff>0</xdr:rowOff>
                  </to>
                </anchor>
              </controlPr>
            </control>
          </mc:Choice>
        </mc:AlternateContent>
        <mc:AlternateContent xmlns:mc="http://schemas.openxmlformats.org/markup-compatibility/2006">
          <mc:Choice Requires="x14">
            <control shapeId="58388" r:id="rId23" name="Drop Down 20">
              <controlPr locked="0" defaultSize="0" autoLine="0" autoPict="0" macro="[0]!YourChild_3.DropDownChildHasOtherCountryPassport_Change">
                <anchor moveWithCells="1">
                  <from>
                    <xdr:col>4</xdr:col>
                    <xdr:colOff>0</xdr:colOff>
                    <xdr:row>61</xdr:row>
                    <xdr:rowOff>0</xdr:rowOff>
                  </from>
                  <to>
                    <xdr:col>7</xdr:col>
                    <xdr:colOff>0</xdr:colOff>
                    <xdr:row>62</xdr:row>
                    <xdr:rowOff>0</xdr:rowOff>
                  </to>
                </anchor>
              </controlPr>
            </control>
          </mc:Choice>
        </mc:AlternateContent>
        <mc:AlternateContent xmlns:mc="http://schemas.openxmlformats.org/markup-compatibility/2006">
          <mc:Choice Requires="x14">
            <control shapeId="58389" r:id="rId24" name="Drop Down 21">
              <controlPr defaultSize="0" autoLine="0" autoPict="0">
                <anchor moveWithCells="1">
                  <from>
                    <xdr:col>4</xdr:col>
                    <xdr:colOff>0</xdr:colOff>
                    <xdr:row>62</xdr:row>
                    <xdr:rowOff>0</xdr:rowOff>
                  </from>
                  <to>
                    <xdr:col>4</xdr:col>
                    <xdr:colOff>1752600</xdr:colOff>
                    <xdr:row>63</xdr:row>
                    <xdr:rowOff>0</xdr:rowOff>
                  </to>
                </anchor>
              </controlPr>
            </control>
          </mc:Choice>
        </mc:AlternateContent>
        <mc:AlternateContent xmlns:mc="http://schemas.openxmlformats.org/markup-compatibility/2006">
          <mc:Choice Requires="x14">
            <control shapeId="58390" r:id="rId25" name="Drop Down 22">
              <controlPr defaultSize="0" autoLine="0" autoPict="0">
                <anchor moveWithCells="1">
                  <from>
                    <xdr:col>4</xdr:col>
                    <xdr:colOff>1819275</xdr:colOff>
                    <xdr:row>62</xdr:row>
                    <xdr:rowOff>0</xdr:rowOff>
                  </from>
                  <to>
                    <xdr:col>7</xdr:col>
                    <xdr:colOff>0</xdr:colOff>
                    <xdr:row>63</xdr:row>
                    <xdr:rowOff>0</xdr:rowOff>
                  </to>
                </anchor>
              </controlPr>
            </control>
          </mc:Choice>
        </mc:AlternateContent>
        <mc:AlternateContent xmlns:mc="http://schemas.openxmlformats.org/markup-compatibility/2006">
          <mc:Choice Requires="x14">
            <control shapeId="58391" r:id="rId26" name="Drop Down 23">
              <controlPr locked="0" defaultSize="0" autoLine="0" autoPict="0">
                <anchor moveWithCells="1">
                  <from>
                    <xdr:col>4</xdr:col>
                    <xdr:colOff>0</xdr:colOff>
                    <xdr:row>66</xdr:row>
                    <xdr:rowOff>0</xdr:rowOff>
                  </from>
                  <to>
                    <xdr:col>7</xdr:col>
                    <xdr:colOff>0</xdr:colOff>
                    <xdr:row>78</xdr:row>
                    <xdr:rowOff>0</xdr:rowOff>
                  </to>
                </anchor>
              </controlPr>
            </control>
          </mc:Choice>
        </mc:AlternateContent>
        <mc:AlternateContent xmlns:mc="http://schemas.openxmlformats.org/markup-compatibility/2006">
          <mc:Choice Requires="x14">
            <control shapeId="58392" r:id="rId27" name="Drop Down 24">
              <controlPr locked="0" defaultSize="0" autoLine="0" autoPict="0">
                <anchor moveWithCells="1">
                  <from>
                    <xdr:col>4</xdr:col>
                    <xdr:colOff>0</xdr:colOff>
                    <xdr:row>69</xdr:row>
                    <xdr:rowOff>0</xdr:rowOff>
                  </from>
                  <to>
                    <xdr:col>7</xdr:col>
                    <xdr:colOff>0</xdr:colOff>
                    <xdr:row>78</xdr:row>
                    <xdr:rowOff>0</xdr:rowOff>
                  </to>
                </anchor>
              </controlPr>
            </control>
          </mc:Choice>
        </mc:AlternateContent>
        <mc:AlternateContent xmlns:mc="http://schemas.openxmlformats.org/markup-compatibility/2006">
          <mc:Choice Requires="x14">
            <control shapeId="58393" r:id="rId28" name="Drop Down 25">
              <controlPr locked="0" defaultSize="0" autoLine="0" autoPict="0">
                <anchor moveWithCells="1">
                  <from>
                    <xdr:col>4</xdr:col>
                    <xdr:colOff>0</xdr:colOff>
                    <xdr:row>71</xdr:row>
                    <xdr:rowOff>257175</xdr:rowOff>
                  </from>
                  <to>
                    <xdr:col>7</xdr:col>
                    <xdr:colOff>0</xdr:colOff>
                    <xdr:row>78</xdr:row>
                    <xdr:rowOff>0</xdr:rowOff>
                  </to>
                </anchor>
              </controlPr>
            </control>
          </mc:Choice>
        </mc:AlternateContent>
        <mc:AlternateContent xmlns:mc="http://schemas.openxmlformats.org/markup-compatibility/2006">
          <mc:Choice Requires="x14">
            <control shapeId="58394" r:id="rId29" name="Drop Down 26">
              <controlPr locked="0" defaultSize="0" autoLine="0" autoPict="0">
                <anchor moveWithCells="1">
                  <from>
                    <xdr:col>4</xdr:col>
                    <xdr:colOff>0</xdr:colOff>
                    <xdr:row>73</xdr:row>
                    <xdr:rowOff>0</xdr:rowOff>
                  </from>
                  <to>
                    <xdr:col>7</xdr:col>
                    <xdr:colOff>0</xdr:colOff>
                    <xdr:row>78</xdr:row>
                    <xdr:rowOff>0</xdr:rowOff>
                  </to>
                </anchor>
              </controlPr>
            </control>
          </mc:Choice>
        </mc:AlternateContent>
        <mc:AlternateContent xmlns:mc="http://schemas.openxmlformats.org/markup-compatibility/2006">
          <mc:Choice Requires="x14">
            <control shapeId="58395" r:id="rId30" name="Drop Down 27">
              <controlPr locked="0" defaultSize="0" autoLine="0" autoPict="0" macro="[0]!YourChild_3.DropDownChildHasOtherIdentityDoc_Change">
                <anchor moveWithCells="1">
                  <from>
                    <xdr:col>4</xdr:col>
                    <xdr:colOff>0</xdr:colOff>
                    <xdr:row>79</xdr:row>
                    <xdr:rowOff>0</xdr:rowOff>
                  </from>
                  <to>
                    <xdr:col>7</xdr:col>
                    <xdr:colOff>0</xdr:colOff>
                    <xdr:row>80</xdr:row>
                    <xdr:rowOff>0</xdr:rowOff>
                  </to>
                </anchor>
              </controlPr>
            </control>
          </mc:Choice>
        </mc:AlternateContent>
        <mc:AlternateContent xmlns:mc="http://schemas.openxmlformats.org/markup-compatibility/2006">
          <mc:Choice Requires="x14">
            <control shapeId="58396" r:id="rId31" name="Drop Down 28">
              <controlPr locked="0" defaultSize="0" autoLine="0" autoPict="0">
                <anchor moveWithCells="1">
                  <from>
                    <xdr:col>4</xdr:col>
                    <xdr:colOff>0</xdr:colOff>
                    <xdr:row>81</xdr:row>
                    <xdr:rowOff>257175</xdr:rowOff>
                  </from>
                  <to>
                    <xdr:col>7</xdr:col>
                    <xdr:colOff>0</xdr:colOff>
                    <xdr:row>86</xdr:row>
                    <xdr:rowOff>0</xdr:rowOff>
                  </to>
                </anchor>
              </controlPr>
            </control>
          </mc:Choice>
        </mc:AlternateContent>
        <mc:AlternateContent xmlns:mc="http://schemas.openxmlformats.org/markup-compatibility/2006">
          <mc:Choice Requires="x14">
            <control shapeId="58397" r:id="rId32" name="Drop Down 29">
              <controlPr locked="0" defaultSize="0" autoLine="0" autoPict="0">
                <anchor moveWithCells="1">
                  <from>
                    <xdr:col>4</xdr:col>
                    <xdr:colOff>0</xdr:colOff>
                    <xdr:row>83</xdr:row>
                    <xdr:rowOff>257175</xdr:rowOff>
                  </from>
                  <to>
                    <xdr:col>7</xdr:col>
                    <xdr:colOff>0</xdr:colOff>
                    <xdr:row>86</xdr:row>
                    <xdr:rowOff>0</xdr:rowOff>
                  </to>
                </anchor>
              </controlPr>
            </control>
          </mc:Choice>
        </mc:AlternateContent>
        <mc:AlternateContent xmlns:mc="http://schemas.openxmlformats.org/markup-compatibility/2006">
          <mc:Choice Requires="x14">
            <control shapeId="58398" r:id="rId33" name="Drop Down 30">
              <controlPr locked="0" defaultSize="0" autoLine="0" autoPict="0">
                <anchor moveWithCells="1">
                  <from>
                    <xdr:col>4</xdr:col>
                    <xdr:colOff>0</xdr:colOff>
                    <xdr:row>5</xdr:row>
                    <xdr:rowOff>0</xdr:rowOff>
                  </from>
                  <to>
                    <xdr:col>7</xdr:col>
                    <xdr:colOff>0</xdr:colOff>
                    <xdr:row>6</xdr:row>
                    <xdr:rowOff>0</xdr:rowOff>
                  </to>
                </anchor>
              </controlPr>
            </control>
          </mc:Choice>
        </mc:AlternateContent>
        <mc:AlternateContent xmlns:mc="http://schemas.openxmlformats.org/markup-compatibility/2006">
          <mc:Choice Requires="x14">
            <control shapeId="58399" r:id="rId34" name="Drop Down 31">
              <controlPr locked="0" defaultSize="0" autoLine="0" autoPict="0">
                <anchor moveWithCells="1">
                  <from>
                    <xdr:col>4</xdr:col>
                    <xdr:colOff>0</xdr:colOff>
                    <xdr:row>62</xdr:row>
                    <xdr:rowOff>0</xdr:rowOff>
                  </from>
                  <to>
                    <xdr:col>4</xdr:col>
                    <xdr:colOff>1752600</xdr:colOff>
                    <xdr:row>63</xdr:row>
                    <xdr:rowOff>0</xdr:rowOff>
                  </to>
                </anchor>
              </controlPr>
            </control>
          </mc:Choice>
        </mc:AlternateContent>
        <mc:AlternateContent xmlns:mc="http://schemas.openxmlformats.org/markup-compatibility/2006">
          <mc:Choice Requires="x14">
            <control shapeId="58400" r:id="rId35" name="Drop Down 32">
              <controlPr locked="0" defaultSize="0" autoLine="0" autoPict="0">
                <anchor moveWithCells="1">
                  <from>
                    <xdr:col>4</xdr:col>
                    <xdr:colOff>1819275</xdr:colOff>
                    <xdr:row>62</xdr:row>
                    <xdr:rowOff>0</xdr:rowOff>
                  </from>
                  <to>
                    <xdr:col>7</xdr:col>
                    <xdr:colOff>0</xdr:colOff>
                    <xdr:row>63</xdr:row>
                    <xdr:rowOff>0</xdr:rowOff>
                  </to>
                </anchor>
              </controlPr>
            </control>
          </mc:Choice>
        </mc:AlternateContent>
        <mc:AlternateContent xmlns:mc="http://schemas.openxmlformats.org/markup-compatibility/2006">
          <mc:Choice Requires="x14">
            <control shapeId="58401" r:id="rId36" name="Drop Down 33">
              <controlPr locked="0" defaultSize="0" autoLine="0" autoPict="0" macro="[0]!DropDownChild3HasCurrentPassport_Change">
                <anchor moveWithCells="1">
                  <from>
                    <xdr:col>4</xdr:col>
                    <xdr:colOff>0</xdr:colOff>
                    <xdr:row>14</xdr:row>
                    <xdr:rowOff>0</xdr:rowOff>
                  </from>
                  <to>
                    <xdr:col>7</xdr:col>
                    <xdr:colOff>0</xdr:colOff>
                    <xdr:row>15</xdr:row>
                    <xdr:rowOff>0</xdr:rowOff>
                  </to>
                </anchor>
              </controlPr>
            </control>
          </mc:Choice>
        </mc:AlternateContent>
        <mc:AlternateContent xmlns:mc="http://schemas.openxmlformats.org/markup-compatibility/2006">
          <mc:Choice Requires="x14">
            <control shapeId="58402" r:id="rId37" name="Drop Down 34">
              <controlPr locked="0" defaultSize="0" autoLine="0" autoPict="0" macro="[0]!DropDownChildHasCurrentPassport_Change">
                <anchor moveWithCells="1">
                  <from>
                    <xdr:col>4</xdr:col>
                    <xdr:colOff>0</xdr:colOff>
                    <xdr:row>15</xdr:row>
                    <xdr:rowOff>0</xdr:rowOff>
                  </from>
                  <to>
                    <xdr:col>7</xdr:col>
                    <xdr:colOff>0</xdr:colOff>
                    <xdr:row>17</xdr:row>
                    <xdr:rowOff>0</xdr:rowOff>
                  </to>
                </anchor>
              </controlPr>
            </control>
          </mc:Choice>
        </mc:AlternateContent>
        <mc:AlternateContent xmlns:mc="http://schemas.openxmlformats.org/markup-compatibility/2006">
          <mc:Choice Requires="x14">
            <control shapeId="58403" r:id="rId38" name="Drop Down 35">
              <controlPr locked="0" defaultSize="0" autoLine="0" autoPict="0">
                <anchor moveWithCells="1">
                  <from>
                    <xdr:col>4</xdr:col>
                    <xdr:colOff>9525</xdr:colOff>
                    <xdr:row>25</xdr:row>
                    <xdr:rowOff>0</xdr:rowOff>
                  </from>
                  <to>
                    <xdr:col>7</xdr:col>
                    <xdr:colOff>9525</xdr:colOff>
                    <xdr:row>28</xdr:row>
                    <xdr:rowOff>0</xdr:rowOff>
                  </to>
                </anchor>
              </controlPr>
            </control>
          </mc:Choice>
        </mc:AlternateContent>
        <mc:AlternateContent xmlns:mc="http://schemas.openxmlformats.org/markup-compatibility/2006">
          <mc:Choice Requires="x14">
            <control shapeId="58404" r:id="rId39" name="Drop Down 36">
              <controlPr locked="0" defaultSize="0" autoLine="0" autoPict="0" macro="[0]!DropDownChild3HasCurrentPassport_Change">
                <anchor moveWithCells="1">
                  <from>
                    <xdr:col>4</xdr:col>
                    <xdr:colOff>0</xdr:colOff>
                    <xdr:row>15</xdr:row>
                    <xdr:rowOff>0</xdr:rowOff>
                  </from>
                  <to>
                    <xdr:col>7</xdr:col>
                    <xdr:colOff>0</xdr:colOff>
                    <xdr:row>17</xdr:row>
                    <xdr:rowOff>0</xdr:rowOff>
                  </to>
                </anchor>
              </controlPr>
            </control>
          </mc:Choice>
        </mc:AlternateContent>
        <mc:AlternateContent xmlns:mc="http://schemas.openxmlformats.org/markup-compatibility/2006">
          <mc:Choice Requires="x14">
            <control shapeId="58405" r:id="rId40" name="Drop Down 37">
              <controlPr locked="0" defaultSize="0" autoLine="0" autoPict="0">
                <anchor moveWithCells="1">
                  <from>
                    <xdr:col>3</xdr:col>
                    <xdr:colOff>2905125</xdr:colOff>
                    <xdr:row>25</xdr:row>
                    <xdr:rowOff>0</xdr:rowOff>
                  </from>
                  <to>
                    <xdr:col>7</xdr:col>
                    <xdr:colOff>0</xdr:colOff>
                    <xdr:row>28</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3">
    <tabColor theme="8" tint="0.59999389629810485"/>
    <pageSetUpPr fitToPage="1"/>
  </sheetPr>
  <dimension ref="A1:P134"/>
  <sheetViews>
    <sheetView showGridLines="0" showRowColHeaders="0" topLeftCell="C1" workbookViewId="0">
      <selection activeCell="D3" sqref="D3"/>
    </sheetView>
  </sheetViews>
  <sheetFormatPr defaultColWidth="9.33203125" defaultRowHeight="12.75"/>
  <cols>
    <col min="1" max="1" width="10.83203125" style="32" hidden="1" customWidth="1"/>
    <col min="2" max="2" width="11.33203125" style="32" hidden="1" customWidth="1"/>
    <col min="3" max="3" width="3.83203125" style="32" customWidth="1"/>
    <col min="4" max="4" width="50.83203125" style="32" customWidth="1"/>
    <col min="5" max="5" width="40.83203125" style="32" customWidth="1"/>
    <col min="6" max="7" width="10.83203125" style="32" customWidth="1"/>
    <col min="8" max="8" width="3.83203125" style="32" customWidth="1"/>
    <col min="9" max="9" width="9.33203125" style="32" customWidth="1"/>
    <col min="10" max="12" width="9.33203125" style="32" hidden="1" customWidth="1"/>
    <col min="13" max="13" width="71.33203125" style="32" hidden="1" customWidth="1"/>
    <col min="14" max="15" width="9.33203125" style="32" hidden="1" customWidth="1"/>
    <col min="16" max="16" width="9.33203125" style="32" customWidth="1"/>
    <col min="17" max="16384" width="9.33203125" style="32"/>
  </cols>
  <sheetData>
    <row r="1" spans="1:15" ht="39.950000000000003" customHeight="1">
      <c r="B1" s="106"/>
      <c r="G1" s="86"/>
      <c r="J1" s="4" t="s">
        <v>1960</v>
      </c>
      <c r="K1" s="4" t="s">
        <v>1960</v>
      </c>
      <c r="L1" s="4" t="s">
        <v>1960</v>
      </c>
      <c r="M1" s="4" t="s">
        <v>1960</v>
      </c>
      <c r="N1" s="4" t="s">
        <v>1960</v>
      </c>
      <c r="O1" s="4" t="s">
        <v>1960</v>
      </c>
    </row>
    <row r="2" spans="1:15" s="78" customFormat="1" ht="39.950000000000003" customHeight="1">
      <c r="B2" s="159"/>
      <c r="D2" s="212" t="s">
        <v>8</v>
      </c>
      <c r="E2" s="212"/>
      <c r="F2" s="212"/>
      <c r="G2" s="212"/>
      <c r="J2" s="79" t="s">
        <v>1965</v>
      </c>
      <c r="K2" s="79"/>
      <c r="L2" s="79"/>
      <c r="M2" s="79"/>
      <c r="N2" s="79"/>
      <c r="O2" s="79"/>
    </row>
    <row r="3" spans="1:15" ht="30" customHeight="1">
      <c r="B3" s="106"/>
      <c r="D3" s="120" t="s">
        <v>40</v>
      </c>
      <c r="F3" s="88"/>
      <c r="G3" s="88" t="s">
        <v>1224</v>
      </c>
      <c r="J3" s="4" t="s">
        <v>1961</v>
      </c>
      <c r="K3" s="4" t="s">
        <v>1962</v>
      </c>
      <c r="L3" s="4" t="s">
        <v>1963</v>
      </c>
      <c r="M3" s="4" t="s">
        <v>1964</v>
      </c>
      <c r="N3" s="4"/>
      <c r="O3" s="4"/>
    </row>
    <row r="4" spans="1:15" ht="30" customHeight="1">
      <c r="B4" s="106"/>
      <c r="C4" s="70"/>
      <c r="D4" s="184" t="s">
        <v>1915</v>
      </c>
      <c r="E4" s="184"/>
      <c r="F4" s="184"/>
      <c r="G4" s="184"/>
      <c r="H4" s="70"/>
      <c r="J4" s="4"/>
      <c r="K4" s="125">
        <f>IF(N4=O4,1,0)</f>
        <v>1</v>
      </c>
      <c r="L4" s="4"/>
      <c r="M4" s="4"/>
      <c r="N4" s="4">
        <f>SUM(N6:N105)</f>
        <v>0</v>
      </c>
      <c r="O4" s="4">
        <f>SUM(O6:O105)</f>
        <v>0</v>
      </c>
    </row>
    <row r="5" spans="1:15" ht="20.100000000000001" customHeight="1">
      <c r="B5" s="106"/>
      <c r="D5" s="5"/>
      <c r="E5" s="5"/>
      <c r="J5" s="4"/>
      <c r="K5" s="4"/>
      <c r="L5" s="4"/>
      <c r="M5" s="4"/>
      <c r="N5" s="4"/>
      <c r="O5" s="4"/>
    </row>
    <row r="6" spans="1:15" s="1" customFormat="1" ht="20.100000000000001" customHeight="1">
      <c r="A6" s="112"/>
      <c r="B6" s="112">
        <v>1</v>
      </c>
      <c r="C6" s="74" t="s">
        <v>1912</v>
      </c>
      <c r="D6" s="61" t="s">
        <v>88</v>
      </c>
      <c r="E6" s="293"/>
      <c r="F6" s="294"/>
      <c r="G6" s="295"/>
      <c r="J6" s="6">
        <f>IF(applicantDetails!$B$20=5,child_1!$J$6,0)</f>
        <v>0</v>
      </c>
      <c r="K6" s="129">
        <f>IF(B6=1,0,1)</f>
        <v>0</v>
      </c>
      <c r="L6" s="127">
        <f>IF(J6,B6,1)</f>
        <v>1</v>
      </c>
      <c r="M6" s="52" t="str">
        <f>formData!B325</f>
        <v>ACCOMPANYING_CHILD4_RELATIONSHIP_TO_PRIMARY_APPLICANT</v>
      </c>
      <c r="N6" s="6">
        <f>IF(J6=1,1,0)</f>
        <v>0</v>
      </c>
      <c r="O6" s="6">
        <f>+J6*K6</f>
        <v>0</v>
      </c>
    </row>
    <row r="7" spans="1:15" ht="20.100000000000001" customHeight="1">
      <c r="A7" s="106"/>
      <c r="B7" s="106"/>
      <c r="D7" s="5"/>
      <c r="E7" s="5"/>
      <c r="J7" s="32">
        <f>J6</f>
        <v>0</v>
      </c>
      <c r="M7" s="52"/>
      <c r="N7" s="6"/>
      <c r="O7" s="6"/>
    </row>
    <row r="8" spans="1:15" ht="24.95" customHeight="1">
      <c r="A8" s="106"/>
      <c r="B8" s="106"/>
      <c r="C8" s="74" t="s">
        <v>1912</v>
      </c>
      <c r="D8" s="256" t="s">
        <v>44</v>
      </c>
      <c r="E8" s="284"/>
      <c r="F8" s="284"/>
      <c r="G8" s="285"/>
      <c r="J8" s="6"/>
      <c r="K8" s="6"/>
      <c r="L8" s="6"/>
      <c r="M8" s="52"/>
      <c r="N8" s="6">
        <f t="shared" ref="N8:N24" si="0">IF(J8=1,1,0)</f>
        <v>0</v>
      </c>
      <c r="O8" s="6">
        <f t="shared" ref="O8:O24" si="1">+J8*K8</f>
        <v>0</v>
      </c>
    </row>
    <row r="9" spans="1:15" s="34" customFormat="1" ht="20.100000000000001" customHeight="1">
      <c r="A9" s="113"/>
      <c r="B9" s="113">
        <v>1</v>
      </c>
      <c r="C9" s="74" t="s">
        <v>1912</v>
      </c>
      <c r="D9" s="7" t="s">
        <v>57</v>
      </c>
      <c r="E9" s="240"/>
      <c r="F9" s="241"/>
      <c r="G9" s="242"/>
      <c r="J9" s="6">
        <f t="shared" ref="J9:J10" si="2">IF($C9="*",IF($A9="Hide",0,$J$7),0)</f>
        <v>0</v>
      </c>
      <c r="K9" s="129">
        <f>IF(B9=1,0,1)</f>
        <v>0</v>
      </c>
      <c r="L9" s="127">
        <f>IF(A9="Hide",1,IF($J$7=1,B9,1))</f>
        <v>1</v>
      </c>
      <c r="M9" s="52" t="str">
        <f>formData!B326</f>
        <v>ACCOMPANYING_CHILD4_CURRENT_LOCATION_COUNTRY</v>
      </c>
      <c r="N9" s="6">
        <f t="shared" si="0"/>
        <v>0</v>
      </c>
      <c r="O9" s="6">
        <f t="shared" si="1"/>
        <v>0</v>
      </c>
    </row>
    <row r="10" spans="1:15" s="34" customFormat="1" ht="20.100000000000001" customHeight="1">
      <c r="A10" s="113"/>
      <c r="B10" s="113">
        <v>1</v>
      </c>
      <c r="C10" s="74" t="s">
        <v>1912</v>
      </c>
      <c r="D10" s="7" t="s">
        <v>58</v>
      </c>
      <c r="E10" s="240"/>
      <c r="F10" s="241"/>
      <c r="G10" s="242"/>
      <c r="J10" s="6">
        <f t="shared" si="2"/>
        <v>0</v>
      </c>
      <c r="K10" s="129">
        <f>IF(B10=1,0,1)</f>
        <v>0</v>
      </c>
      <c r="L10" s="127">
        <f>IF(A10="Hide",1,IF($J$7=1,B10,1))</f>
        <v>1</v>
      </c>
      <c r="M10" s="52" t="str">
        <f>formData!B327</f>
        <v>ACCOMPANYING_CHILD4_CURRENT_LOCATION_LEGAL_STATUS</v>
      </c>
      <c r="N10" s="6">
        <f t="shared" si="0"/>
        <v>0</v>
      </c>
      <c r="O10" s="6">
        <f t="shared" si="1"/>
        <v>0</v>
      </c>
    </row>
    <row r="11" spans="1:15" s="34" customFormat="1" ht="20.100000000000001" customHeight="1">
      <c r="A11" s="113"/>
      <c r="B11" s="113"/>
      <c r="D11" s="296" t="s">
        <v>66</v>
      </c>
      <c r="E11" s="297"/>
      <c r="F11" s="297"/>
      <c r="G11" s="298"/>
      <c r="J11" s="6"/>
      <c r="K11" s="6"/>
      <c r="L11" s="6"/>
      <c r="M11" s="52"/>
      <c r="N11" s="6">
        <f t="shared" si="0"/>
        <v>0</v>
      </c>
      <c r="O11" s="6">
        <f t="shared" si="1"/>
        <v>0</v>
      </c>
    </row>
    <row r="12" spans="1:15" s="34" customFormat="1" ht="60" customHeight="1">
      <c r="A12" s="113"/>
      <c r="B12" s="113"/>
      <c r="D12" s="270"/>
      <c r="E12" s="271"/>
      <c r="F12" s="271"/>
      <c r="G12" s="272"/>
      <c r="J12" s="157">
        <f t="shared" ref="J12" si="3">IF($C12="*",IF($A12="Hide",0,$J$7),0)</f>
        <v>0</v>
      </c>
      <c r="K12" s="158">
        <f>IF(LEN(D12)=0,0,1)</f>
        <v>0</v>
      </c>
      <c r="L12" s="157">
        <f>IF(A12="Hide",0,IF($J$7=1,D12,0))</f>
        <v>0</v>
      </c>
      <c r="M12" s="52" t="str">
        <f>formData!B328</f>
        <v>ACCOMPANYING_CHILD4_CURRENT_LOCATION_GIVE_DETAILS</v>
      </c>
      <c r="N12" s="6">
        <f t="shared" si="0"/>
        <v>0</v>
      </c>
      <c r="O12" s="6">
        <f t="shared" si="1"/>
        <v>0</v>
      </c>
    </row>
    <row r="13" spans="1:15" s="34" customFormat="1" ht="20.100000000000001" customHeight="1">
      <c r="A13" s="113"/>
      <c r="B13" s="113"/>
      <c r="D13" s="10"/>
      <c r="E13" s="65"/>
      <c r="N13" s="6">
        <f t="shared" si="0"/>
        <v>0</v>
      </c>
      <c r="O13" s="6">
        <f t="shared" si="1"/>
        <v>0</v>
      </c>
    </row>
    <row r="14" spans="1:15" ht="24.95" customHeight="1">
      <c r="A14" s="106"/>
      <c r="B14" s="106"/>
      <c r="C14" s="74" t="s">
        <v>1912</v>
      </c>
      <c r="D14" s="256" t="s">
        <v>46</v>
      </c>
      <c r="E14" s="284"/>
      <c r="F14" s="284"/>
      <c r="G14" s="285"/>
      <c r="N14" s="6">
        <f t="shared" si="0"/>
        <v>0</v>
      </c>
      <c r="O14" s="6">
        <f t="shared" si="1"/>
        <v>0</v>
      </c>
    </row>
    <row r="15" spans="1:15" ht="19.5" customHeight="1">
      <c r="A15" s="106"/>
      <c r="B15" s="106">
        <v>1</v>
      </c>
      <c r="C15" s="74" t="s">
        <v>1912</v>
      </c>
      <c r="D15" s="31" t="s">
        <v>1992</v>
      </c>
      <c r="E15" s="278"/>
      <c r="F15" s="279"/>
      <c r="G15" s="280"/>
      <c r="J15" s="6">
        <f t="shared" ref="J15:J16" si="4">IF($C15="*",IF($A15="Hide",0,$J$7),0)</f>
        <v>0</v>
      </c>
      <c r="K15" s="129">
        <f>IF(B15=1,0,1)</f>
        <v>0</v>
      </c>
      <c r="L15" s="127">
        <f>IF(A15="Hide",1,IF($J$7=1,B15,1))</f>
        <v>1</v>
      </c>
      <c r="M15" s="131" t="str">
        <f>formData!B329</f>
        <v>ACCOMPANYING_CHILD4_PASSPORT_DETAILS_OVER_FIVE_YEARS_OF_AGE</v>
      </c>
      <c r="N15" s="6">
        <f>IF(J15=1,1,0)</f>
        <v>0</v>
      </c>
      <c r="O15" s="6">
        <f>+J15*K15</f>
        <v>0</v>
      </c>
    </row>
    <row r="16" spans="1:15" ht="19.5" hidden="1" customHeight="1">
      <c r="A16" s="106" t="str">
        <f>IF($B$15=3,"Show","HIDE")</f>
        <v>HIDE</v>
      </c>
      <c r="B16" s="106">
        <v>1</v>
      </c>
      <c r="C16" s="74" t="s">
        <v>1912</v>
      </c>
      <c r="D16" s="31" t="s">
        <v>1994</v>
      </c>
      <c r="E16" s="176"/>
      <c r="F16" s="177"/>
      <c r="G16" s="178"/>
      <c r="J16" s="6">
        <f t="shared" si="4"/>
        <v>0</v>
      </c>
      <c r="K16" s="129">
        <f>IF(B16=1,0,1)</f>
        <v>0</v>
      </c>
      <c r="L16" s="127">
        <f>IF(A16="Hide",1,IF($J$7=1,B16,1))</f>
        <v>1</v>
      </c>
      <c r="M16" s="131" t="str">
        <f>formData!B330</f>
        <v>ACCOMPANYING_CHILD4_PASSPORT_DETAILS_CURRENT_PASSPORT</v>
      </c>
      <c r="N16" s="6">
        <f>IF(J16=1,1,0)</f>
        <v>0</v>
      </c>
      <c r="O16" s="6">
        <f t="shared" ref="O16" si="5">+J16*K16</f>
        <v>0</v>
      </c>
    </row>
    <row r="17" spans="1:16" s="34" customFormat="1" ht="20.100000000000001" customHeight="1">
      <c r="A17" s="113"/>
      <c r="B17" s="113"/>
      <c r="C17" s="74" t="s">
        <v>1912</v>
      </c>
      <c r="D17" s="7" t="s">
        <v>12</v>
      </c>
      <c r="E17" s="278">
        <f>applicantDetails!E35</f>
        <v>0</v>
      </c>
      <c r="F17" s="279"/>
      <c r="G17" s="280"/>
      <c r="J17" s="6">
        <f t="shared" ref="J17:J27" si="6">IF($C17="*",IF($A17="Hide",0,$J$7),0)</f>
        <v>0</v>
      </c>
      <c r="K17" s="130">
        <f>IF(LEN(E17)=0,0,1)</f>
        <v>1</v>
      </c>
      <c r="L17" s="126">
        <f>IF(A17="Hide",0,IF($J$7=1,E17,0))</f>
        <v>0</v>
      </c>
      <c r="M17" s="131" t="str">
        <f>formData!B331</f>
        <v>ACCOMPANYING_CHILD4_PASSPORT_DETAILS_FAMILY_NAME</v>
      </c>
      <c r="N17" s="6">
        <f t="shared" si="0"/>
        <v>0</v>
      </c>
      <c r="O17" s="6">
        <f t="shared" si="1"/>
        <v>0</v>
      </c>
    </row>
    <row r="18" spans="1:16" s="34" customFormat="1" ht="20.100000000000001" customHeight="1">
      <c r="A18" s="113"/>
      <c r="B18" s="113"/>
      <c r="C18" s="74" t="s">
        <v>1912</v>
      </c>
      <c r="D18" s="7" t="s">
        <v>13</v>
      </c>
      <c r="E18" s="278">
        <f>applicantDetails!E36</f>
        <v>0</v>
      </c>
      <c r="F18" s="279"/>
      <c r="G18" s="280"/>
      <c r="J18" s="6">
        <f t="shared" si="6"/>
        <v>0</v>
      </c>
      <c r="K18" s="130">
        <f>IF(LEN(E18)=0,0,1)</f>
        <v>1</v>
      </c>
      <c r="L18" s="126">
        <f>IF(A18="Hide",0,IF($J$7=1,E18,0))</f>
        <v>0</v>
      </c>
      <c r="M18" s="131" t="str">
        <f>formData!B332</f>
        <v>ACCOMPANYING_CHILD4_PASSPORT_DETAILS_GIVEN NAMES</v>
      </c>
      <c r="N18" s="6">
        <f t="shared" si="0"/>
        <v>0</v>
      </c>
      <c r="O18" s="6">
        <f t="shared" si="1"/>
        <v>0</v>
      </c>
    </row>
    <row r="19" spans="1:16" s="34" customFormat="1" ht="20.100000000000001" customHeight="1">
      <c r="A19" s="113"/>
      <c r="B19" s="113">
        <v>1</v>
      </c>
      <c r="C19" s="74" t="s">
        <v>1912</v>
      </c>
      <c r="D19" s="7" t="s">
        <v>14</v>
      </c>
      <c r="E19" s="62"/>
      <c r="F19" s="63"/>
      <c r="G19" s="64"/>
      <c r="J19" s="6">
        <f t="shared" si="6"/>
        <v>0</v>
      </c>
      <c r="K19" s="129">
        <f>IF(B19=1,0,1)</f>
        <v>0</v>
      </c>
      <c r="L19" s="127">
        <f>IF(A19="Hide",1,IF($J$7=1,B19,1))</f>
        <v>1</v>
      </c>
      <c r="M19" s="131" t="str">
        <f>formData!B333</f>
        <v>ACCOMPANYING_CHILD4_PASSPORT_DETAILS_SEX</v>
      </c>
      <c r="N19" s="6">
        <f t="shared" si="0"/>
        <v>0</v>
      </c>
      <c r="O19" s="6">
        <f t="shared" si="1"/>
        <v>0</v>
      </c>
    </row>
    <row r="20" spans="1:16" s="34" customFormat="1" ht="20.100000000000001" customHeight="1">
      <c r="A20" s="113"/>
      <c r="B20" s="113"/>
      <c r="C20" s="74" t="s">
        <v>1912</v>
      </c>
      <c r="D20" s="31" t="s">
        <v>1976</v>
      </c>
      <c r="E20" s="219"/>
      <c r="F20" s="220"/>
      <c r="G20" s="221"/>
      <c r="J20" s="6">
        <f t="shared" si="6"/>
        <v>0</v>
      </c>
      <c r="K20" s="130">
        <f>IF(LEN(E20)=0,0,1)</f>
        <v>0</v>
      </c>
      <c r="L20" s="126">
        <f>IF(A20="Hide",0,IF($J$7=1,E20,0))</f>
        <v>0</v>
      </c>
      <c r="M20" s="131" t="str">
        <f>formData!B334</f>
        <v>ACCOMPANYING_CHILD4_PASSPORT_DETAILS_DATE_OF_BIRTH</v>
      </c>
      <c r="N20" s="6">
        <f t="shared" si="0"/>
        <v>0</v>
      </c>
      <c r="O20" s="6">
        <f t="shared" si="1"/>
        <v>0</v>
      </c>
    </row>
    <row r="21" spans="1:16" s="34" customFormat="1" ht="20.100000000000001" hidden="1" customHeight="1">
      <c r="A21" s="106" t="str">
        <f>IF(OR($B$15=2,AND($B$15=3,$B$16=2)),"Show","HIDE")</f>
        <v>HIDE</v>
      </c>
      <c r="B21" s="113"/>
      <c r="C21" s="74" t="s">
        <v>1912</v>
      </c>
      <c r="D21" s="7" t="s">
        <v>15</v>
      </c>
      <c r="E21" s="234"/>
      <c r="F21" s="235"/>
      <c r="G21" s="236"/>
      <c r="J21" s="6">
        <f t="shared" si="6"/>
        <v>0</v>
      </c>
      <c r="K21" s="130">
        <f>IF(LEN(E21)=0,0,1)</f>
        <v>0</v>
      </c>
      <c r="L21" s="126">
        <f>IF(A21="Hide",0,IF($J$7=1,E21,0))</f>
        <v>0</v>
      </c>
      <c r="M21" s="131" t="str">
        <f>formData!B335</f>
        <v>ACCOMPANYING_CHILD4_PASSPORT_DETAILS_PASSPORT_NUMBER</v>
      </c>
      <c r="N21" s="6">
        <f t="shared" si="0"/>
        <v>0</v>
      </c>
      <c r="O21" s="6">
        <f t="shared" si="1"/>
        <v>0</v>
      </c>
    </row>
    <row r="22" spans="1:16" s="34" customFormat="1" ht="20.100000000000001" hidden="1" customHeight="1">
      <c r="A22" s="113" t="str">
        <f>A21</f>
        <v>HIDE</v>
      </c>
      <c r="B22" s="113">
        <v>1</v>
      </c>
      <c r="C22" s="74" t="s">
        <v>1912</v>
      </c>
      <c r="D22" s="7" t="s">
        <v>16</v>
      </c>
      <c r="E22" s="281"/>
      <c r="F22" s="282"/>
      <c r="G22" s="283"/>
      <c r="J22" s="6">
        <f t="shared" si="6"/>
        <v>0</v>
      </c>
      <c r="K22" s="129">
        <f>IF(B22=1,0,1)</f>
        <v>0</v>
      </c>
      <c r="L22" s="127">
        <f>IF(A22="Hide",1,IF($J$7=1,B22,1))</f>
        <v>1</v>
      </c>
      <c r="M22" s="131" t="str">
        <f>formData!B336</f>
        <v>ACCOMPANYING_CHILD4_PASSPORT_DETAILS_COUNTRY_OF_PASSPORT</v>
      </c>
      <c r="N22" s="6">
        <f t="shared" si="0"/>
        <v>0</v>
      </c>
      <c r="O22" s="6">
        <f t="shared" si="1"/>
        <v>0</v>
      </c>
    </row>
    <row r="23" spans="1:16" s="34" customFormat="1" ht="20.100000000000001" hidden="1" customHeight="1">
      <c r="A23" s="113" t="str">
        <f>A22</f>
        <v>HIDE</v>
      </c>
      <c r="B23" s="113">
        <v>1</v>
      </c>
      <c r="C23" s="74" t="s">
        <v>1912</v>
      </c>
      <c r="D23" s="7" t="s">
        <v>17</v>
      </c>
      <c r="E23" s="281"/>
      <c r="F23" s="282"/>
      <c r="G23" s="283"/>
      <c r="J23" s="6">
        <f t="shared" si="6"/>
        <v>0</v>
      </c>
      <c r="K23" s="129">
        <f>IF(B23=1,0,1)</f>
        <v>0</v>
      </c>
      <c r="L23" s="127">
        <f>IF(A23="Hide",1,IF($J$7=1,B23,1))</f>
        <v>1</v>
      </c>
      <c r="M23" s="131" t="str">
        <f>formData!B337</f>
        <v>ACCOMPANYING_CHILD4_PASSPORT_DETAILS_NATIONALITY_OF_PASSPORT_HOLDER</v>
      </c>
      <c r="N23" s="6">
        <f t="shared" si="0"/>
        <v>0</v>
      </c>
      <c r="O23" s="6">
        <f t="shared" si="1"/>
        <v>0</v>
      </c>
    </row>
    <row r="24" spans="1:16" s="34" customFormat="1" ht="20.100000000000001" hidden="1" customHeight="1">
      <c r="A24" s="113" t="str">
        <f>A23</f>
        <v>HIDE</v>
      </c>
      <c r="B24" s="113"/>
      <c r="C24" s="74" t="s">
        <v>1912</v>
      </c>
      <c r="D24" s="31" t="s">
        <v>1973</v>
      </c>
      <c r="E24" s="219"/>
      <c r="F24" s="220"/>
      <c r="G24" s="221"/>
      <c r="J24" s="6">
        <f t="shared" si="6"/>
        <v>0</v>
      </c>
      <c r="K24" s="130">
        <f>IF(LEN(E24)=0,0,1)</f>
        <v>0</v>
      </c>
      <c r="L24" s="126">
        <f>IF(A24="Hide",0,IF($J$7=1,E24,0))</f>
        <v>0</v>
      </c>
      <c r="M24" s="131" t="str">
        <f>formData!B338</f>
        <v>ACCOMPANYING_CHILD4_PASSPORT_DETAILS_DATE_OF_ISSUE</v>
      </c>
      <c r="N24" s="6">
        <f t="shared" si="0"/>
        <v>0</v>
      </c>
      <c r="O24" s="6">
        <f t="shared" si="1"/>
        <v>0</v>
      </c>
    </row>
    <row r="25" spans="1:16" s="34" customFormat="1" ht="20.100000000000001" hidden="1" customHeight="1">
      <c r="A25" s="113" t="str">
        <f>A24</f>
        <v>HIDE</v>
      </c>
      <c r="B25" s="113"/>
      <c r="C25" s="74" t="s">
        <v>1912</v>
      </c>
      <c r="D25" s="31" t="s">
        <v>1972</v>
      </c>
      <c r="E25" s="219"/>
      <c r="F25" s="220"/>
      <c r="G25" s="221"/>
      <c r="J25" s="6">
        <f t="shared" si="6"/>
        <v>0</v>
      </c>
      <c r="K25" s="130">
        <f t="shared" ref="K25:K27" si="7">IF(LEN(E25)=0,0,1)</f>
        <v>0</v>
      </c>
      <c r="L25" s="126">
        <f t="shared" ref="L25:L27" si="8">IF(A25="Hide",0,IF($J$7=1,E25,0))</f>
        <v>0</v>
      </c>
      <c r="M25" s="131" t="str">
        <f>formData!B339</f>
        <v>ACCOMPANYING_CHILD4_PASSPORT_DETAILS_EXPIRY_DATE</v>
      </c>
      <c r="N25" s="6">
        <f>IF(J25=1,1,0)</f>
        <v>0</v>
      </c>
      <c r="O25" s="6">
        <f>+J25*K25</f>
        <v>0</v>
      </c>
    </row>
    <row r="26" spans="1:16" s="34" customFormat="1" ht="20.100000000000001" hidden="1" customHeight="1">
      <c r="A26" s="106" t="str">
        <f>IF(OR(AND($B$15=2,B22=44),AND($B$15=3,$B$16=2,B22=44)),"Show","HIDE")</f>
        <v>HIDE</v>
      </c>
      <c r="B26" s="113">
        <v>1</v>
      </c>
      <c r="C26" s="74" t="s">
        <v>1912</v>
      </c>
      <c r="D26" s="7" t="s">
        <v>18</v>
      </c>
      <c r="E26" s="198"/>
      <c r="F26" s="199"/>
      <c r="G26" s="200"/>
      <c r="J26" s="6">
        <f t="shared" si="6"/>
        <v>0</v>
      </c>
      <c r="K26" s="129">
        <f>IF(B26=1,0,1)</f>
        <v>0</v>
      </c>
      <c r="L26" s="127">
        <f>IF(A26="Hide",1,IF($J$7=1,B26,1))</f>
        <v>1</v>
      </c>
      <c r="M26" s="131" t="str">
        <f>formData!B340</f>
        <v>ACCOMPANYING_CHILD4_PASSPORT_DETAILS_PLACE_OF_ISSUE_CHINA</v>
      </c>
      <c r="N26" s="6">
        <f>IF(J26=1,1,0)</f>
        <v>0</v>
      </c>
      <c r="O26" s="6">
        <f>+J26*K26</f>
        <v>0</v>
      </c>
      <c r="P26" s="32"/>
    </row>
    <row r="27" spans="1:16" s="34" customFormat="1" ht="20.100000000000001" hidden="1" customHeight="1">
      <c r="A27" s="113" t="str">
        <f>IF(OR(AND($B$15=2,NOT(B22=44)),AND($B$15=3,$B$16=2,NOT(B22=44))),"Show","HIDE")</f>
        <v>HIDE</v>
      </c>
      <c r="B27" s="113"/>
      <c r="C27" s="74" t="s">
        <v>1912</v>
      </c>
      <c r="D27" s="7" t="s">
        <v>18</v>
      </c>
      <c r="E27" s="198"/>
      <c r="F27" s="199"/>
      <c r="G27" s="200"/>
      <c r="J27" s="6">
        <f t="shared" si="6"/>
        <v>0</v>
      </c>
      <c r="K27" s="130">
        <f t="shared" si="7"/>
        <v>0</v>
      </c>
      <c r="L27" s="126">
        <f t="shared" si="8"/>
        <v>0</v>
      </c>
      <c r="M27" s="52" t="str">
        <f>formData!B341</f>
        <v>ACCOMPANYING_CHILD4_PASSPORT_DETAILS_PLACE_OF_ISSUE</v>
      </c>
      <c r="N27" s="6">
        <f t="shared" ref="N27:N47" si="9">IF(J27=1,1,0)</f>
        <v>0</v>
      </c>
      <c r="O27" s="6">
        <f t="shared" ref="O27:O47" si="10">+J27*K27</f>
        <v>0</v>
      </c>
    </row>
    <row r="28" spans="1:16" s="34" customFormat="1" ht="20.100000000000001" customHeight="1">
      <c r="A28" s="113"/>
      <c r="B28" s="113"/>
      <c r="D28" s="66"/>
      <c r="E28" s="65"/>
      <c r="M28" s="52"/>
      <c r="N28" s="6">
        <f t="shared" si="9"/>
        <v>0</v>
      </c>
      <c r="O28" s="6">
        <f t="shared" si="10"/>
        <v>0</v>
      </c>
    </row>
    <row r="29" spans="1:16" ht="24.95" customHeight="1">
      <c r="A29" s="106"/>
      <c r="B29" s="106"/>
      <c r="C29" s="74" t="s">
        <v>1912</v>
      </c>
      <c r="D29" s="256" t="s">
        <v>45</v>
      </c>
      <c r="E29" s="284"/>
      <c r="F29" s="284"/>
      <c r="G29" s="285"/>
      <c r="M29" s="52"/>
      <c r="N29" s="6">
        <f t="shared" si="9"/>
        <v>0</v>
      </c>
      <c r="O29" s="6">
        <f t="shared" si="10"/>
        <v>0</v>
      </c>
    </row>
    <row r="30" spans="1:16" s="34" customFormat="1" ht="30" customHeight="1">
      <c r="A30" s="113"/>
      <c r="B30" s="113">
        <v>1</v>
      </c>
      <c r="C30" s="74" t="s">
        <v>1912</v>
      </c>
      <c r="D30" s="7" t="s">
        <v>68</v>
      </c>
      <c r="E30" s="240"/>
      <c r="F30" s="241"/>
      <c r="G30" s="242"/>
      <c r="J30" s="6">
        <f t="shared" ref="J30:J31" si="11">IF($C30="*",IF($A30="Hide",0,$J$7),0)</f>
        <v>0</v>
      </c>
      <c r="K30" s="129">
        <f>IF(B30=1,0,1)</f>
        <v>0</v>
      </c>
      <c r="L30" s="127">
        <f>IF(A30="Hide",1,IF($J$7=1,B30,1))</f>
        <v>1</v>
      </c>
      <c r="M30" s="52" t="str">
        <f>formData!B342</f>
        <v>ACCOMPANYING_CHILD4_AUSTRALIAN_VISA_PREVIOUS_VISA</v>
      </c>
      <c r="N30" s="6">
        <f t="shared" si="9"/>
        <v>0</v>
      </c>
      <c r="O30" s="6">
        <f t="shared" si="10"/>
        <v>0</v>
      </c>
    </row>
    <row r="31" spans="1:16" s="34" customFormat="1" ht="20.100000000000001" customHeight="1">
      <c r="A31" s="113"/>
      <c r="B31" s="113"/>
      <c r="D31" s="26" t="s">
        <v>56</v>
      </c>
      <c r="E31" s="234"/>
      <c r="F31" s="235"/>
      <c r="G31" s="236"/>
      <c r="J31" s="6">
        <f t="shared" si="11"/>
        <v>0</v>
      </c>
      <c r="K31" s="130">
        <f>IF(LEN(E31)=0,0,1)</f>
        <v>0</v>
      </c>
      <c r="L31" s="126">
        <f>IF(A31="Hide",0,IF($J$7=1,E31,0))</f>
        <v>0</v>
      </c>
      <c r="M31" s="52" t="str">
        <f>formData!B343</f>
        <v>ACCOMPANYING_CHILD4_AUSTRALIAN_VISA_GRANT_NUMBER</v>
      </c>
      <c r="N31" s="6">
        <f t="shared" si="9"/>
        <v>0</v>
      </c>
      <c r="O31" s="6">
        <f t="shared" si="10"/>
        <v>0</v>
      </c>
    </row>
    <row r="32" spans="1:16" s="34" customFormat="1" ht="18" customHeight="1">
      <c r="A32" s="113"/>
      <c r="B32" s="113"/>
      <c r="D32" s="66"/>
      <c r="E32" s="19"/>
      <c r="F32" s="19"/>
      <c r="G32" s="19"/>
      <c r="M32" s="52"/>
      <c r="N32" s="6">
        <f t="shared" si="9"/>
        <v>0</v>
      </c>
      <c r="O32" s="6">
        <f t="shared" si="10"/>
        <v>0</v>
      </c>
    </row>
    <row r="33" spans="1:16" s="34" customFormat="1" ht="24.95" customHeight="1">
      <c r="A33" s="113"/>
      <c r="B33" s="113">
        <v>1</v>
      </c>
      <c r="C33" s="74"/>
      <c r="D33" s="253" t="s">
        <v>2</v>
      </c>
      <c r="E33" s="254"/>
      <c r="F33" s="254"/>
      <c r="G33" s="255"/>
      <c r="M33" s="52"/>
      <c r="N33" s="6">
        <f t="shared" si="9"/>
        <v>0</v>
      </c>
      <c r="O33" s="6">
        <f t="shared" si="10"/>
        <v>0</v>
      </c>
    </row>
    <row r="34" spans="1:16" s="34" customFormat="1" ht="20.100000000000001" customHeight="1">
      <c r="A34" s="113"/>
      <c r="B34" s="113">
        <v>1</v>
      </c>
      <c r="C34" s="74" t="s">
        <v>1912</v>
      </c>
      <c r="D34" s="7" t="s">
        <v>67</v>
      </c>
      <c r="E34" s="240"/>
      <c r="F34" s="241"/>
      <c r="G34" s="242"/>
      <c r="J34" s="6">
        <f t="shared" ref="J34:J40" si="12">IF($C34="*",IF($A34="Hide",0,$J$7),0)</f>
        <v>0</v>
      </c>
      <c r="K34" s="129">
        <f>IF(B34=1,0,1)</f>
        <v>0</v>
      </c>
      <c r="L34" s="127">
        <f>IF(A34="Hide",1,IF($J$7=1,B34,1))</f>
        <v>1</v>
      </c>
      <c r="M34" s="52" t="str">
        <f>formData!B344</f>
        <v>ACCOMPANYING_CHILD4_NATIONAL_IDENTITY_HAVE_NATIONAL_ID</v>
      </c>
      <c r="N34" s="6">
        <f t="shared" si="9"/>
        <v>0</v>
      </c>
      <c r="O34" s="6">
        <f t="shared" si="10"/>
        <v>0</v>
      </c>
    </row>
    <row r="35" spans="1:16" s="34" customFormat="1" ht="20.100000000000001" hidden="1" customHeight="1">
      <c r="A35" s="106" t="str">
        <f t="shared" ref="A35:A40" si="13">IF($B$34=2,"Show","HIDE")</f>
        <v>HIDE</v>
      </c>
      <c r="B35" s="113"/>
      <c r="C35" s="74" t="s">
        <v>1912</v>
      </c>
      <c r="D35" s="7" t="s">
        <v>12</v>
      </c>
      <c r="E35" s="198"/>
      <c r="F35" s="199"/>
      <c r="G35" s="200"/>
      <c r="J35" s="6">
        <f t="shared" si="12"/>
        <v>0</v>
      </c>
      <c r="K35" s="130">
        <f t="shared" ref="K35:K37" si="14">IF(LEN(E35)=0,0,1)</f>
        <v>0</v>
      </c>
      <c r="L35" s="126">
        <f t="shared" ref="L35:L37" si="15">IF(A35="Hide",0,IF($J$7=1,E35,0))</f>
        <v>0</v>
      </c>
      <c r="M35" s="52" t="str">
        <f>formData!B345</f>
        <v>ACCOMPANYING_CHILD4_NATIONAL_IDENTITY_FAMILY_NAME</v>
      </c>
      <c r="N35" s="6">
        <f t="shared" si="9"/>
        <v>0</v>
      </c>
      <c r="O35" s="6">
        <f t="shared" si="10"/>
        <v>0</v>
      </c>
    </row>
    <row r="36" spans="1:16" s="34" customFormat="1" ht="20.100000000000001" hidden="1" customHeight="1">
      <c r="A36" s="106" t="str">
        <f t="shared" si="13"/>
        <v>HIDE</v>
      </c>
      <c r="B36" s="113"/>
      <c r="C36" s="74" t="s">
        <v>1912</v>
      </c>
      <c r="D36" s="7" t="s">
        <v>13</v>
      </c>
      <c r="E36" s="198"/>
      <c r="F36" s="199"/>
      <c r="G36" s="200"/>
      <c r="J36" s="6">
        <f t="shared" si="12"/>
        <v>0</v>
      </c>
      <c r="K36" s="130">
        <f t="shared" si="14"/>
        <v>0</v>
      </c>
      <c r="L36" s="126">
        <f t="shared" si="15"/>
        <v>0</v>
      </c>
      <c r="M36" s="52" t="str">
        <f>formData!B346</f>
        <v>ACCOMPANYING_CHILD4_NATIONAL_IDENTITY_GIVEN_NAMES</v>
      </c>
      <c r="N36" s="6">
        <f t="shared" si="9"/>
        <v>0</v>
      </c>
      <c r="O36" s="6">
        <f t="shared" si="10"/>
        <v>0</v>
      </c>
    </row>
    <row r="37" spans="1:16" s="34" customFormat="1" ht="20.100000000000001" hidden="1" customHeight="1">
      <c r="A37" s="106" t="str">
        <f t="shared" si="13"/>
        <v>HIDE</v>
      </c>
      <c r="B37" s="113"/>
      <c r="C37" s="74" t="s">
        <v>1912</v>
      </c>
      <c r="D37" s="7" t="s">
        <v>22</v>
      </c>
      <c r="E37" s="234"/>
      <c r="F37" s="235"/>
      <c r="G37" s="236"/>
      <c r="J37" s="6">
        <f t="shared" si="12"/>
        <v>0</v>
      </c>
      <c r="K37" s="130">
        <f t="shared" si="14"/>
        <v>0</v>
      </c>
      <c r="L37" s="126">
        <f t="shared" si="15"/>
        <v>0</v>
      </c>
      <c r="M37" s="52" t="str">
        <f>formData!B347</f>
        <v>ACCOMPANYING_CHILD4_NATIONAL_IDENTITY_ID_NUMBER</v>
      </c>
      <c r="N37" s="6">
        <f t="shared" si="9"/>
        <v>0</v>
      </c>
      <c r="O37" s="6">
        <f t="shared" si="10"/>
        <v>0</v>
      </c>
    </row>
    <row r="38" spans="1:16" s="34" customFormat="1" ht="20.100000000000001" hidden="1" customHeight="1">
      <c r="A38" s="106" t="str">
        <f t="shared" si="13"/>
        <v>HIDE</v>
      </c>
      <c r="B38" s="113">
        <v>1</v>
      </c>
      <c r="C38" s="74" t="s">
        <v>1912</v>
      </c>
      <c r="D38" s="7" t="s">
        <v>23</v>
      </c>
      <c r="E38" s="62"/>
      <c r="F38" s="63"/>
      <c r="G38" s="64"/>
      <c r="J38" s="6">
        <f t="shared" si="12"/>
        <v>0</v>
      </c>
      <c r="K38" s="129">
        <f>IF(B38=1,0,1)</f>
        <v>0</v>
      </c>
      <c r="L38" s="127">
        <f>IF(A38="Hide",1,IF($J$7=1,B38,1))</f>
        <v>1</v>
      </c>
      <c r="M38" s="52" t="str">
        <f>formData!B348</f>
        <v>ACCOMPANYING_CHILD4_NATIONAL_IDENTITY_COUNTRY_OF_ISSUE</v>
      </c>
      <c r="N38" s="6">
        <f t="shared" si="9"/>
        <v>0</v>
      </c>
      <c r="O38" s="6">
        <f t="shared" si="10"/>
        <v>0</v>
      </c>
    </row>
    <row r="39" spans="1:16" s="34" customFormat="1" ht="20.100000000000001" hidden="1" customHeight="1">
      <c r="A39" s="106" t="str">
        <f t="shared" si="13"/>
        <v>HIDE</v>
      </c>
      <c r="B39" s="113"/>
      <c r="C39" s="74"/>
      <c r="D39" s="31" t="s">
        <v>1973</v>
      </c>
      <c r="E39" s="219"/>
      <c r="F39" s="220"/>
      <c r="G39" s="221"/>
      <c r="J39" s="6">
        <f t="shared" si="12"/>
        <v>0</v>
      </c>
      <c r="K39" s="130">
        <f>IF(LEN(E39)=0,0,1)</f>
        <v>0</v>
      </c>
      <c r="L39" s="126">
        <f>IF(A39="Hide",0,IF($J$7=1,E39,0))</f>
        <v>0</v>
      </c>
      <c r="M39" s="52" t="str">
        <f>formData!B349</f>
        <v>ACCOMPANYING_CHILD4_NATIONAL_IDENTITY_DATE_OF_ISSUE</v>
      </c>
      <c r="N39" s="6">
        <f t="shared" si="9"/>
        <v>0</v>
      </c>
      <c r="O39" s="6">
        <f t="shared" si="10"/>
        <v>0</v>
      </c>
    </row>
    <row r="40" spans="1:16" s="34" customFormat="1" ht="20.100000000000001" hidden="1" customHeight="1">
      <c r="A40" s="106" t="str">
        <f t="shared" si="13"/>
        <v>HIDE</v>
      </c>
      <c r="B40" s="113"/>
      <c r="C40" s="74"/>
      <c r="D40" s="31" t="s">
        <v>1972</v>
      </c>
      <c r="E40" s="219"/>
      <c r="F40" s="220"/>
      <c r="G40" s="221"/>
      <c r="J40" s="6">
        <f t="shared" si="12"/>
        <v>0</v>
      </c>
      <c r="K40" s="130">
        <f>IF(LEN(E40)=0,0,1)</f>
        <v>0</v>
      </c>
      <c r="L40" s="126">
        <f>IF(A40="Hide",0,IF($J$7=1,E40,0))</f>
        <v>0</v>
      </c>
      <c r="M40" s="52" t="str">
        <f>formData!B350</f>
        <v>ACCOMPANYING_CHILD4_NATIONAL_IDENTITY_EXPIRY_DATE</v>
      </c>
      <c r="N40" s="6">
        <f t="shared" si="9"/>
        <v>0</v>
      </c>
      <c r="O40" s="6">
        <f t="shared" si="10"/>
        <v>0</v>
      </c>
    </row>
    <row r="41" spans="1:16" s="34" customFormat="1" ht="20.100000000000001" hidden="1" customHeight="1">
      <c r="A41" s="106" t="str">
        <f>IF($B$34=3,"Show","HIDE")</f>
        <v>HIDE</v>
      </c>
      <c r="B41" s="105"/>
      <c r="C41" s="74" t="s">
        <v>1912</v>
      </c>
      <c r="D41" s="244" t="s">
        <v>2037</v>
      </c>
      <c r="E41" s="245"/>
      <c r="F41" s="245"/>
      <c r="G41" s="246"/>
      <c r="H41" s="6"/>
      <c r="I41" s="6"/>
      <c r="J41" s="6"/>
      <c r="K41" s="6"/>
      <c r="L41" s="6"/>
      <c r="N41" s="6">
        <f t="shared" si="9"/>
        <v>0</v>
      </c>
      <c r="O41" s="6">
        <f t="shared" si="10"/>
        <v>0</v>
      </c>
      <c r="P41" s="32"/>
    </row>
    <row r="42" spans="1:16" s="6" customFormat="1" ht="46.5" hidden="1" customHeight="1">
      <c r="A42" s="106" t="str">
        <f>IF($B$34=3,"Show","HIDE")</f>
        <v>HIDE</v>
      </c>
      <c r="B42" s="105"/>
      <c r="D42" s="247"/>
      <c r="E42" s="248"/>
      <c r="F42" s="248"/>
      <c r="G42" s="249"/>
      <c r="J42" s="6">
        <f>IF($C41="*",IF($A42="Hide",0,$J$7),0)</f>
        <v>0</v>
      </c>
      <c r="K42" s="158">
        <f>IF(LEN(D42)=0,0,1)</f>
        <v>0</v>
      </c>
      <c r="L42" s="157">
        <f>IF(A42="Hide",0,IF($J$5=1,D42,0))</f>
        <v>0</v>
      </c>
      <c r="M42" s="131" t="str">
        <f>formData!B351</f>
        <v>ACCOMPANYING_CHILD4_NATIONAL_IDENTITY_GIVE_REASON</v>
      </c>
      <c r="N42" s="6">
        <f t="shared" si="9"/>
        <v>0</v>
      </c>
      <c r="O42" s="6">
        <f t="shared" si="10"/>
        <v>0</v>
      </c>
    </row>
    <row r="43" spans="1:16" s="34" customFormat="1" ht="20.100000000000001" customHeight="1">
      <c r="A43" s="113"/>
      <c r="B43" s="113"/>
      <c r="D43" s="66"/>
      <c r="E43" s="109"/>
      <c r="M43" s="52"/>
      <c r="N43" s="6">
        <f t="shared" si="9"/>
        <v>0</v>
      </c>
      <c r="O43" s="6">
        <f t="shared" si="10"/>
        <v>0</v>
      </c>
    </row>
    <row r="44" spans="1:16" ht="24.95" customHeight="1">
      <c r="A44" s="106"/>
      <c r="B44" s="106"/>
      <c r="C44" s="74"/>
      <c r="D44" s="256" t="s">
        <v>47</v>
      </c>
      <c r="E44" s="284"/>
      <c r="F44" s="284"/>
      <c r="G44" s="285"/>
      <c r="M44" s="52"/>
      <c r="N44" s="6">
        <f t="shared" si="9"/>
        <v>0</v>
      </c>
      <c r="O44" s="6">
        <f t="shared" si="10"/>
        <v>0</v>
      </c>
    </row>
    <row r="45" spans="1:16" s="34" customFormat="1" ht="20.100000000000001" customHeight="1">
      <c r="A45" s="113"/>
      <c r="B45" s="113"/>
      <c r="C45" s="74" t="s">
        <v>1912</v>
      </c>
      <c r="D45" s="7" t="s">
        <v>24</v>
      </c>
      <c r="E45" s="198"/>
      <c r="F45" s="199"/>
      <c r="G45" s="200"/>
      <c r="J45" s="6">
        <f t="shared" ref="J45:J47" si="16">IF($C45="*",IF($A45="Hide",0,$J$7),0)</f>
        <v>0</v>
      </c>
      <c r="K45" s="130">
        <f t="shared" ref="K45:K46" si="17">IF(LEN(E45)=0,0,1)</f>
        <v>0</v>
      </c>
      <c r="L45" s="126">
        <f t="shared" ref="L45:L46" si="18">IF(A45="Hide",0,IF($J$7=1,E45,0))</f>
        <v>0</v>
      </c>
      <c r="M45" s="52" t="str">
        <f>formData!B352</f>
        <v>ACCOMPANYING_CHILD4_PLACE_OF_BIRTH_CITY</v>
      </c>
      <c r="N45" s="6">
        <f t="shared" si="9"/>
        <v>0</v>
      </c>
      <c r="O45" s="6">
        <f t="shared" si="10"/>
        <v>0</v>
      </c>
    </row>
    <row r="46" spans="1:16" s="34" customFormat="1" ht="20.100000000000001" customHeight="1">
      <c r="A46" s="113"/>
      <c r="B46" s="113"/>
      <c r="C46" s="74" t="s">
        <v>1912</v>
      </c>
      <c r="D46" s="7" t="s">
        <v>25</v>
      </c>
      <c r="E46" s="198"/>
      <c r="F46" s="199"/>
      <c r="G46" s="200"/>
      <c r="J46" s="6">
        <f t="shared" si="16"/>
        <v>0</v>
      </c>
      <c r="K46" s="130">
        <f t="shared" si="17"/>
        <v>0</v>
      </c>
      <c r="L46" s="126">
        <f t="shared" si="18"/>
        <v>0</v>
      </c>
      <c r="M46" s="52" t="str">
        <f>formData!B353</f>
        <v>ACCOMPANYING_CHILD4_PLACE_OF_STATE_PROVINCE</v>
      </c>
      <c r="N46" s="6">
        <f t="shared" si="9"/>
        <v>0</v>
      </c>
      <c r="O46" s="6">
        <f t="shared" si="10"/>
        <v>0</v>
      </c>
    </row>
    <row r="47" spans="1:16" s="34" customFormat="1" ht="20.100000000000001" customHeight="1">
      <c r="A47" s="113"/>
      <c r="B47" s="113">
        <v>1</v>
      </c>
      <c r="C47" s="74" t="s">
        <v>1912</v>
      </c>
      <c r="D47" s="7" t="s">
        <v>26</v>
      </c>
      <c r="E47" s="240"/>
      <c r="F47" s="241"/>
      <c r="G47" s="242"/>
      <c r="J47" s="6">
        <f t="shared" si="16"/>
        <v>0</v>
      </c>
      <c r="K47" s="129">
        <f>IF(B47=1,0,1)</f>
        <v>0</v>
      </c>
      <c r="L47" s="127">
        <f>IF(A47="Hide",1,IF($J$7=1,B47,1))</f>
        <v>1</v>
      </c>
      <c r="M47" s="52" t="str">
        <f>formData!B354</f>
        <v>ACCOMPANYING_CHILD4_PLACE_OF_BIRTH_COUNTRY</v>
      </c>
      <c r="N47" s="6">
        <f t="shared" si="9"/>
        <v>0</v>
      </c>
      <c r="O47" s="6">
        <f t="shared" si="10"/>
        <v>0</v>
      </c>
    </row>
    <row r="48" spans="1:16" s="34" customFormat="1" ht="20.100000000000001" customHeight="1">
      <c r="A48" s="113"/>
      <c r="B48" s="113"/>
      <c r="D48" s="66"/>
      <c r="E48" s="66"/>
      <c r="M48" s="52"/>
      <c r="N48" s="6">
        <f t="shared" ref="N48:N100" si="19">IF(J48=1,1,0)</f>
        <v>0</v>
      </c>
      <c r="O48" s="6">
        <f t="shared" ref="O48:O100" si="20">+J48*K48</f>
        <v>0</v>
      </c>
    </row>
    <row r="49" spans="1:15" ht="24.95" customHeight="1">
      <c r="A49" s="106"/>
      <c r="B49" s="106"/>
      <c r="C49" s="74"/>
      <c r="D49" s="256" t="s">
        <v>1970</v>
      </c>
      <c r="E49" s="284"/>
      <c r="F49" s="284"/>
      <c r="G49" s="285"/>
      <c r="M49" s="52"/>
      <c r="N49" s="6">
        <f t="shared" si="19"/>
        <v>0</v>
      </c>
      <c r="O49" s="6">
        <f t="shared" si="20"/>
        <v>0</v>
      </c>
    </row>
    <row r="50" spans="1:15" s="34" customFormat="1" ht="20.100000000000001" customHeight="1">
      <c r="A50" s="113"/>
      <c r="B50" s="113">
        <v>1</v>
      </c>
      <c r="C50" s="74" t="s">
        <v>1912</v>
      </c>
      <c r="D50" s="7" t="s">
        <v>27</v>
      </c>
      <c r="E50" s="240"/>
      <c r="F50" s="241"/>
      <c r="G50" s="242"/>
      <c r="J50" s="6">
        <f t="shared" ref="J50" si="21">IF($C50="*",IF($A50="Hide",0,$J$7),0)</f>
        <v>0</v>
      </c>
      <c r="K50" s="129">
        <f>IF(B50=1,0,1)</f>
        <v>0</v>
      </c>
      <c r="L50" s="127">
        <f>IF(A50="Hide",1,IF($J$7=1,B50,1))</f>
        <v>1</v>
      </c>
      <c r="M50" s="52" t="str">
        <f>formData!B355</f>
        <v>ACCOMPANYING_CHILD4_RELATIONSHIP_STATUS</v>
      </c>
      <c r="N50" s="6">
        <f t="shared" si="19"/>
        <v>0</v>
      </c>
      <c r="O50" s="6">
        <f t="shared" si="20"/>
        <v>0</v>
      </c>
    </row>
    <row r="51" spans="1:15" s="34" customFormat="1" ht="20.100000000000001" customHeight="1">
      <c r="A51" s="113"/>
      <c r="B51" s="113"/>
      <c r="D51" s="66"/>
      <c r="E51" s="65"/>
      <c r="M51" s="52"/>
      <c r="N51" s="6">
        <f t="shared" si="19"/>
        <v>0</v>
      </c>
      <c r="O51" s="6">
        <f t="shared" si="20"/>
        <v>0</v>
      </c>
    </row>
    <row r="52" spans="1:15" ht="24.95" customHeight="1">
      <c r="A52" s="106"/>
      <c r="B52" s="106">
        <v>1</v>
      </c>
      <c r="C52" s="74"/>
      <c r="D52" s="256" t="s">
        <v>48</v>
      </c>
      <c r="E52" s="284"/>
      <c r="F52" s="284"/>
      <c r="G52" s="285"/>
      <c r="M52" s="52"/>
      <c r="N52" s="6">
        <f t="shared" si="19"/>
        <v>0</v>
      </c>
      <c r="O52" s="6">
        <f t="shared" si="20"/>
        <v>0</v>
      </c>
    </row>
    <row r="53" spans="1:15" s="34" customFormat="1" ht="30" customHeight="1">
      <c r="A53" s="113"/>
      <c r="B53" s="113">
        <v>1</v>
      </c>
      <c r="C53" s="74" t="s">
        <v>1912</v>
      </c>
      <c r="D53" s="25" t="s">
        <v>1228</v>
      </c>
      <c r="E53" s="240"/>
      <c r="F53" s="241"/>
      <c r="G53" s="242"/>
      <c r="J53" s="6">
        <f t="shared" ref="J53:J56" si="22">IF($C53="*",IF($A53="Hide",0,$J$7),0)</f>
        <v>0</v>
      </c>
      <c r="K53" s="129">
        <f>IF(B53=1,0,1)</f>
        <v>0</v>
      </c>
      <c r="L53" s="127">
        <f>IF(A53="Hide",1,IF($J$7=1,B53,1))</f>
        <v>1</v>
      </c>
      <c r="M53" s="52" t="str">
        <f>formData!B356</f>
        <v>ACCOMPANYING_CHILD4_OTHER_NAMES_GIVEN</v>
      </c>
      <c r="N53" s="6">
        <f t="shared" si="19"/>
        <v>0</v>
      </c>
      <c r="O53" s="6">
        <f t="shared" si="20"/>
        <v>0</v>
      </c>
    </row>
    <row r="54" spans="1:15" s="34" customFormat="1" ht="20.100000000000001" hidden="1" customHeight="1">
      <c r="A54" s="106" t="str">
        <f>IF($B$53=2,"Show","HIDE")</f>
        <v>HIDE</v>
      </c>
      <c r="B54" s="113"/>
      <c r="C54" s="74" t="s">
        <v>1912</v>
      </c>
      <c r="D54" s="7" t="s">
        <v>12</v>
      </c>
      <c r="E54" s="198"/>
      <c r="F54" s="199"/>
      <c r="G54" s="200"/>
      <c r="J54" s="6">
        <f t="shared" si="22"/>
        <v>0</v>
      </c>
      <c r="K54" s="130">
        <f>IF(LEN(E54)=0,0,1)</f>
        <v>0</v>
      </c>
      <c r="L54" s="126">
        <f>IF(A54="Hide",0,IF($J$7=1,E54,0))</f>
        <v>0</v>
      </c>
      <c r="M54" s="52" t="str">
        <f>formData!B357</f>
        <v>ACCOMPANYING_CHILD4_OTHER_NAMES_FAMILY NAME</v>
      </c>
      <c r="N54" s="6">
        <f t="shared" si="19"/>
        <v>0</v>
      </c>
      <c r="O54" s="6">
        <f t="shared" si="20"/>
        <v>0</v>
      </c>
    </row>
    <row r="55" spans="1:15" s="34" customFormat="1" ht="20.100000000000001" hidden="1" customHeight="1">
      <c r="A55" s="106" t="str">
        <f>IF($B$53=2,"Show","HIDE")</f>
        <v>HIDE</v>
      </c>
      <c r="B55" s="113"/>
      <c r="C55" s="74" t="s">
        <v>1912</v>
      </c>
      <c r="D55" s="7" t="s">
        <v>13</v>
      </c>
      <c r="E55" s="198"/>
      <c r="F55" s="199"/>
      <c r="G55" s="200"/>
      <c r="J55" s="6">
        <f t="shared" si="22"/>
        <v>0</v>
      </c>
      <c r="K55" s="130">
        <f>IF(LEN(E55)=0,0,1)</f>
        <v>0</v>
      </c>
      <c r="L55" s="126">
        <f>IF(A55="Hide",0,IF($J$7=1,E55,0))</f>
        <v>0</v>
      </c>
      <c r="M55" s="52" t="str">
        <f>formData!B358</f>
        <v>ACCOMPANYING_CHILD4_OTHER_NAMES_GIVEN NAMES</v>
      </c>
      <c r="N55" s="6">
        <f t="shared" si="19"/>
        <v>0</v>
      </c>
      <c r="O55" s="6">
        <f t="shared" si="20"/>
        <v>0</v>
      </c>
    </row>
    <row r="56" spans="1:15" s="34" customFormat="1" ht="20.100000000000001" hidden="1" customHeight="1">
      <c r="A56" s="106" t="str">
        <f>IF($B$53=2,"Show","HIDE")</f>
        <v>HIDE</v>
      </c>
      <c r="B56" s="113">
        <v>1</v>
      </c>
      <c r="C56" s="74" t="s">
        <v>1912</v>
      </c>
      <c r="D56" s="7" t="s">
        <v>53</v>
      </c>
      <c r="E56" s="240"/>
      <c r="F56" s="241"/>
      <c r="G56" s="242"/>
      <c r="J56" s="6">
        <f t="shared" si="22"/>
        <v>0</v>
      </c>
      <c r="K56" s="129">
        <f>IF(B56=1,0,1)</f>
        <v>0</v>
      </c>
      <c r="L56" s="127">
        <f>IF(A56="Hide",1,IF($J$7=1,B56,1))</f>
        <v>1</v>
      </c>
      <c r="M56" s="52" t="str">
        <f>formData!B359</f>
        <v>ACCOMPANYING_CHILD4_OTHER_NAMES_REASON</v>
      </c>
      <c r="N56" s="6">
        <f t="shared" si="19"/>
        <v>0</v>
      </c>
      <c r="O56" s="6">
        <f t="shared" si="20"/>
        <v>0</v>
      </c>
    </row>
    <row r="57" spans="1:15" s="34" customFormat="1" ht="20.100000000000001" hidden="1" customHeight="1">
      <c r="A57" s="106" t="str">
        <f>IF($B$53=2,"Show","HIDE")</f>
        <v>HIDE</v>
      </c>
      <c r="B57" s="113"/>
      <c r="D57" s="290" t="s">
        <v>30</v>
      </c>
      <c r="E57" s="291"/>
      <c r="F57" s="291"/>
      <c r="G57" s="292"/>
      <c r="M57" s="52"/>
      <c r="N57" s="6">
        <f t="shared" si="19"/>
        <v>0</v>
      </c>
      <c r="O57" s="6">
        <f t="shared" si="20"/>
        <v>0</v>
      </c>
    </row>
    <row r="58" spans="1:15" s="34" customFormat="1" ht="60" hidden="1" customHeight="1">
      <c r="A58" s="106" t="str">
        <f>IF($B$53=2,"Show","HIDE")</f>
        <v>HIDE</v>
      </c>
      <c r="B58" s="113"/>
      <c r="D58" s="270"/>
      <c r="E58" s="271"/>
      <c r="F58" s="271"/>
      <c r="G58" s="272"/>
      <c r="J58" s="157">
        <f t="shared" ref="J58" si="23">IF($C58="*",IF($A58="Hide",0,$J$7),0)</f>
        <v>0</v>
      </c>
      <c r="K58" s="158">
        <f>IF(LEN(D58)=0,0,1)</f>
        <v>0</v>
      </c>
      <c r="L58" s="157">
        <f>IF(A58="Hide",0,IF($J$7=1,D58,0))</f>
        <v>0</v>
      </c>
      <c r="M58" s="52" t="str">
        <f>formData!B360</f>
        <v>ACCOMPANYING_CHILD4_OTHER_NAMES_GIVE_DETAILS</v>
      </c>
      <c r="N58" s="6">
        <f t="shared" si="19"/>
        <v>0</v>
      </c>
      <c r="O58" s="6">
        <f t="shared" si="20"/>
        <v>0</v>
      </c>
    </row>
    <row r="59" spans="1:15" s="34" customFormat="1" ht="20.100000000000001" customHeight="1">
      <c r="A59" s="113"/>
      <c r="B59" s="113"/>
      <c r="D59" s="66"/>
      <c r="E59" s="65"/>
      <c r="M59" s="52"/>
      <c r="N59" s="6">
        <f t="shared" si="19"/>
        <v>0</v>
      </c>
      <c r="O59" s="6">
        <f t="shared" si="20"/>
        <v>0</v>
      </c>
    </row>
    <row r="60" spans="1:15" ht="24.95" customHeight="1">
      <c r="A60" s="106"/>
      <c r="B60" s="106">
        <v>1</v>
      </c>
      <c r="C60" s="74"/>
      <c r="D60" s="256" t="s">
        <v>64</v>
      </c>
      <c r="E60" s="284"/>
      <c r="F60" s="284"/>
      <c r="G60" s="285"/>
      <c r="M60" s="52"/>
      <c r="N60" s="6">
        <f t="shared" si="19"/>
        <v>0</v>
      </c>
      <c r="O60" s="6">
        <f t="shared" si="20"/>
        <v>0</v>
      </c>
    </row>
    <row r="61" spans="1:15" s="34" customFormat="1" ht="30" customHeight="1">
      <c r="A61" s="113"/>
      <c r="B61" s="113">
        <v>1</v>
      </c>
      <c r="C61" s="74" t="s">
        <v>1912</v>
      </c>
      <c r="D61" s="7" t="s">
        <v>69</v>
      </c>
      <c r="E61" s="240"/>
      <c r="F61" s="241"/>
      <c r="G61" s="242"/>
      <c r="J61" s="6">
        <f t="shared" ref="J61:J77" si="24">IF($C61="*",IF($A61="Hide",0,$J$7),0)</f>
        <v>0</v>
      </c>
      <c r="K61" s="129">
        <f>IF(B61=1,0,1)</f>
        <v>0</v>
      </c>
      <c r="L61" s="127">
        <f>IF(A61="Hide",1,IF($J$7=1,B61,1))</f>
        <v>1</v>
      </c>
      <c r="M61" s="52" t="str">
        <f>formData!B361</f>
        <v>ACCOMPANYING_CHILD4_CITIZENSHIP_COUNTRY_OF_PASSPORT</v>
      </c>
      <c r="N61" s="6">
        <f t="shared" si="19"/>
        <v>0</v>
      </c>
      <c r="O61" s="6">
        <f t="shared" si="20"/>
        <v>0</v>
      </c>
    </row>
    <row r="62" spans="1:15" s="34" customFormat="1" ht="20.100000000000001" customHeight="1">
      <c r="A62" s="113"/>
      <c r="B62" s="113">
        <v>1</v>
      </c>
      <c r="C62" s="74" t="s">
        <v>1912</v>
      </c>
      <c r="D62" s="7" t="s">
        <v>70</v>
      </c>
      <c r="E62" s="240"/>
      <c r="F62" s="241"/>
      <c r="G62" s="242"/>
      <c r="J62" s="6">
        <f t="shared" si="24"/>
        <v>0</v>
      </c>
      <c r="K62" s="129">
        <f>IF(B62=1,0,1)</f>
        <v>0</v>
      </c>
      <c r="L62" s="127">
        <f>IF(A62="Hide",1,IF($J$7=1,B62,1))</f>
        <v>1</v>
      </c>
      <c r="M62" s="52" t="str">
        <f>formData!B362</f>
        <v>ACCOMPANYING_CHILD4_CITIZENSHIP_OTHER_COUNTRY_CITIZEN</v>
      </c>
      <c r="N62" s="6">
        <f t="shared" si="19"/>
        <v>0</v>
      </c>
      <c r="O62" s="6">
        <f t="shared" si="20"/>
        <v>0</v>
      </c>
    </row>
    <row r="63" spans="1:15" s="34" customFormat="1" ht="20.100000000000001" hidden="1" customHeight="1">
      <c r="A63" s="106" t="str">
        <f>IF($B$62=2,"Show","HIDE")</f>
        <v>HIDE</v>
      </c>
      <c r="B63" s="113">
        <v>1</v>
      </c>
      <c r="C63" s="74" t="s">
        <v>1912</v>
      </c>
      <c r="D63" s="7" t="s">
        <v>32</v>
      </c>
      <c r="E63" s="240"/>
      <c r="F63" s="241"/>
      <c r="G63" s="242"/>
      <c r="J63" s="6">
        <f>IF($C63="*",IF($A63="Hide",0,$J$7),0)</f>
        <v>0</v>
      </c>
      <c r="K63" s="129">
        <f>IF(B63=1,0,1)</f>
        <v>0</v>
      </c>
      <c r="L63" s="127">
        <f>IF(A63="Hide",1,IF($J$7=1,B63,1))</f>
        <v>1</v>
      </c>
      <c r="M63" s="52" t="str">
        <f>formData!B363</f>
        <v>ACCOMPANYING_CHILD4_CITIZENSHIP_LIST COUNTRIES1</v>
      </c>
      <c r="N63" s="6">
        <f t="shared" si="19"/>
        <v>0</v>
      </c>
      <c r="O63" s="6">
        <f t="shared" si="20"/>
        <v>0</v>
      </c>
    </row>
    <row r="64" spans="1:15" ht="20.100000000000001" customHeight="1">
      <c r="A64" s="106"/>
      <c r="B64" s="106">
        <v>1</v>
      </c>
      <c r="J64" s="6">
        <f>IF($C64="*",IF($A63="Hide",0,$J$7),0)</f>
        <v>0</v>
      </c>
      <c r="K64" s="129">
        <f>IF(B64=1,0,1)</f>
        <v>0</v>
      </c>
      <c r="L64" s="127">
        <f>IF(A64="Hide",1,IF($J$7=1,B64,1))</f>
        <v>1</v>
      </c>
      <c r="M64" s="52" t="str">
        <f>formData!B364</f>
        <v>ACCOMPANYING_CHILD4_CITIZENSHIP_LIST COUNTRIES2</v>
      </c>
      <c r="N64" s="6">
        <f t="shared" si="19"/>
        <v>0</v>
      </c>
      <c r="O64" s="6">
        <f t="shared" si="20"/>
        <v>0</v>
      </c>
    </row>
    <row r="65" spans="1:15" ht="24.95" customHeight="1">
      <c r="A65" s="106"/>
      <c r="B65" s="106">
        <v>1</v>
      </c>
      <c r="C65" s="74"/>
      <c r="D65" s="256" t="s">
        <v>60</v>
      </c>
      <c r="E65" s="284"/>
      <c r="F65" s="284"/>
      <c r="G65" s="285"/>
      <c r="M65" s="52"/>
      <c r="N65" s="6">
        <f t="shared" si="19"/>
        <v>0</v>
      </c>
      <c r="O65" s="6">
        <f t="shared" si="20"/>
        <v>0</v>
      </c>
    </row>
    <row r="66" spans="1:15" s="34" customFormat="1" ht="24">
      <c r="A66" s="113"/>
      <c r="B66" s="113">
        <v>1</v>
      </c>
      <c r="C66" s="74" t="s">
        <v>1912</v>
      </c>
      <c r="D66" s="7" t="s">
        <v>71</v>
      </c>
      <c r="E66" s="240"/>
      <c r="F66" s="241"/>
      <c r="G66" s="242"/>
      <c r="J66" s="6">
        <f t="shared" si="24"/>
        <v>0</v>
      </c>
      <c r="K66" s="129">
        <f>IF(B66=1,0,1)</f>
        <v>0</v>
      </c>
      <c r="L66" s="127">
        <f>IF(A66="Hide",1,IF($J$7=1,B66,1))</f>
        <v>1</v>
      </c>
      <c r="M66" s="52" t="str">
        <f>formData!B365</f>
        <v>ACCOMPANYING_CHILD4_OTHER_PASSPORT_OR_DOCUMENTS</v>
      </c>
      <c r="N66" s="6">
        <f t="shared" si="19"/>
        <v>0</v>
      </c>
      <c r="O66" s="6">
        <f t="shared" si="20"/>
        <v>0</v>
      </c>
    </row>
    <row r="67" spans="1:15" s="34" customFormat="1" ht="20.100000000000001" hidden="1" customHeight="1">
      <c r="A67" s="106" t="str">
        <f>IF($B$66=2,"Show","HIDE")</f>
        <v>HIDE</v>
      </c>
      <c r="B67" s="113">
        <v>1</v>
      </c>
      <c r="C67" s="74" t="s">
        <v>1912</v>
      </c>
      <c r="D67" s="7" t="s">
        <v>34</v>
      </c>
      <c r="E67" s="240"/>
      <c r="F67" s="241"/>
      <c r="G67" s="242"/>
      <c r="J67" s="6">
        <f t="shared" si="24"/>
        <v>0</v>
      </c>
      <c r="K67" s="129">
        <f>IF(B67=1,0,1)</f>
        <v>0</v>
      </c>
      <c r="L67" s="127">
        <f>IF(A67="Hide",1,IF($J$7=1,B67,1))</f>
        <v>1</v>
      </c>
      <c r="M67" s="52" t="str">
        <f>formData!B366</f>
        <v>ACCOMPANYING_CHILD4_OTHER_TRAVEL_DOCS_TYPE_OF_DOCUMENT</v>
      </c>
      <c r="N67" s="6">
        <f t="shared" si="19"/>
        <v>0</v>
      </c>
      <c r="O67" s="6">
        <f t="shared" si="20"/>
        <v>0</v>
      </c>
    </row>
    <row r="68" spans="1:15" s="34" customFormat="1" ht="20.100000000000001" hidden="1" customHeight="1">
      <c r="A68" s="106" t="str">
        <f t="shared" ref="A68:A77" si="25">IF($B$66=2,"Show","HIDE")</f>
        <v>HIDE</v>
      </c>
      <c r="B68" s="113"/>
      <c r="C68" s="74" t="s">
        <v>1912</v>
      </c>
      <c r="D68" s="7" t="s">
        <v>12</v>
      </c>
      <c r="E68" s="198"/>
      <c r="F68" s="199"/>
      <c r="G68" s="200"/>
      <c r="J68" s="6">
        <f t="shared" si="24"/>
        <v>0</v>
      </c>
      <c r="K68" s="130">
        <f>IF(LEN(E68)=0,0,1)</f>
        <v>0</v>
      </c>
      <c r="L68" s="126">
        <f>IF(A68="Hide",0,IF($J$7=1,E68,0))</f>
        <v>0</v>
      </c>
      <c r="M68" s="52" t="str">
        <f>formData!B367</f>
        <v>ACCOMPANYING_CHILD4_OTHER_TRAVEL_DOCS_FAMILY_NAME</v>
      </c>
      <c r="N68" s="6">
        <f t="shared" si="19"/>
        <v>0</v>
      </c>
      <c r="O68" s="6">
        <f t="shared" si="20"/>
        <v>0</v>
      </c>
    </row>
    <row r="69" spans="1:15" s="34" customFormat="1" ht="20.100000000000001" hidden="1" customHeight="1">
      <c r="A69" s="106" t="str">
        <f t="shared" si="25"/>
        <v>HIDE</v>
      </c>
      <c r="B69" s="113"/>
      <c r="C69" s="74" t="s">
        <v>1912</v>
      </c>
      <c r="D69" s="7" t="s">
        <v>13</v>
      </c>
      <c r="E69" s="198"/>
      <c r="F69" s="199"/>
      <c r="G69" s="200"/>
      <c r="J69" s="6">
        <f t="shared" si="24"/>
        <v>0</v>
      </c>
      <c r="K69" s="130">
        <f>IF(LEN(E69)=0,0,1)</f>
        <v>0</v>
      </c>
      <c r="L69" s="126">
        <f>IF(A69="Hide",0,IF($J$7=1,E69,0))</f>
        <v>0</v>
      </c>
      <c r="M69" s="52" t="str">
        <f>formData!B368</f>
        <v>ACCOMPANYING_CHILD4_OTHER_TRAVEL_DOCS_GIVEN_NAMES</v>
      </c>
      <c r="N69" s="6">
        <f t="shared" si="19"/>
        <v>0</v>
      </c>
      <c r="O69" s="6">
        <f t="shared" si="20"/>
        <v>0</v>
      </c>
    </row>
    <row r="70" spans="1:15" s="34" customFormat="1" ht="20.100000000000001" hidden="1" customHeight="1">
      <c r="A70" s="106" t="str">
        <f t="shared" si="25"/>
        <v>HIDE</v>
      </c>
      <c r="B70" s="113">
        <v>1</v>
      </c>
      <c r="C70" s="74" t="s">
        <v>1912</v>
      </c>
      <c r="D70" s="7" t="s">
        <v>14</v>
      </c>
      <c r="E70" s="240"/>
      <c r="F70" s="241"/>
      <c r="G70" s="242"/>
      <c r="J70" s="6">
        <f t="shared" si="24"/>
        <v>0</v>
      </c>
      <c r="K70" s="129">
        <f>IF(B70=1,0,1)</f>
        <v>0</v>
      </c>
      <c r="L70" s="127">
        <f>IF(A70="Hide",1,IF($J$7=1,B70,1))</f>
        <v>1</v>
      </c>
      <c r="M70" s="52" t="str">
        <f>formData!B369</f>
        <v>ACCOMPANYING_CHILD4_OTHER_TRAVEL_DOCS_SEX</v>
      </c>
      <c r="N70" s="6">
        <f t="shared" si="19"/>
        <v>0</v>
      </c>
      <c r="O70" s="6">
        <f t="shared" si="20"/>
        <v>0</v>
      </c>
    </row>
    <row r="71" spans="1:15" s="34" customFormat="1" ht="20.100000000000001" hidden="1" customHeight="1">
      <c r="A71" s="106" t="str">
        <f t="shared" si="25"/>
        <v>HIDE</v>
      </c>
      <c r="B71" s="113"/>
      <c r="C71" s="74" t="s">
        <v>1912</v>
      </c>
      <c r="D71" s="31" t="s">
        <v>1976</v>
      </c>
      <c r="E71" s="219"/>
      <c r="F71" s="220"/>
      <c r="G71" s="221"/>
      <c r="J71" s="6">
        <f t="shared" si="24"/>
        <v>0</v>
      </c>
      <c r="K71" s="130">
        <f>IF(LEN(E71)=0,0,1)</f>
        <v>0</v>
      </c>
      <c r="L71" s="126">
        <f>IF(A71="Hide",0,IF($J$7=1,E71,0))</f>
        <v>0</v>
      </c>
      <c r="M71" s="52" t="str">
        <f>formData!B370</f>
        <v>ACCOMPANYING_CHILD4_OTHER_TRAVEL_DOCS_DATE_OF_BIRTH</v>
      </c>
      <c r="N71" s="6">
        <f t="shared" si="19"/>
        <v>0</v>
      </c>
      <c r="O71" s="6">
        <f t="shared" si="20"/>
        <v>0</v>
      </c>
    </row>
    <row r="72" spans="1:15" s="34" customFormat="1" ht="20.100000000000001" hidden="1" customHeight="1">
      <c r="A72" s="106" t="str">
        <f t="shared" si="25"/>
        <v>HIDE</v>
      </c>
      <c r="B72" s="113"/>
      <c r="C72" s="74" t="s">
        <v>1912</v>
      </c>
      <c r="D72" s="7" t="s">
        <v>35</v>
      </c>
      <c r="E72" s="234"/>
      <c r="F72" s="235"/>
      <c r="G72" s="236"/>
      <c r="J72" s="6">
        <f t="shared" si="24"/>
        <v>0</v>
      </c>
      <c r="K72" s="130">
        <f>IF(LEN(E72)=0,0,1)</f>
        <v>0</v>
      </c>
      <c r="L72" s="126">
        <f>IF(A72="Hide",0,IF($J$7=1,E72,0))</f>
        <v>0</v>
      </c>
      <c r="M72" s="52" t="str">
        <f>formData!B371</f>
        <v>ACCOMPANYING_CHILD4_OTHER_TRAVEL_DOCS_ID_NUMBER</v>
      </c>
      <c r="N72" s="6">
        <f t="shared" si="19"/>
        <v>0</v>
      </c>
      <c r="O72" s="6">
        <f t="shared" si="20"/>
        <v>0</v>
      </c>
    </row>
    <row r="73" spans="1:15" s="34" customFormat="1" ht="20.100000000000001" hidden="1" customHeight="1">
      <c r="A73" s="106" t="str">
        <f t="shared" si="25"/>
        <v>HIDE</v>
      </c>
      <c r="B73" s="113">
        <v>1</v>
      </c>
      <c r="C73" s="74" t="s">
        <v>1912</v>
      </c>
      <c r="D73" s="7" t="s">
        <v>23</v>
      </c>
      <c r="E73" s="240"/>
      <c r="F73" s="241"/>
      <c r="G73" s="242"/>
      <c r="J73" s="6">
        <f t="shared" si="24"/>
        <v>0</v>
      </c>
      <c r="K73" s="129">
        <f>IF(B73=1,0,1)</f>
        <v>0</v>
      </c>
      <c r="L73" s="127">
        <f>IF(A73="Hide",1,IF($J$7=1,B73,1))</f>
        <v>1</v>
      </c>
      <c r="M73" s="52" t="str">
        <f>formData!B372</f>
        <v>ACCOMPANYING_CHILD4_OTHER_TRAVEL_DOCS_COUNTRY_OF_ISSUE</v>
      </c>
      <c r="N73" s="6">
        <f t="shared" si="19"/>
        <v>0</v>
      </c>
      <c r="O73" s="6">
        <f t="shared" si="20"/>
        <v>0</v>
      </c>
    </row>
    <row r="74" spans="1:15" s="34" customFormat="1" ht="20.100000000000001" hidden="1" customHeight="1">
      <c r="A74" s="106" t="str">
        <f t="shared" si="25"/>
        <v>HIDE</v>
      </c>
      <c r="B74" s="113">
        <v>1</v>
      </c>
      <c r="C74" s="74" t="s">
        <v>1912</v>
      </c>
      <c r="D74" s="7" t="s">
        <v>36</v>
      </c>
      <c r="E74" s="240"/>
      <c r="F74" s="241"/>
      <c r="G74" s="242"/>
      <c r="J74" s="6">
        <f t="shared" si="24"/>
        <v>0</v>
      </c>
      <c r="K74" s="129">
        <f>IF(B74=1,0,1)</f>
        <v>0</v>
      </c>
      <c r="L74" s="127">
        <f>IF(A74="Hide",1,IF($J$7=1,B74,1))</f>
        <v>1</v>
      </c>
      <c r="M74" s="52" t="str">
        <f>formData!B373</f>
        <v>ACCOMPANYING_CHILD4_OTHER_TRAVEL_DOCS_NATIONALITY_OF_PASSPORT_HOLDER</v>
      </c>
      <c r="N74" s="6">
        <f t="shared" si="19"/>
        <v>0</v>
      </c>
      <c r="O74" s="6">
        <f t="shared" si="20"/>
        <v>0</v>
      </c>
    </row>
    <row r="75" spans="1:15" s="34" customFormat="1" ht="20.100000000000001" hidden="1" customHeight="1">
      <c r="A75" s="106" t="str">
        <f t="shared" si="25"/>
        <v>HIDE</v>
      </c>
      <c r="B75" s="113"/>
      <c r="C75" s="74" t="s">
        <v>1912</v>
      </c>
      <c r="D75" s="31" t="s">
        <v>1973</v>
      </c>
      <c r="E75" s="219"/>
      <c r="F75" s="220"/>
      <c r="G75" s="221"/>
      <c r="J75" s="6">
        <f t="shared" si="24"/>
        <v>0</v>
      </c>
      <c r="K75" s="130">
        <f>IF(LEN(E75)=0,0,1)</f>
        <v>0</v>
      </c>
      <c r="L75" s="126">
        <f>IF(A75="Hide",0,IF($J$7=1,E75,0))</f>
        <v>0</v>
      </c>
      <c r="M75" s="52" t="str">
        <f>formData!B374</f>
        <v>ACCOMPANYING_CHILD4_OTHER_TRAVEL_DOCS_DATE_OF_ISSUE</v>
      </c>
      <c r="N75" s="6">
        <f t="shared" si="19"/>
        <v>0</v>
      </c>
      <c r="O75" s="6">
        <f t="shared" si="20"/>
        <v>0</v>
      </c>
    </row>
    <row r="76" spans="1:15" s="34" customFormat="1" ht="20.100000000000001" hidden="1" customHeight="1">
      <c r="A76" s="106" t="str">
        <f t="shared" si="25"/>
        <v>HIDE</v>
      </c>
      <c r="B76" s="113"/>
      <c r="C76" s="74" t="s">
        <v>1912</v>
      </c>
      <c r="D76" s="31" t="s">
        <v>1972</v>
      </c>
      <c r="E76" s="219"/>
      <c r="F76" s="220"/>
      <c r="G76" s="221"/>
      <c r="J76" s="6">
        <f t="shared" si="24"/>
        <v>0</v>
      </c>
      <c r="K76" s="130">
        <f>IF(LEN(E76)=0,0,1)</f>
        <v>0</v>
      </c>
      <c r="L76" s="126">
        <f>IF(A76="Hide",0,IF($J$7=1,E76,0))</f>
        <v>0</v>
      </c>
      <c r="M76" s="52" t="str">
        <f>formData!B375</f>
        <v>ACCOMPANYING_CHILD4_OTHER_TRAVEL_DOCS_EXPIRY_DATE</v>
      </c>
      <c r="N76" s="6">
        <f t="shared" si="19"/>
        <v>0</v>
      </c>
      <c r="O76" s="6">
        <f t="shared" si="20"/>
        <v>0</v>
      </c>
    </row>
    <row r="77" spans="1:15" s="34" customFormat="1" ht="20.100000000000001" hidden="1" customHeight="1">
      <c r="A77" s="106" t="str">
        <f t="shared" si="25"/>
        <v>HIDE</v>
      </c>
      <c r="B77" s="113"/>
      <c r="C77" s="74" t="s">
        <v>1912</v>
      </c>
      <c r="D77" s="7" t="s">
        <v>18</v>
      </c>
      <c r="E77" s="198"/>
      <c r="F77" s="199"/>
      <c r="G77" s="200"/>
      <c r="J77" s="6">
        <f t="shared" si="24"/>
        <v>0</v>
      </c>
      <c r="K77" s="130">
        <f>IF(LEN(E77)=0,0,1)</f>
        <v>0</v>
      </c>
      <c r="L77" s="126">
        <f>IF(A77="Hide",0,IF($J$7=1,E77,0))</f>
        <v>0</v>
      </c>
      <c r="M77" s="52" t="str">
        <f>formData!B376</f>
        <v>ACCOMPANYING_CHILD4_OTHER_TRAVEL_DOCS_PLACE_OF_ISSUE</v>
      </c>
      <c r="N77" s="6">
        <f t="shared" si="19"/>
        <v>0</v>
      </c>
      <c r="O77" s="6">
        <f t="shared" si="20"/>
        <v>0</v>
      </c>
    </row>
    <row r="78" spans="1:15" ht="20.100000000000001" customHeight="1">
      <c r="A78" s="106"/>
      <c r="B78" s="106"/>
      <c r="M78" s="52"/>
      <c r="N78" s="6">
        <f t="shared" si="19"/>
        <v>0</v>
      </c>
      <c r="O78" s="6">
        <f t="shared" si="20"/>
        <v>0</v>
      </c>
    </row>
    <row r="79" spans="1:15" ht="24.95" customHeight="1">
      <c r="A79" s="106"/>
      <c r="B79" s="106">
        <v>1</v>
      </c>
      <c r="C79" s="74"/>
      <c r="D79" s="256" t="s">
        <v>65</v>
      </c>
      <c r="E79" s="284"/>
      <c r="F79" s="284"/>
      <c r="G79" s="285"/>
      <c r="M79" s="52"/>
      <c r="N79" s="6">
        <f t="shared" si="19"/>
        <v>0</v>
      </c>
      <c r="O79" s="6">
        <f t="shared" si="20"/>
        <v>0</v>
      </c>
    </row>
    <row r="80" spans="1:15" s="34" customFormat="1" ht="20.100000000000001" customHeight="1">
      <c r="A80" s="113"/>
      <c r="B80" s="113">
        <v>1</v>
      </c>
      <c r="C80" s="74" t="s">
        <v>1912</v>
      </c>
      <c r="D80" s="7" t="s">
        <v>72</v>
      </c>
      <c r="E80" s="240"/>
      <c r="F80" s="241"/>
      <c r="G80" s="242"/>
      <c r="J80" s="6">
        <f t="shared" ref="J80:J85" si="26">IF($C80="*",IF($A80="Hide",0,$J$7),0)</f>
        <v>0</v>
      </c>
      <c r="K80" s="129">
        <f>IF(B80=1,0,1)</f>
        <v>0</v>
      </c>
      <c r="L80" s="127">
        <f>IF(A80="Hide",1,IF($J$7=1,B80,1))</f>
        <v>1</v>
      </c>
      <c r="M80" s="52" t="str">
        <f>formData!B377</f>
        <v>ACCOMPANYING_CHILD4_OTHER_IDENTITY_DOCUMENTS</v>
      </c>
      <c r="N80" s="6">
        <f t="shared" si="19"/>
        <v>0</v>
      </c>
      <c r="O80" s="6">
        <f t="shared" si="20"/>
        <v>0</v>
      </c>
    </row>
    <row r="81" spans="1:15" s="34" customFormat="1" ht="20.100000000000001" hidden="1" customHeight="1">
      <c r="A81" s="106" t="str">
        <f>IF($B$80=2,"Show","HIDE")</f>
        <v>HIDE</v>
      </c>
      <c r="B81" s="113"/>
      <c r="C81" s="74" t="s">
        <v>1912</v>
      </c>
      <c r="D81" s="7" t="s">
        <v>12</v>
      </c>
      <c r="E81" s="198"/>
      <c r="F81" s="199"/>
      <c r="G81" s="200"/>
      <c r="J81" s="6">
        <f t="shared" si="26"/>
        <v>0</v>
      </c>
      <c r="K81" s="130">
        <f>IF(LEN(E81)=0,0,1)</f>
        <v>0</v>
      </c>
      <c r="L81" s="126">
        <f>IF(A81="Hide",0,IF($J$7=1,E81,0))</f>
        <v>0</v>
      </c>
      <c r="M81" s="52" t="str">
        <f>formData!B378</f>
        <v>ACCOMPANYING_CHILD4_OTHER_IDENTITY_DOCS_FAMILY_NAME</v>
      </c>
      <c r="N81" s="6">
        <f t="shared" si="19"/>
        <v>0</v>
      </c>
      <c r="O81" s="6">
        <f t="shared" si="20"/>
        <v>0</v>
      </c>
    </row>
    <row r="82" spans="1:15" s="34" customFormat="1" ht="20.100000000000001" hidden="1" customHeight="1">
      <c r="A82" s="106" t="str">
        <f>IF($B$80=2,"Show","HIDE")</f>
        <v>HIDE</v>
      </c>
      <c r="B82" s="113"/>
      <c r="C82" s="74" t="s">
        <v>1912</v>
      </c>
      <c r="D82" s="7" t="s">
        <v>13</v>
      </c>
      <c r="E82" s="198"/>
      <c r="F82" s="199"/>
      <c r="G82" s="200"/>
      <c r="J82" s="6">
        <f t="shared" si="26"/>
        <v>0</v>
      </c>
      <c r="K82" s="130">
        <f>IF(LEN(E82)=0,0,1)</f>
        <v>0</v>
      </c>
      <c r="L82" s="126">
        <f>IF(A82="Hide",0,IF($J$7=1,E82,0))</f>
        <v>0</v>
      </c>
      <c r="M82" s="52" t="str">
        <f>formData!B379</f>
        <v>ACCOMPANYING_CHILD4_OTHER_IDENTITY_DOCS_GIVEN_NAMES</v>
      </c>
      <c r="N82" s="6">
        <f t="shared" si="19"/>
        <v>0</v>
      </c>
      <c r="O82" s="6">
        <f t="shared" si="20"/>
        <v>0</v>
      </c>
    </row>
    <row r="83" spans="1:15" s="34" customFormat="1" ht="20.100000000000001" hidden="1" customHeight="1">
      <c r="A83" s="106" t="str">
        <f>IF($B$80=2,"Show","HIDE")</f>
        <v>HIDE</v>
      </c>
      <c r="B83" s="113">
        <v>1</v>
      </c>
      <c r="C83" s="74" t="s">
        <v>1912</v>
      </c>
      <c r="D83" s="7" t="s">
        <v>34</v>
      </c>
      <c r="E83" s="240"/>
      <c r="F83" s="241"/>
      <c r="G83" s="242"/>
      <c r="J83" s="6">
        <f t="shared" si="26"/>
        <v>0</v>
      </c>
      <c r="K83" s="129">
        <f>IF(B83=1,0,1)</f>
        <v>0</v>
      </c>
      <c r="L83" s="127">
        <f>IF(A83="Hide",1,IF($J$7=1,B83,1))</f>
        <v>1</v>
      </c>
      <c r="M83" s="52" t="str">
        <f>formData!B380</f>
        <v>ACCOMPANYING_CHILD4_OTHER_IDENTITY_DOCS_TYPE_OF_DOCUMENT</v>
      </c>
      <c r="N83" s="6">
        <f t="shared" si="19"/>
        <v>0</v>
      </c>
      <c r="O83" s="6">
        <f t="shared" si="20"/>
        <v>0</v>
      </c>
    </row>
    <row r="84" spans="1:15" s="34" customFormat="1" ht="20.100000000000001" hidden="1" customHeight="1">
      <c r="A84" s="106" t="str">
        <f>IF($B$80=2,"Show","HIDE")</f>
        <v>HIDE</v>
      </c>
      <c r="B84" s="113"/>
      <c r="C84" s="74" t="s">
        <v>1912</v>
      </c>
      <c r="D84" s="7" t="s">
        <v>22</v>
      </c>
      <c r="E84" s="234"/>
      <c r="F84" s="235"/>
      <c r="G84" s="236"/>
      <c r="J84" s="6">
        <f t="shared" si="26"/>
        <v>0</v>
      </c>
      <c r="K84" s="130">
        <f>IF(LEN(E84)=0,0,1)</f>
        <v>0</v>
      </c>
      <c r="L84" s="126">
        <f>IF(A84="Hide",0,IF($J$7=1,E84,0))</f>
        <v>0</v>
      </c>
      <c r="M84" s="52" t="str">
        <f>formData!B381</f>
        <v>ACCOMPANYING_CHILD4_OTHER_IDENTITY_DOCS_ID_NUMBER</v>
      </c>
      <c r="N84" s="6">
        <f t="shared" si="19"/>
        <v>0</v>
      </c>
      <c r="O84" s="6">
        <f t="shared" si="20"/>
        <v>0</v>
      </c>
    </row>
    <row r="85" spans="1:15" s="34" customFormat="1" ht="20.100000000000001" hidden="1" customHeight="1">
      <c r="A85" s="106" t="str">
        <f>IF($B$80=2,"Show","HIDE")</f>
        <v>HIDE</v>
      </c>
      <c r="B85" s="113">
        <v>1</v>
      </c>
      <c r="C85" s="74" t="s">
        <v>1912</v>
      </c>
      <c r="D85" s="7" t="s">
        <v>23</v>
      </c>
      <c r="E85" s="240"/>
      <c r="F85" s="241"/>
      <c r="G85" s="242"/>
      <c r="J85" s="6">
        <f t="shared" si="26"/>
        <v>0</v>
      </c>
      <c r="K85" s="129">
        <f>IF(B85=1,0,1)</f>
        <v>0</v>
      </c>
      <c r="L85" s="127">
        <f>IF(A85="Hide",1,IF($J$7=1,B85,1))</f>
        <v>1</v>
      </c>
      <c r="M85" s="52" t="str">
        <f>formData!B382</f>
        <v>ACCOMPANYING_CHILD4_OTHER_IDENTITY_DOCS_COUNTRY_OF_ISSUE</v>
      </c>
      <c r="N85" s="6">
        <f t="shared" si="19"/>
        <v>0</v>
      </c>
      <c r="O85" s="6">
        <f t="shared" si="20"/>
        <v>0</v>
      </c>
    </row>
    <row r="86" spans="1:15" ht="20.100000000000001" customHeight="1">
      <c r="A86" s="106"/>
      <c r="B86" s="106"/>
      <c r="M86" s="52"/>
      <c r="N86" s="6">
        <f t="shared" si="19"/>
        <v>0</v>
      </c>
      <c r="O86" s="6">
        <f t="shared" si="20"/>
        <v>0</v>
      </c>
    </row>
    <row r="87" spans="1:15" ht="24.95" customHeight="1">
      <c r="A87" s="106"/>
      <c r="B87" s="106"/>
      <c r="C87" s="74"/>
      <c r="D87" s="256" t="s">
        <v>1909</v>
      </c>
      <c r="E87" s="284"/>
      <c r="F87" s="284"/>
      <c r="G87" s="285"/>
      <c r="M87" s="52"/>
      <c r="N87" s="6">
        <f t="shared" si="19"/>
        <v>0</v>
      </c>
      <c r="O87" s="6">
        <f t="shared" si="20"/>
        <v>0</v>
      </c>
    </row>
    <row r="88" spans="1:15" s="34" customFormat="1" ht="20.100000000000001" customHeight="1">
      <c r="A88" s="113"/>
      <c r="B88" s="113">
        <v>1</v>
      </c>
      <c r="C88" s="74" t="s">
        <v>1912</v>
      </c>
      <c r="D88" s="286" t="s">
        <v>1967</v>
      </c>
      <c r="E88" s="287"/>
      <c r="F88" s="287"/>
      <c r="G88" s="288"/>
      <c r="J88" s="6">
        <f t="shared" ref="J88:J89" si="27">IF($C88="*",IF($A88="Hide",0,$J$7),0)</f>
        <v>0</v>
      </c>
      <c r="K88" s="129">
        <f>IF(B88=1,0,1)</f>
        <v>0</v>
      </c>
      <c r="L88" s="127">
        <f>IF(A88="Hide",1,IF($J$7=1,B88,1))</f>
        <v>1</v>
      </c>
      <c r="M88" s="52" t="str">
        <f>formData!B383</f>
        <v>ACCOMPANYING_CHILD4_ADD_QUESTIONS_APPLICANT_DEPENDENT</v>
      </c>
      <c r="N88" s="6">
        <f t="shared" si="19"/>
        <v>0</v>
      </c>
      <c r="O88" s="6">
        <f t="shared" si="20"/>
        <v>0</v>
      </c>
    </row>
    <row r="89" spans="1:15" s="34" customFormat="1" ht="20.100000000000001" customHeight="1">
      <c r="A89" s="113"/>
      <c r="B89" s="113">
        <v>1</v>
      </c>
      <c r="C89" s="74" t="s">
        <v>1912</v>
      </c>
      <c r="D89" s="250" t="s">
        <v>73</v>
      </c>
      <c r="E89" s="251"/>
      <c r="F89" s="251"/>
      <c r="G89" s="252"/>
      <c r="J89" s="6">
        <f t="shared" si="27"/>
        <v>0</v>
      </c>
      <c r="K89" s="129">
        <f>IF(B89=1,0,1)</f>
        <v>0</v>
      </c>
      <c r="L89" s="127">
        <f>IF(A89="Hide",1,IF($J$7=1,B89,1))</f>
        <v>1</v>
      </c>
      <c r="M89" s="52" t="str">
        <f>formData!B384</f>
        <v>ACCOMPANYING_CHILD4_ADD_QUESTIONS_MENTAL</v>
      </c>
      <c r="N89" s="6">
        <f t="shared" si="19"/>
        <v>0</v>
      </c>
      <c r="O89" s="6">
        <f t="shared" si="20"/>
        <v>0</v>
      </c>
    </row>
    <row r="90" spans="1:15" s="34" customFormat="1" ht="18" customHeight="1">
      <c r="A90" s="113"/>
      <c r="B90" s="113"/>
      <c r="D90" s="250" t="s">
        <v>74</v>
      </c>
      <c r="E90" s="251"/>
      <c r="F90" s="251"/>
      <c r="G90" s="252"/>
      <c r="M90" s="52"/>
      <c r="N90" s="6">
        <f t="shared" si="19"/>
        <v>0</v>
      </c>
      <c r="O90" s="6">
        <f t="shared" si="20"/>
        <v>0</v>
      </c>
    </row>
    <row r="91" spans="1:15" s="34" customFormat="1" ht="60" customHeight="1">
      <c r="A91" s="113"/>
      <c r="B91" s="113"/>
      <c r="D91" s="270"/>
      <c r="E91" s="271"/>
      <c r="F91" s="271"/>
      <c r="G91" s="272"/>
      <c r="J91" s="157">
        <f t="shared" ref="J91:J92" si="28">IF($C91="*",IF($A91="Hide",0,$J$7),0)</f>
        <v>0</v>
      </c>
      <c r="K91" s="158">
        <f>IF(LEN(D91)=0,0,1)</f>
        <v>0</v>
      </c>
      <c r="L91" s="157">
        <f>IF(A91="Hide",0,IF($J$7=1,D91,0))</f>
        <v>0</v>
      </c>
      <c r="M91" s="52" t="str">
        <f>formData!B385</f>
        <v>ACCOMPANYING_CHILD4_ADD_QUESTIONS_GIVE_DETAILS_1</v>
      </c>
      <c r="N91" s="6">
        <f t="shared" si="19"/>
        <v>0</v>
      </c>
      <c r="O91" s="6">
        <f t="shared" si="20"/>
        <v>0</v>
      </c>
    </row>
    <row r="92" spans="1:15" s="34" customFormat="1" ht="20.100000000000001" customHeight="1">
      <c r="A92" s="113"/>
      <c r="B92" s="113">
        <v>1</v>
      </c>
      <c r="C92" s="74" t="s">
        <v>1912</v>
      </c>
      <c r="D92" s="250" t="s">
        <v>75</v>
      </c>
      <c r="E92" s="251"/>
      <c r="F92" s="251"/>
      <c r="G92" s="252"/>
      <c r="J92" s="6">
        <f t="shared" si="28"/>
        <v>0</v>
      </c>
      <c r="K92" s="129">
        <f>IF(B92=1,0,1)</f>
        <v>0</v>
      </c>
      <c r="L92" s="127">
        <f>IF(A92="Hide",1,IF($J$7=1,B92,1))</f>
        <v>1</v>
      </c>
      <c r="M92" s="52" t="str">
        <f>formData!B386</f>
        <v>ACCOMPANYING_CHILD4_ADD_QUESTIONS_LEGAL_CUSTODY</v>
      </c>
      <c r="N92" s="6">
        <f t="shared" si="19"/>
        <v>0</v>
      </c>
      <c r="O92" s="6">
        <f t="shared" si="20"/>
        <v>0</v>
      </c>
    </row>
    <row r="93" spans="1:15" s="34" customFormat="1" ht="18" customHeight="1">
      <c r="A93" s="113"/>
      <c r="B93" s="113"/>
      <c r="D93" s="250" t="s">
        <v>76</v>
      </c>
      <c r="E93" s="251"/>
      <c r="F93" s="251"/>
      <c r="G93" s="252"/>
      <c r="M93" s="52"/>
      <c r="N93" s="6">
        <f t="shared" si="19"/>
        <v>0</v>
      </c>
      <c r="O93" s="6">
        <f t="shared" si="20"/>
        <v>0</v>
      </c>
    </row>
    <row r="94" spans="1:15" s="34" customFormat="1" ht="60" customHeight="1">
      <c r="A94" s="113"/>
      <c r="B94" s="113"/>
      <c r="D94" s="270"/>
      <c r="E94" s="271"/>
      <c r="F94" s="271"/>
      <c r="G94" s="272"/>
      <c r="J94" s="157">
        <f t="shared" ref="J94:J95" si="29">IF($C94="*",IF($A94="Hide",0,$J$7),0)</f>
        <v>0</v>
      </c>
      <c r="K94" s="158">
        <f>IF(LEN(D94)=0,0,1)</f>
        <v>0</v>
      </c>
      <c r="L94" s="157">
        <f>IF(A94="Hide",0,IF($J$7=1,D94,0))</f>
        <v>0</v>
      </c>
      <c r="M94" s="52" t="str">
        <f>formData!B387</f>
        <v>ACCOMPANYING_CHILD4_ADD_QUESTIONS_GIVE_DETAILS_2</v>
      </c>
      <c r="N94" s="6">
        <f t="shared" si="19"/>
        <v>0</v>
      </c>
      <c r="O94" s="6">
        <f t="shared" si="20"/>
        <v>0</v>
      </c>
    </row>
    <row r="95" spans="1:15" s="34" customFormat="1" ht="20.100000000000001" customHeight="1">
      <c r="A95" s="113"/>
      <c r="B95" s="113">
        <v>1</v>
      </c>
      <c r="C95" s="74" t="s">
        <v>1912</v>
      </c>
      <c r="D95" s="250" t="s">
        <v>77</v>
      </c>
      <c r="E95" s="251"/>
      <c r="F95" s="251"/>
      <c r="G95" s="252"/>
      <c r="J95" s="6">
        <f t="shared" si="29"/>
        <v>0</v>
      </c>
      <c r="K95" s="129">
        <f>IF(B95=1,0,1)</f>
        <v>0</v>
      </c>
      <c r="L95" s="127">
        <f>IF(A95="Hide",1,IF($J$7=1,B95,1))</f>
        <v>1</v>
      </c>
      <c r="M95" s="52" t="str">
        <f>formData!B388</f>
        <v>ACCOMPANYING_CHILD4_ADD_QUESTIONS_OTHER_CUSTODY</v>
      </c>
      <c r="N95" s="6">
        <f t="shared" si="19"/>
        <v>0</v>
      </c>
      <c r="O95" s="6">
        <f t="shared" si="20"/>
        <v>0</v>
      </c>
    </row>
    <row r="96" spans="1:15" s="34" customFormat="1" ht="18" customHeight="1">
      <c r="A96" s="113"/>
      <c r="B96" s="113"/>
      <c r="D96" s="289" t="s">
        <v>74</v>
      </c>
      <c r="E96" s="251"/>
      <c r="F96" s="251"/>
      <c r="G96" s="252"/>
      <c r="M96" s="52"/>
      <c r="N96" s="6">
        <f t="shared" si="19"/>
        <v>0</v>
      </c>
      <c r="O96" s="6">
        <f t="shared" si="20"/>
        <v>0</v>
      </c>
    </row>
    <row r="97" spans="1:15" s="34" customFormat="1" ht="60" customHeight="1">
      <c r="A97" s="113"/>
      <c r="B97" s="113"/>
      <c r="D97" s="270"/>
      <c r="E97" s="271"/>
      <c r="F97" s="271"/>
      <c r="G97" s="272"/>
      <c r="J97" s="157">
        <f t="shared" ref="J97:J98" si="30">IF($C97="*",IF($A97="Hide",0,$J$7),0)</f>
        <v>0</v>
      </c>
      <c r="K97" s="158">
        <f>IF(LEN(D97)=0,0,1)</f>
        <v>0</v>
      </c>
      <c r="L97" s="157">
        <f>IF(A97="Hide",0,IF($J$7=1,D97,0))</f>
        <v>0</v>
      </c>
      <c r="M97" s="52" t="str">
        <f>formData!B389</f>
        <v>ACCOMPANYING_CHILD4_ADD_QUESTIONS_GIVE_DETAILS_3</v>
      </c>
      <c r="N97" s="6">
        <f t="shared" si="19"/>
        <v>0</v>
      </c>
      <c r="O97" s="6">
        <f t="shared" si="20"/>
        <v>0</v>
      </c>
    </row>
    <row r="98" spans="1:15" s="34" customFormat="1" ht="20.100000000000001" customHeight="1">
      <c r="A98" s="113"/>
      <c r="B98" s="113">
        <v>1</v>
      </c>
      <c r="C98" s="74" t="s">
        <v>1912</v>
      </c>
      <c r="D98" s="250" t="s">
        <v>78</v>
      </c>
      <c r="E98" s="251"/>
      <c r="F98" s="251"/>
      <c r="G98" s="252"/>
      <c r="J98" s="6">
        <f t="shared" si="30"/>
        <v>0</v>
      </c>
      <c r="K98" s="129">
        <f>IF(B98=1,0,1)</f>
        <v>0</v>
      </c>
      <c r="L98" s="127">
        <f>IF(A98="Hide",1,IF($J$7=1,B98,1))</f>
        <v>1</v>
      </c>
      <c r="M98" s="52" t="str">
        <f>formData!B390</f>
        <v>ACCOMPANYING_CHILD4_ADD_QUESTIONS_LEGAL_IMPEDIMENTS</v>
      </c>
      <c r="N98" s="6">
        <f t="shared" si="19"/>
        <v>0</v>
      </c>
      <c r="O98" s="6">
        <f t="shared" si="20"/>
        <v>0</v>
      </c>
    </row>
    <row r="99" spans="1:15" s="34" customFormat="1" ht="18" customHeight="1">
      <c r="A99" s="113"/>
      <c r="B99" s="113"/>
      <c r="D99" s="289" t="s">
        <v>79</v>
      </c>
      <c r="E99" s="251"/>
      <c r="F99" s="251"/>
      <c r="G99" s="252"/>
      <c r="M99" s="52"/>
      <c r="N99" s="6">
        <f t="shared" si="19"/>
        <v>0</v>
      </c>
      <c r="O99" s="6">
        <f t="shared" si="20"/>
        <v>0</v>
      </c>
    </row>
    <row r="100" spans="1:15" ht="60" customHeight="1">
      <c r="A100" s="106"/>
      <c r="B100" s="106"/>
      <c r="D100" s="270"/>
      <c r="E100" s="271"/>
      <c r="F100" s="271"/>
      <c r="G100" s="272"/>
      <c r="J100" s="157">
        <f t="shared" ref="J100" si="31">IF($C100="*",IF($A100="Hide",0,$J$7),0)</f>
        <v>0</v>
      </c>
      <c r="K100" s="158">
        <f>IF(LEN(D100)=0,0,1)</f>
        <v>0</v>
      </c>
      <c r="L100" s="157">
        <f>IF(A100="Hide",0,IF($J$7=1,D100,0))</f>
        <v>0</v>
      </c>
      <c r="M100" s="52" t="str">
        <f>formData!B391</f>
        <v>ACCOMPANYING_CHILD4_ADD_QUESTIONS_GIVE_DETAILS_4</v>
      </c>
      <c r="N100" s="6">
        <f t="shared" si="19"/>
        <v>0</v>
      </c>
      <c r="O100" s="6">
        <f t="shared" si="20"/>
        <v>0</v>
      </c>
    </row>
    <row r="101" spans="1:15" ht="18" customHeight="1">
      <c r="B101" s="106"/>
      <c r="M101" s="52"/>
    </row>
    <row r="102" spans="1:15" ht="18" customHeight="1">
      <c r="B102" s="106"/>
      <c r="M102" s="52"/>
    </row>
    <row r="103" spans="1:15" ht="18" customHeight="1">
      <c r="M103" s="52"/>
    </row>
    <row r="104" spans="1:15" ht="18" customHeight="1">
      <c r="M104" s="52"/>
    </row>
    <row r="105" spans="1:15" ht="18" customHeight="1">
      <c r="M105" s="52"/>
    </row>
    <row r="106" spans="1:15" ht="18" customHeight="1">
      <c r="M106" s="52"/>
    </row>
    <row r="107" spans="1:15" ht="18" customHeight="1">
      <c r="M107" s="52"/>
    </row>
    <row r="108" spans="1:15" ht="18" customHeight="1">
      <c r="M108" s="52"/>
    </row>
    <row r="109" spans="1:15" ht="18" customHeight="1">
      <c r="M109" s="52"/>
    </row>
    <row r="110" spans="1:15" ht="18" customHeight="1">
      <c r="M110" s="52"/>
    </row>
    <row r="111" spans="1:15" ht="18" customHeight="1">
      <c r="M111" s="52"/>
    </row>
    <row r="112" spans="1:15" ht="18" customHeight="1">
      <c r="M112" s="52"/>
    </row>
    <row r="113" spans="13:13" ht="18" customHeight="1">
      <c r="M113" s="52"/>
    </row>
    <row r="114" spans="13:13" ht="18" customHeight="1">
      <c r="M114" s="52"/>
    </row>
    <row r="115" spans="13:13" ht="18" customHeight="1">
      <c r="M115" s="52"/>
    </row>
    <row r="116" spans="13:13">
      <c r="M116" s="52"/>
    </row>
    <row r="117" spans="13:13">
      <c r="M117" s="52"/>
    </row>
    <row r="118" spans="13:13">
      <c r="M118" s="52"/>
    </row>
    <row r="119" spans="13:13">
      <c r="M119" s="52"/>
    </row>
    <row r="120" spans="13:13">
      <c r="M120" s="52"/>
    </row>
    <row r="121" spans="13:13">
      <c r="M121" s="52"/>
    </row>
    <row r="122" spans="13:13">
      <c r="M122" s="52"/>
    </row>
    <row r="123" spans="13:13">
      <c r="M123" s="52"/>
    </row>
    <row r="124" spans="13:13">
      <c r="M124" s="52"/>
    </row>
    <row r="125" spans="13:13">
      <c r="M125" s="52"/>
    </row>
    <row r="126" spans="13:13">
      <c r="M126" s="52"/>
    </row>
    <row r="127" spans="13:13">
      <c r="M127" s="52"/>
    </row>
    <row r="128" spans="13:13">
      <c r="M128" s="52"/>
    </row>
    <row r="129" spans="13:13">
      <c r="M129" s="52"/>
    </row>
    <row r="130" spans="13:13">
      <c r="M130" s="52"/>
    </row>
    <row r="131" spans="13:13">
      <c r="M131" s="52"/>
    </row>
    <row r="132" spans="13:13">
      <c r="M132" s="52"/>
    </row>
    <row r="133" spans="13:13">
      <c r="M133" s="52"/>
    </row>
    <row r="134" spans="13:13">
      <c r="M134" s="52"/>
    </row>
  </sheetData>
  <sheetProtection algorithmName="SHA-512" hashValue="RbAqV9rxW/3OtetygQUMWQsQ4d6UzYFteOlD10RruHBfGMCc+2zYnSumSxBw0ZFzs/ghXj6KRXotTNS2i0A7pA==" saltValue="c4qHxqMVbhgOmuuQ5jlNmg==" spinCount="100000" sheet="1" objects="1" scenarios="1"/>
  <mergeCells count="83">
    <mergeCell ref="E10:G10"/>
    <mergeCell ref="D2:G2"/>
    <mergeCell ref="D4:G4"/>
    <mergeCell ref="E6:G6"/>
    <mergeCell ref="D8:G8"/>
    <mergeCell ref="E9:G9"/>
    <mergeCell ref="E27:G27"/>
    <mergeCell ref="D11:G11"/>
    <mergeCell ref="D12:G12"/>
    <mergeCell ref="D14:G14"/>
    <mergeCell ref="E17:G17"/>
    <mergeCell ref="E18:G18"/>
    <mergeCell ref="E20:G20"/>
    <mergeCell ref="E21:G21"/>
    <mergeCell ref="E22:G22"/>
    <mergeCell ref="E23:G23"/>
    <mergeCell ref="E24:G24"/>
    <mergeCell ref="E25:G25"/>
    <mergeCell ref="E15:G15"/>
    <mergeCell ref="E26:G26"/>
    <mergeCell ref="E46:G46"/>
    <mergeCell ref="D29:G29"/>
    <mergeCell ref="E30:G30"/>
    <mergeCell ref="E31:G31"/>
    <mergeCell ref="D33:G33"/>
    <mergeCell ref="E34:G34"/>
    <mergeCell ref="E36:G36"/>
    <mergeCell ref="E37:G37"/>
    <mergeCell ref="E39:G39"/>
    <mergeCell ref="E40:G40"/>
    <mergeCell ref="D44:G44"/>
    <mergeCell ref="E45:G45"/>
    <mergeCell ref="E35:G35"/>
    <mergeCell ref="D41:G41"/>
    <mergeCell ref="D42:G42"/>
    <mergeCell ref="E61:G61"/>
    <mergeCell ref="E47:G47"/>
    <mergeCell ref="D49:G49"/>
    <mergeCell ref="E50:G50"/>
    <mergeCell ref="D52:G52"/>
    <mergeCell ref="E53:G53"/>
    <mergeCell ref="E54:G54"/>
    <mergeCell ref="E55:G55"/>
    <mergeCell ref="E56:G56"/>
    <mergeCell ref="D57:G57"/>
    <mergeCell ref="D58:G58"/>
    <mergeCell ref="D60:G60"/>
    <mergeCell ref="E74:G74"/>
    <mergeCell ref="E62:G62"/>
    <mergeCell ref="E63:G63"/>
    <mergeCell ref="D65:G65"/>
    <mergeCell ref="E66:G66"/>
    <mergeCell ref="E67:G67"/>
    <mergeCell ref="E68:G68"/>
    <mergeCell ref="E69:G69"/>
    <mergeCell ref="E70:G70"/>
    <mergeCell ref="E71:G71"/>
    <mergeCell ref="E72:G72"/>
    <mergeCell ref="E73:G73"/>
    <mergeCell ref="D88:G88"/>
    <mergeCell ref="E75:G75"/>
    <mergeCell ref="E76:G76"/>
    <mergeCell ref="E77:G77"/>
    <mergeCell ref="D79:G79"/>
    <mergeCell ref="E80:G80"/>
    <mergeCell ref="E81:G81"/>
    <mergeCell ref="E82:G82"/>
    <mergeCell ref="E83:G83"/>
    <mergeCell ref="E84:G84"/>
    <mergeCell ref="E85:G85"/>
    <mergeCell ref="D87:G87"/>
    <mergeCell ref="D100:G100"/>
    <mergeCell ref="D89:G89"/>
    <mergeCell ref="D90:G90"/>
    <mergeCell ref="D91:G91"/>
    <mergeCell ref="D92:G92"/>
    <mergeCell ref="D93:G93"/>
    <mergeCell ref="D94:G94"/>
    <mergeCell ref="D95:G95"/>
    <mergeCell ref="D96:G96"/>
    <mergeCell ref="D97:G97"/>
    <mergeCell ref="D98:G98"/>
    <mergeCell ref="D99:G99"/>
  </mergeCells>
  <dataValidations count="5">
    <dataValidation type="date" allowBlank="1" showInputMessage="1" showErrorMessage="1" errorTitle="Date of birth" error="Please enter a valid date" sqref="E20:G20 E71:G71" xr:uid="{00000000-0002-0000-0C00-000000000000}">
      <formula1>1</formula1>
      <formula2>54789</formula2>
    </dataValidation>
    <dataValidation type="date" allowBlank="1" showInputMessage="1" showErrorMessage="1" errorTitle="Date of expiry" error="Please enter a valid date" sqref="E25:G26 E76:G76 E40:G40" xr:uid="{00000000-0002-0000-0C00-000001000000}">
      <formula1>1</formula1>
      <formula2>54789</formula2>
    </dataValidation>
    <dataValidation type="date" allowBlank="1" showInputMessage="1" showErrorMessage="1" errorTitle="Date of issue" error="Please enter a valid date" sqref="E24:G24 E75:G75 E39:G39" xr:uid="{00000000-0002-0000-0C00-000002000000}">
      <formula1>1</formula1>
      <formula2>54789</formula2>
    </dataValidation>
    <dataValidation type="textLength" operator="lessThanOrEqual" allowBlank="1" showInputMessage="1" showErrorMessage="1" errorTitle="Give Details" error="The maximum length of text that you can enter is 300 characters" sqref="D12:G12 D91:G91 D94:G94 D97:G97 D100:G100 D42:G42" xr:uid="{00000000-0002-0000-0C00-000003000000}">
      <formula1>300</formula1>
    </dataValidation>
    <dataValidation type="textLength" allowBlank="1" showInputMessage="1" showErrorMessage="1" errorTitle="Give Details" error="The maximum length of text that you can enter is 300 characters" sqref="D58:G58" xr:uid="{00000000-0002-0000-0C00-000004000000}">
      <formula1>0</formula1>
      <formula2>300</formula2>
    </dataValidation>
  </dataValidations>
  <hyperlinks>
    <hyperlink ref="G3" location="child_4!G3" display="SAVE" xr:uid="{00000000-0004-0000-0C00-000000000000}"/>
    <hyperlink ref="D3" location="index!C1" display="INDEX" xr:uid="{00000000-0004-0000-0C00-000001000000}"/>
  </hyperlinks>
  <pageMargins left="0.7" right="0.7" top="0.75" bottom="0.75" header="0.3" footer="0.3"/>
  <pageSetup paperSize="9" scale="8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9393" r:id="rId4" name="Drop Down 1">
              <controlPr locked="0" defaultSize="0" autoLine="0" autoPict="0">
                <anchor moveWithCells="1">
                  <from>
                    <xdr:col>5</xdr:col>
                    <xdr:colOff>161925</xdr:colOff>
                    <xdr:row>87</xdr:row>
                    <xdr:rowOff>0</xdr:rowOff>
                  </from>
                  <to>
                    <xdr:col>7</xdr:col>
                    <xdr:colOff>0</xdr:colOff>
                    <xdr:row>88</xdr:row>
                    <xdr:rowOff>0</xdr:rowOff>
                  </to>
                </anchor>
              </controlPr>
            </control>
          </mc:Choice>
        </mc:AlternateContent>
        <mc:AlternateContent xmlns:mc="http://schemas.openxmlformats.org/markup-compatibility/2006">
          <mc:Choice Requires="x14">
            <control shapeId="59394" r:id="rId5" name="Drop Down 2">
              <controlPr locked="0" defaultSize="0" autoLine="0" autoPict="0">
                <anchor moveWithCells="1">
                  <from>
                    <xdr:col>5</xdr:col>
                    <xdr:colOff>161925</xdr:colOff>
                    <xdr:row>88</xdr:row>
                    <xdr:rowOff>0</xdr:rowOff>
                  </from>
                  <to>
                    <xdr:col>7</xdr:col>
                    <xdr:colOff>0</xdr:colOff>
                    <xdr:row>89</xdr:row>
                    <xdr:rowOff>0</xdr:rowOff>
                  </to>
                </anchor>
              </controlPr>
            </control>
          </mc:Choice>
        </mc:AlternateContent>
        <mc:AlternateContent xmlns:mc="http://schemas.openxmlformats.org/markup-compatibility/2006">
          <mc:Choice Requires="x14">
            <control shapeId="59395" r:id="rId6" name="Drop Down 3">
              <controlPr locked="0" defaultSize="0" autoLine="0" autoPict="0">
                <anchor moveWithCells="1">
                  <from>
                    <xdr:col>5</xdr:col>
                    <xdr:colOff>161925</xdr:colOff>
                    <xdr:row>91</xdr:row>
                    <xdr:rowOff>0</xdr:rowOff>
                  </from>
                  <to>
                    <xdr:col>7</xdr:col>
                    <xdr:colOff>0</xdr:colOff>
                    <xdr:row>92</xdr:row>
                    <xdr:rowOff>0</xdr:rowOff>
                  </to>
                </anchor>
              </controlPr>
            </control>
          </mc:Choice>
        </mc:AlternateContent>
        <mc:AlternateContent xmlns:mc="http://schemas.openxmlformats.org/markup-compatibility/2006">
          <mc:Choice Requires="x14">
            <control shapeId="59396" r:id="rId7" name="Drop Down 4">
              <controlPr locked="0" defaultSize="0" autoLine="0" autoPict="0">
                <anchor moveWithCells="1">
                  <from>
                    <xdr:col>5</xdr:col>
                    <xdr:colOff>161925</xdr:colOff>
                    <xdr:row>94</xdr:row>
                    <xdr:rowOff>0</xdr:rowOff>
                  </from>
                  <to>
                    <xdr:col>7</xdr:col>
                    <xdr:colOff>0</xdr:colOff>
                    <xdr:row>95</xdr:row>
                    <xdr:rowOff>0</xdr:rowOff>
                  </to>
                </anchor>
              </controlPr>
            </control>
          </mc:Choice>
        </mc:AlternateContent>
        <mc:AlternateContent xmlns:mc="http://schemas.openxmlformats.org/markup-compatibility/2006">
          <mc:Choice Requires="x14">
            <control shapeId="59397" r:id="rId8" name="Drop Down 5">
              <controlPr locked="0" defaultSize="0" autoLine="0" autoPict="0">
                <anchor moveWithCells="1">
                  <from>
                    <xdr:col>5</xdr:col>
                    <xdr:colOff>161925</xdr:colOff>
                    <xdr:row>97</xdr:row>
                    <xdr:rowOff>0</xdr:rowOff>
                  </from>
                  <to>
                    <xdr:col>7</xdr:col>
                    <xdr:colOff>0</xdr:colOff>
                    <xdr:row>98</xdr:row>
                    <xdr:rowOff>0</xdr:rowOff>
                  </to>
                </anchor>
              </controlPr>
            </control>
          </mc:Choice>
        </mc:AlternateContent>
        <mc:AlternateContent xmlns:mc="http://schemas.openxmlformats.org/markup-compatibility/2006">
          <mc:Choice Requires="x14">
            <control shapeId="59398" r:id="rId9" name="Drop Down 6">
              <controlPr locked="0" defaultSize="0" autoLine="0" autoPict="0" macro="[0]!YourChild_4.DropDownChildHasOtherPassportOrTravelDoc_Change">
                <anchor moveWithCells="1">
                  <from>
                    <xdr:col>4</xdr:col>
                    <xdr:colOff>0</xdr:colOff>
                    <xdr:row>65</xdr:row>
                    <xdr:rowOff>47625</xdr:rowOff>
                  </from>
                  <to>
                    <xdr:col>7</xdr:col>
                    <xdr:colOff>0</xdr:colOff>
                    <xdr:row>65</xdr:row>
                    <xdr:rowOff>295275</xdr:rowOff>
                  </to>
                </anchor>
              </controlPr>
            </control>
          </mc:Choice>
        </mc:AlternateContent>
        <mc:AlternateContent xmlns:mc="http://schemas.openxmlformats.org/markup-compatibility/2006">
          <mc:Choice Requires="x14">
            <control shapeId="59399" r:id="rId10" name="Drop Down 7">
              <controlPr locked="0" defaultSize="0" autoLine="0" autoPict="0" macro="[0]!DDDDDDD1">
                <anchor moveWithCells="1">
                  <from>
                    <xdr:col>4</xdr:col>
                    <xdr:colOff>0</xdr:colOff>
                    <xdr:row>60</xdr:row>
                    <xdr:rowOff>66675</xdr:rowOff>
                  </from>
                  <to>
                    <xdr:col>7</xdr:col>
                    <xdr:colOff>0</xdr:colOff>
                    <xdr:row>60</xdr:row>
                    <xdr:rowOff>314325</xdr:rowOff>
                  </to>
                </anchor>
              </controlPr>
            </control>
          </mc:Choice>
        </mc:AlternateContent>
        <mc:AlternateContent xmlns:mc="http://schemas.openxmlformats.org/markup-compatibility/2006">
          <mc:Choice Requires="x14">
            <control shapeId="59400" r:id="rId11" name="Drop Down 8">
              <controlPr locked="0" defaultSize="0" autoLine="0" autoPict="0">
                <anchor moveWithCells="1">
                  <from>
                    <xdr:col>4</xdr:col>
                    <xdr:colOff>0</xdr:colOff>
                    <xdr:row>7</xdr:row>
                    <xdr:rowOff>314325</xdr:rowOff>
                  </from>
                  <to>
                    <xdr:col>7</xdr:col>
                    <xdr:colOff>0</xdr:colOff>
                    <xdr:row>9</xdr:row>
                    <xdr:rowOff>0</xdr:rowOff>
                  </to>
                </anchor>
              </controlPr>
            </control>
          </mc:Choice>
        </mc:AlternateContent>
        <mc:AlternateContent xmlns:mc="http://schemas.openxmlformats.org/markup-compatibility/2006">
          <mc:Choice Requires="x14">
            <control shapeId="59401" r:id="rId12" name="Drop Down 9">
              <controlPr locked="0" defaultSize="0" autoLine="0" autoPict="0">
                <anchor moveWithCells="1">
                  <from>
                    <xdr:col>4</xdr:col>
                    <xdr:colOff>0</xdr:colOff>
                    <xdr:row>9</xdr:row>
                    <xdr:rowOff>0</xdr:rowOff>
                  </from>
                  <to>
                    <xdr:col>7</xdr:col>
                    <xdr:colOff>0</xdr:colOff>
                    <xdr:row>10</xdr:row>
                    <xdr:rowOff>0</xdr:rowOff>
                  </to>
                </anchor>
              </controlPr>
            </control>
          </mc:Choice>
        </mc:AlternateContent>
        <mc:AlternateContent xmlns:mc="http://schemas.openxmlformats.org/markup-compatibility/2006">
          <mc:Choice Requires="x14">
            <control shapeId="59402" r:id="rId13" name="Drop Down 10">
              <controlPr locked="0" defaultSize="0" autoLine="0" autoPict="0">
                <anchor moveWithCells="1">
                  <from>
                    <xdr:col>4</xdr:col>
                    <xdr:colOff>0</xdr:colOff>
                    <xdr:row>18</xdr:row>
                    <xdr:rowOff>0</xdr:rowOff>
                  </from>
                  <to>
                    <xdr:col>7</xdr:col>
                    <xdr:colOff>0</xdr:colOff>
                    <xdr:row>19</xdr:row>
                    <xdr:rowOff>0</xdr:rowOff>
                  </to>
                </anchor>
              </controlPr>
            </control>
          </mc:Choice>
        </mc:AlternateContent>
        <mc:AlternateContent xmlns:mc="http://schemas.openxmlformats.org/markup-compatibility/2006">
          <mc:Choice Requires="x14">
            <control shapeId="59403" r:id="rId14" name="Drop Down 11">
              <controlPr locked="0" defaultSize="0" autoLine="0" autoPict="0" macro="[0]!DropDownChild4HasChinaPlaceofIssue_Change">
                <anchor moveWithCells="1">
                  <from>
                    <xdr:col>4</xdr:col>
                    <xdr:colOff>0</xdr:colOff>
                    <xdr:row>20</xdr:row>
                    <xdr:rowOff>257175</xdr:rowOff>
                  </from>
                  <to>
                    <xdr:col>7</xdr:col>
                    <xdr:colOff>0</xdr:colOff>
                    <xdr:row>28</xdr:row>
                    <xdr:rowOff>0</xdr:rowOff>
                  </to>
                </anchor>
              </controlPr>
            </control>
          </mc:Choice>
        </mc:AlternateContent>
        <mc:AlternateContent xmlns:mc="http://schemas.openxmlformats.org/markup-compatibility/2006">
          <mc:Choice Requires="x14">
            <control shapeId="59404" r:id="rId15" name="Drop Down 12">
              <controlPr locked="0" defaultSize="0" autoLine="0" autoPict="0">
                <anchor moveWithCells="1">
                  <from>
                    <xdr:col>4</xdr:col>
                    <xdr:colOff>0</xdr:colOff>
                    <xdr:row>21</xdr:row>
                    <xdr:rowOff>257175</xdr:rowOff>
                  </from>
                  <to>
                    <xdr:col>7</xdr:col>
                    <xdr:colOff>0</xdr:colOff>
                    <xdr:row>28</xdr:row>
                    <xdr:rowOff>0</xdr:rowOff>
                  </to>
                </anchor>
              </controlPr>
            </control>
          </mc:Choice>
        </mc:AlternateContent>
        <mc:AlternateContent xmlns:mc="http://schemas.openxmlformats.org/markup-compatibility/2006">
          <mc:Choice Requires="x14">
            <control shapeId="59405" r:id="rId16" name="Drop Down 13">
              <controlPr locked="0" defaultSize="0" autoLine="0" autoPict="0">
                <anchor moveWithCells="1">
                  <from>
                    <xdr:col>4</xdr:col>
                    <xdr:colOff>0</xdr:colOff>
                    <xdr:row>29</xdr:row>
                    <xdr:rowOff>66675</xdr:rowOff>
                  </from>
                  <to>
                    <xdr:col>7</xdr:col>
                    <xdr:colOff>0</xdr:colOff>
                    <xdr:row>29</xdr:row>
                    <xdr:rowOff>314325</xdr:rowOff>
                  </to>
                </anchor>
              </controlPr>
            </control>
          </mc:Choice>
        </mc:AlternateContent>
        <mc:AlternateContent xmlns:mc="http://schemas.openxmlformats.org/markup-compatibility/2006">
          <mc:Choice Requires="x14">
            <control shapeId="59406" r:id="rId17" name="Drop Down 14">
              <controlPr locked="0" defaultSize="0" autoLine="0" autoPict="0" macro="[0]!YourChild_4.DropDownChildHasNationalIdentityDoc_Change">
                <anchor moveWithCells="1">
                  <from>
                    <xdr:col>4</xdr:col>
                    <xdr:colOff>0</xdr:colOff>
                    <xdr:row>33</xdr:row>
                    <xdr:rowOff>0</xdr:rowOff>
                  </from>
                  <to>
                    <xdr:col>7</xdr:col>
                    <xdr:colOff>0</xdr:colOff>
                    <xdr:row>34</xdr:row>
                    <xdr:rowOff>0</xdr:rowOff>
                  </to>
                </anchor>
              </controlPr>
            </control>
          </mc:Choice>
        </mc:AlternateContent>
        <mc:AlternateContent xmlns:mc="http://schemas.openxmlformats.org/markup-compatibility/2006">
          <mc:Choice Requires="x14">
            <control shapeId="59407" r:id="rId18" name="Drop Down 15">
              <controlPr locked="0" defaultSize="0" autoLine="0" autoPict="0">
                <anchor moveWithCells="1">
                  <from>
                    <xdr:col>4</xdr:col>
                    <xdr:colOff>0</xdr:colOff>
                    <xdr:row>37</xdr:row>
                    <xdr:rowOff>0</xdr:rowOff>
                  </from>
                  <to>
                    <xdr:col>7</xdr:col>
                    <xdr:colOff>0</xdr:colOff>
                    <xdr:row>43</xdr:row>
                    <xdr:rowOff>0</xdr:rowOff>
                  </to>
                </anchor>
              </controlPr>
            </control>
          </mc:Choice>
        </mc:AlternateContent>
        <mc:AlternateContent xmlns:mc="http://schemas.openxmlformats.org/markup-compatibility/2006">
          <mc:Choice Requires="x14">
            <control shapeId="59408" r:id="rId19" name="Drop Down 16">
              <controlPr locked="0" defaultSize="0" autoLine="0" autoPict="0">
                <anchor moveWithCells="1">
                  <from>
                    <xdr:col>4</xdr:col>
                    <xdr:colOff>0</xdr:colOff>
                    <xdr:row>46</xdr:row>
                    <xdr:rowOff>0</xdr:rowOff>
                  </from>
                  <to>
                    <xdr:col>7</xdr:col>
                    <xdr:colOff>0</xdr:colOff>
                    <xdr:row>47</xdr:row>
                    <xdr:rowOff>0</xdr:rowOff>
                  </to>
                </anchor>
              </controlPr>
            </control>
          </mc:Choice>
        </mc:AlternateContent>
        <mc:AlternateContent xmlns:mc="http://schemas.openxmlformats.org/markup-compatibility/2006">
          <mc:Choice Requires="x14">
            <control shapeId="59409" r:id="rId20" name="Drop Down 17">
              <controlPr locked="0" defaultSize="0" autoLine="0" autoPict="0">
                <anchor moveWithCells="1">
                  <from>
                    <xdr:col>4</xdr:col>
                    <xdr:colOff>0</xdr:colOff>
                    <xdr:row>49</xdr:row>
                    <xdr:rowOff>0</xdr:rowOff>
                  </from>
                  <to>
                    <xdr:col>7</xdr:col>
                    <xdr:colOff>0</xdr:colOff>
                    <xdr:row>50</xdr:row>
                    <xdr:rowOff>0</xdr:rowOff>
                  </to>
                </anchor>
              </controlPr>
            </control>
          </mc:Choice>
        </mc:AlternateContent>
        <mc:AlternateContent xmlns:mc="http://schemas.openxmlformats.org/markup-compatibility/2006">
          <mc:Choice Requires="x14">
            <control shapeId="59410" r:id="rId21" name="Drop Down 18">
              <controlPr locked="0" defaultSize="0" autoLine="0" autoPict="0" macro="[0]!YourChild_4.DropDownChildHasOtherNamesOrSpelling_Change">
                <anchor moveWithCells="1">
                  <from>
                    <xdr:col>4</xdr:col>
                    <xdr:colOff>0</xdr:colOff>
                    <xdr:row>52</xdr:row>
                    <xdr:rowOff>66675</xdr:rowOff>
                  </from>
                  <to>
                    <xdr:col>7</xdr:col>
                    <xdr:colOff>0</xdr:colOff>
                    <xdr:row>52</xdr:row>
                    <xdr:rowOff>314325</xdr:rowOff>
                  </to>
                </anchor>
              </controlPr>
            </control>
          </mc:Choice>
        </mc:AlternateContent>
        <mc:AlternateContent xmlns:mc="http://schemas.openxmlformats.org/markup-compatibility/2006">
          <mc:Choice Requires="x14">
            <control shapeId="59411" r:id="rId22" name="Drop Down 19">
              <controlPr locked="0" defaultSize="0" autoLine="0" autoPict="0">
                <anchor moveWithCells="1">
                  <from>
                    <xdr:col>4</xdr:col>
                    <xdr:colOff>0</xdr:colOff>
                    <xdr:row>55</xdr:row>
                    <xdr:rowOff>0</xdr:rowOff>
                  </from>
                  <to>
                    <xdr:col>7</xdr:col>
                    <xdr:colOff>0</xdr:colOff>
                    <xdr:row>59</xdr:row>
                    <xdr:rowOff>0</xdr:rowOff>
                  </to>
                </anchor>
              </controlPr>
            </control>
          </mc:Choice>
        </mc:AlternateContent>
        <mc:AlternateContent xmlns:mc="http://schemas.openxmlformats.org/markup-compatibility/2006">
          <mc:Choice Requires="x14">
            <control shapeId="59412" r:id="rId23" name="Drop Down 20">
              <controlPr locked="0" defaultSize="0" autoLine="0" autoPict="0" macro="[0]!YourChild_4.DropDownChildHasOtherCountryPassport_Change">
                <anchor moveWithCells="1">
                  <from>
                    <xdr:col>4</xdr:col>
                    <xdr:colOff>0</xdr:colOff>
                    <xdr:row>61</xdr:row>
                    <xdr:rowOff>0</xdr:rowOff>
                  </from>
                  <to>
                    <xdr:col>7</xdr:col>
                    <xdr:colOff>0</xdr:colOff>
                    <xdr:row>62</xdr:row>
                    <xdr:rowOff>0</xdr:rowOff>
                  </to>
                </anchor>
              </controlPr>
            </control>
          </mc:Choice>
        </mc:AlternateContent>
        <mc:AlternateContent xmlns:mc="http://schemas.openxmlformats.org/markup-compatibility/2006">
          <mc:Choice Requires="x14">
            <control shapeId="59413" r:id="rId24" name="Drop Down 21">
              <controlPr locked="0" defaultSize="0" autoLine="0" autoPict="0">
                <anchor moveWithCells="1">
                  <from>
                    <xdr:col>4</xdr:col>
                    <xdr:colOff>0</xdr:colOff>
                    <xdr:row>62</xdr:row>
                    <xdr:rowOff>0</xdr:rowOff>
                  </from>
                  <to>
                    <xdr:col>4</xdr:col>
                    <xdr:colOff>1752600</xdr:colOff>
                    <xdr:row>64</xdr:row>
                    <xdr:rowOff>0</xdr:rowOff>
                  </to>
                </anchor>
              </controlPr>
            </control>
          </mc:Choice>
        </mc:AlternateContent>
        <mc:AlternateContent xmlns:mc="http://schemas.openxmlformats.org/markup-compatibility/2006">
          <mc:Choice Requires="x14">
            <control shapeId="59414" r:id="rId25" name="Drop Down 22">
              <controlPr locked="0" defaultSize="0" autoLine="0" autoPict="0">
                <anchor moveWithCells="1">
                  <from>
                    <xdr:col>4</xdr:col>
                    <xdr:colOff>1819275</xdr:colOff>
                    <xdr:row>62</xdr:row>
                    <xdr:rowOff>0</xdr:rowOff>
                  </from>
                  <to>
                    <xdr:col>7</xdr:col>
                    <xdr:colOff>0</xdr:colOff>
                    <xdr:row>64</xdr:row>
                    <xdr:rowOff>0</xdr:rowOff>
                  </to>
                </anchor>
              </controlPr>
            </control>
          </mc:Choice>
        </mc:AlternateContent>
        <mc:AlternateContent xmlns:mc="http://schemas.openxmlformats.org/markup-compatibility/2006">
          <mc:Choice Requires="x14">
            <control shapeId="59415" r:id="rId26" name="Drop Down 23">
              <controlPr locked="0" defaultSize="0" autoLine="0" autoPict="0">
                <anchor moveWithCells="1">
                  <from>
                    <xdr:col>4</xdr:col>
                    <xdr:colOff>0</xdr:colOff>
                    <xdr:row>66</xdr:row>
                    <xdr:rowOff>0</xdr:rowOff>
                  </from>
                  <to>
                    <xdr:col>7</xdr:col>
                    <xdr:colOff>0</xdr:colOff>
                    <xdr:row>78</xdr:row>
                    <xdr:rowOff>0</xdr:rowOff>
                  </to>
                </anchor>
              </controlPr>
            </control>
          </mc:Choice>
        </mc:AlternateContent>
        <mc:AlternateContent xmlns:mc="http://schemas.openxmlformats.org/markup-compatibility/2006">
          <mc:Choice Requires="x14">
            <control shapeId="59416" r:id="rId27" name="Drop Down 24">
              <controlPr locked="0" defaultSize="0" autoLine="0" autoPict="0">
                <anchor moveWithCells="1">
                  <from>
                    <xdr:col>4</xdr:col>
                    <xdr:colOff>0</xdr:colOff>
                    <xdr:row>69</xdr:row>
                    <xdr:rowOff>0</xdr:rowOff>
                  </from>
                  <to>
                    <xdr:col>7</xdr:col>
                    <xdr:colOff>0</xdr:colOff>
                    <xdr:row>78</xdr:row>
                    <xdr:rowOff>0</xdr:rowOff>
                  </to>
                </anchor>
              </controlPr>
            </control>
          </mc:Choice>
        </mc:AlternateContent>
        <mc:AlternateContent xmlns:mc="http://schemas.openxmlformats.org/markup-compatibility/2006">
          <mc:Choice Requires="x14">
            <control shapeId="59417" r:id="rId28" name="Drop Down 25">
              <controlPr locked="0" defaultSize="0" autoLine="0" autoPict="0">
                <anchor moveWithCells="1">
                  <from>
                    <xdr:col>4</xdr:col>
                    <xdr:colOff>0</xdr:colOff>
                    <xdr:row>71</xdr:row>
                    <xdr:rowOff>257175</xdr:rowOff>
                  </from>
                  <to>
                    <xdr:col>7</xdr:col>
                    <xdr:colOff>0</xdr:colOff>
                    <xdr:row>78</xdr:row>
                    <xdr:rowOff>0</xdr:rowOff>
                  </to>
                </anchor>
              </controlPr>
            </control>
          </mc:Choice>
        </mc:AlternateContent>
        <mc:AlternateContent xmlns:mc="http://schemas.openxmlformats.org/markup-compatibility/2006">
          <mc:Choice Requires="x14">
            <control shapeId="59418" r:id="rId29" name="Drop Down 26">
              <controlPr locked="0" defaultSize="0" autoLine="0" autoPict="0">
                <anchor moveWithCells="1">
                  <from>
                    <xdr:col>4</xdr:col>
                    <xdr:colOff>0</xdr:colOff>
                    <xdr:row>73</xdr:row>
                    <xdr:rowOff>0</xdr:rowOff>
                  </from>
                  <to>
                    <xdr:col>7</xdr:col>
                    <xdr:colOff>0</xdr:colOff>
                    <xdr:row>78</xdr:row>
                    <xdr:rowOff>0</xdr:rowOff>
                  </to>
                </anchor>
              </controlPr>
            </control>
          </mc:Choice>
        </mc:AlternateContent>
        <mc:AlternateContent xmlns:mc="http://schemas.openxmlformats.org/markup-compatibility/2006">
          <mc:Choice Requires="x14">
            <control shapeId="59419" r:id="rId30" name="Drop Down 27">
              <controlPr locked="0" defaultSize="0" autoLine="0" autoPict="0" macro="[0]!YourChild_4.DropDownChildHasOtherIdentityDoc_Change">
                <anchor moveWithCells="1">
                  <from>
                    <xdr:col>4</xdr:col>
                    <xdr:colOff>0</xdr:colOff>
                    <xdr:row>79</xdr:row>
                    <xdr:rowOff>0</xdr:rowOff>
                  </from>
                  <to>
                    <xdr:col>7</xdr:col>
                    <xdr:colOff>0</xdr:colOff>
                    <xdr:row>80</xdr:row>
                    <xdr:rowOff>0</xdr:rowOff>
                  </to>
                </anchor>
              </controlPr>
            </control>
          </mc:Choice>
        </mc:AlternateContent>
        <mc:AlternateContent xmlns:mc="http://schemas.openxmlformats.org/markup-compatibility/2006">
          <mc:Choice Requires="x14">
            <control shapeId="59420" r:id="rId31" name="Drop Down 28">
              <controlPr locked="0" defaultSize="0" autoLine="0" autoPict="0">
                <anchor moveWithCells="1">
                  <from>
                    <xdr:col>4</xdr:col>
                    <xdr:colOff>0</xdr:colOff>
                    <xdr:row>81</xdr:row>
                    <xdr:rowOff>257175</xdr:rowOff>
                  </from>
                  <to>
                    <xdr:col>7</xdr:col>
                    <xdr:colOff>0</xdr:colOff>
                    <xdr:row>86</xdr:row>
                    <xdr:rowOff>0</xdr:rowOff>
                  </to>
                </anchor>
              </controlPr>
            </control>
          </mc:Choice>
        </mc:AlternateContent>
        <mc:AlternateContent xmlns:mc="http://schemas.openxmlformats.org/markup-compatibility/2006">
          <mc:Choice Requires="x14">
            <control shapeId="59421" r:id="rId32" name="Drop Down 29">
              <controlPr locked="0" defaultSize="0" autoLine="0" autoPict="0">
                <anchor moveWithCells="1">
                  <from>
                    <xdr:col>4</xdr:col>
                    <xdr:colOff>0</xdr:colOff>
                    <xdr:row>83</xdr:row>
                    <xdr:rowOff>257175</xdr:rowOff>
                  </from>
                  <to>
                    <xdr:col>7</xdr:col>
                    <xdr:colOff>0</xdr:colOff>
                    <xdr:row>86</xdr:row>
                    <xdr:rowOff>0</xdr:rowOff>
                  </to>
                </anchor>
              </controlPr>
            </control>
          </mc:Choice>
        </mc:AlternateContent>
        <mc:AlternateContent xmlns:mc="http://schemas.openxmlformats.org/markup-compatibility/2006">
          <mc:Choice Requires="x14">
            <control shapeId="59422" r:id="rId33" name="Drop Down 30">
              <controlPr locked="0" defaultSize="0" autoLine="0" autoPict="0">
                <anchor moveWithCells="1">
                  <from>
                    <xdr:col>4</xdr:col>
                    <xdr:colOff>0</xdr:colOff>
                    <xdr:row>5</xdr:row>
                    <xdr:rowOff>0</xdr:rowOff>
                  </from>
                  <to>
                    <xdr:col>7</xdr:col>
                    <xdr:colOff>0</xdr:colOff>
                    <xdr:row>6</xdr:row>
                    <xdr:rowOff>0</xdr:rowOff>
                  </to>
                </anchor>
              </controlPr>
            </control>
          </mc:Choice>
        </mc:AlternateContent>
        <mc:AlternateContent xmlns:mc="http://schemas.openxmlformats.org/markup-compatibility/2006">
          <mc:Choice Requires="x14">
            <control shapeId="59423" r:id="rId34" name="Drop Down 31">
              <controlPr locked="0" defaultSize="0" autoLine="0" autoPict="0" macro="[0]!DropDownChild4HasCurrentPassport_Change">
                <anchor moveWithCells="1">
                  <from>
                    <xdr:col>4</xdr:col>
                    <xdr:colOff>0</xdr:colOff>
                    <xdr:row>14</xdr:row>
                    <xdr:rowOff>0</xdr:rowOff>
                  </from>
                  <to>
                    <xdr:col>7</xdr:col>
                    <xdr:colOff>0</xdr:colOff>
                    <xdr:row>15</xdr:row>
                    <xdr:rowOff>0</xdr:rowOff>
                  </to>
                </anchor>
              </controlPr>
            </control>
          </mc:Choice>
        </mc:AlternateContent>
        <mc:AlternateContent xmlns:mc="http://schemas.openxmlformats.org/markup-compatibility/2006">
          <mc:Choice Requires="x14">
            <control shapeId="59424" r:id="rId35" name="Drop Down 32">
              <controlPr locked="0" defaultSize="0" autoLine="0" autoPict="0" macro="[0]!DropDownChildHasCurrentPassport_Change">
                <anchor moveWithCells="1">
                  <from>
                    <xdr:col>4</xdr:col>
                    <xdr:colOff>0</xdr:colOff>
                    <xdr:row>15</xdr:row>
                    <xdr:rowOff>0</xdr:rowOff>
                  </from>
                  <to>
                    <xdr:col>7</xdr:col>
                    <xdr:colOff>0</xdr:colOff>
                    <xdr:row>17</xdr:row>
                    <xdr:rowOff>0</xdr:rowOff>
                  </to>
                </anchor>
              </controlPr>
            </control>
          </mc:Choice>
        </mc:AlternateContent>
        <mc:AlternateContent xmlns:mc="http://schemas.openxmlformats.org/markup-compatibility/2006">
          <mc:Choice Requires="x14">
            <control shapeId="59425" r:id="rId36" name="Drop Down 33">
              <controlPr locked="0" defaultSize="0" autoLine="0" autoPict="0">
                <anchor moveWithCells="1">
                  <from>
                    <xdr:col>4</xdr:col>
                    <xdr:colOff>9525</xdr:colOff>
                    <xdr:row>25</xdr:row>
                    <xdr:rowOff>0</xdr:rowOff>
                  </from>
                  <to>
                    <xdr:col>7</xdr:col>
                    <xdr:colOff>9525</xdr:colOff>
                    <xdr:row>28</xdr:row>
                    <xdr:rowOff>0</xdr:rowOff>
                  </to>
                </anchor>
              </controlPr>
            </control>
          </mc:Choice>
        </mc:AlternateContent>
        <mc:AlternateContent xmlns:mc="http://schemas.openxmlformats.org/markup-compatibility/2006">
          <mc:Choice Requires="x14">
            <control shapeId="59426" r:id="rId37" name="Drop Down 34">
              <controlPr locked="0" defaultSize="0" autoLine="0" autoPict="0" macro="[0]!DropDownChild4HasCurrentPassport_Change">
                <anchor moveWithCells="1">
                  <from>
                    <xdr:col>4</xdr:col>
                    <xdr:colOff>0</xdr:colOff>
                    <xdr:row>15</xdr:row>
                    <xdr:rowOff>0</xdr:rowOff>
                  </from>
                  <to>
                    <xdr:col>7</xdr:col>
                    <xdr:colOff>0</xdr:colOff>
                    <xdr:row>17</xdr:row>
                    <xdr:rowOff>0</xdr:rowOff>
                  </to>
                </anchor>
              </controlPr>
            </control>
          </mc:Choice>
        </mc:AlternateContent>
        <mc:AlternateContent xmlns:mc="http://schemas.openxmlformats.org/markup-compatibility/2006">
          <mc:Choice Requires="x14">
            <control shapeId="59427" r:id="rId38" name="Drop Down 35">
              <controlPr locked="0" defaultSize="0" autoLine="0" autoPict="0">
                <anchor moveWithCells="1">
                  <from>
                    <xdr:col>4</xdr:col>
                    <xdr:colOff>0</xdr:colOff>
                    <xdr:row>25</xdr:row>
                    <xdr:rowOff>0</xdr:rowOff>
                  </from>
                  <to>
                    <xdr:col>7</xdr:col>
                    <xdr:colOff>0</xdr:colOff>
                    <xdr:row>28</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tabColor theme="8" tint="0.59999389629810485"/>
    <pageSetUpPr fitToPage="1"/>
  </sheetPr>
  <dimension ref="A1:O47"/>
  <sheetViews>
    <sheetView showGridLines="0" showRowColHeaders="0" topLeftCell="C1" workbookViewId="0">
      <selection activeCell="D3" sqref="D3"/>
    </sheetView>
  </sheetViews>
  <sheetFormatPr defaultColWidth="9.33203125" defaultRowHeight="12.75"/>
  <cols>
    <col min="1" max="1" width="5.33203125" style="4" hidden="1" customWidth="1"/>
    <col min="2" max="2" width="8.33203125" style="4" hidden="1" customWidth="1"/>
    <col min="3" max="3" width="4" style="4" customWidth="1"/>
    <col min="4" max="4" width="50.83203125" style="4" customWidth="1"/>
    <col min="5" max="5" width="40.83203125" style="4" customWidth="1"/>
    <col min="6" max="7" width="10.83203125" style="4" customWidth="1"/>
    <col min="8" max="8" width="3.83203125" style="4" customWidth="1"/>
    <col min="9" max="12" width="9.33203125" style="4" hidden="1" customWidth="1"/>
    <col min="13" max="13" width="66.83203125" style="4" hidden="1" customWidth="1"/>
    <col min="14" max="15" width="9.33203125" style="4" hidden="1" customWidth="1"/>
    <col min="16" max="16" width="9.33203125" style="4" customWidth="1"/>
    <col min="17" max="16384" width="9.33203125" style="4"/>
  </cols>
  <sheetData>
    <row r="1" spans="1:15" ht="39.950000000000003" customHeight="1">
      <c r="B1" s="104"/>
      <c r="J1" s="4" t="s">
        <v>1960</v>
      </c>
      <c r="K1" s="4" t="s">
        <v>1960</v>
      </c>
      <c r="L1" s="4" t="s">
        <v>1960</v>
      </c>
      <c r="M1" s="4" t="s">
        <v>1960</v>
      </c>
      <c r="N1" s="4" t="s">
        <v>1960</v>
      </c>
      <c r="O1" s="4" t="s">
        <v>1960</v>
      </c>
    </row>
    <row r="2" spans="1:15" s="79" customFormat="1" ht="39.950000000000003" customHeight="1">
      <c r="B2" s="161"/>
      <c r="D2" s="212" t="s">
        <v>8</v>
      </c>
      <c r="E2" s="212"/>
      <c r="F2" s="212"/>
      <c r="G2" s="212"/>
      <c r="J2" s="79" t="s">
        <v>1965</v>
      </c>
    </row>
    <row r="3" spans="1:15" ht="30" customHeight="1">
      <c r="B3" s="104"/>
      <c r="D3" s="120" t="s">
        <v>40</v>
      </c>
      <c r="F3" s="88"/>
      <c r="G3" s="88" t="s">
        <v>1224</v>
      </c>
      <c r="J3" s="4" t="s">
        <v>1961</v>
      </c>
      <c r="K3" s="4" t="s">
        <v>1962</v>
      </c>
      <c r="L3" s="4" t="s">
        <v>1963</v>
      </c>
      <c r="M3" s="4" t="s">
        <v>1964</v>
      </c>
    </row>
    <row r="4" spans="1:15" ht="30" customHeight="1">
      <c r="B4" s="104"/>
      <c r="C4" s="68"/>
      <c r="D4" s="184" t="s">
        <v>90</v>
      </c>
      <c r="E4" s="184"/>
      <c r="F4" s="184"/>
      <c r="G4" s="184"/>
      <c r="H4" s="68"/>
      <c r="K4" s="125">
        <f>IF(N4=O4,1,0)</f>
        <v>0</v>
      </c>
      <c r="N4" s="4">
        <f>SUM(N7:N96)</f>
        <v>9</v>
      </c>
      <c r="O4" s="4">
        <f>SUM(O7:O96)</f>
        <v>2</v>
      </c>
    </row>
    <row r="5" spans="1:15" ht="18">
      <c r="B5" s="104"/>
      <c r="D5" s="5"/>
      <c r="E5" s="5"/>
    </row>
    <row r="6" spans="1:15" ht="24.95" customHeight="1">
      <c r="A6" s="104"/>
      <c r="B6" s="104"/>
      <c r="C6" s="74"/>
      <c r="D6" s="256" t="s">
        <v>91</v>
      </c>
      <c r="E6" s="254"/>
      <c r="F6" s="254"/>
      <c r="G6" s="255"/>
    </row>
    <row r="7" spans="1:15" s="6" customFormat="1" ht="20.100000000000001" customHeight="1">
      <c r="A7" s="105"/>
      <c r="B7" s="105">
        <v>1</v>
      </c>
      <c r="C7" s="74" t="s">
        <v>1912</v>
      </c>
      <c r="D7" s="7" t="s">
        <v>142</v>
      </c>
      <c r="E7" s="240"/>
      <c r="F7" s="241"/>
      <c r="G7" s="242"/>
      <c r="J7" s="103">
        <v>1</v>
      </c>
      <c r="K7" s="129">
        <f>IF(B7=1,0,1)</f>
        <v>0</v>
      </c>
      <c r="L7" s="127">
        <f>IF(A7="Hide",1,IF($J$7=1,B7,1))</f>
        <v>1</v>
      </c>
      <c r="M7" s="52" t="str">
        <f>formData!B392</f>
        <v>CONTACT_DETAILS_COUNTRY_OF_RESIDENCE</v>
      </c>
      <c r="N7" s="6">
        <f t="shared" ref="N7:N12" si="0">IF(J7=1,1,0)</f>
        <v>1</v>
      </c>
      <c r="O7" s="6">
        <f t="shared" ref="O7:O12" si="1">+J7*K7</f>
        <v>0</v>
      </c>
    </row>
    <row r="8" spans="1:15" s="6" customFormat="1" ht="20.100000000000001" customHeight="1">
      <c r="A8" s="105"/>
      <c r="B8" s="105"/>
      <c r="D8" s="10"/>
      <c r="E8" s="2"/>
      <c r="J8" s="32"/>
      <c r="K8" s="32"/>
      <c r="L8" s="32"/>
      <c r="M8" s="52"/>
      <c r="N8" s="6">
        <f t="shared" si="0"/>
        <v>0</v>
      </c>
      <c r="O8" s="6">
        <f t="shared" si="1"/>
        <v>0</v>
      </c>
    </row>
    <row r="9" spans="1:15" ht="24.95" customHeight="1">
      <c r="A9" s="104"/>
      <c r="B9" s="104"/>
      <c r="C9" s="74" t="s">
        <v>1912</v>
      </c>
      <c r="D9" s="256" t="s">
        <v>92</v>
      </c>
      <c r="E9" s="254"/>
      <c r="F9" s="254"/>
      <c r="G9" s="255"/>
      <c r="J9" s="6"/>
      <c r="K9" s="6"/>
      <c r="L9" s="6"/>
      <c r="M9" s="52"/>
      <c r="N9" s="6">
        <f t="shared" si="0"/>
        <v>0</v>
      </c>
      <c r="O9" s="6">
        <f t="shared" si="1"/>
        <v>0</v>
      </c>
    </row>
    <row r="10" spans="1:15" s="6" customFormat="1" ht="20.100000000000001" customHeight="1">
      <c r="A10" s="105"/>
      <c r="B10" s="105">
        <v>1</v>
      </c>
      <c r="C10" s="74" t="s">
        <v>1912</v>
      </c>
      <c r="D10" s="7" t="s">
        <v>143</v>
      </c>
      <c r="E10" s="240"/>
      <c r="F10" s="241"/>
      <c r="G10" s="242"/>
      <c r="J10" s="6">
        <f t="shared" ref="J10:J15" si="2">IF($C10="*",IF($A10="Hide",0,$J$7),0)</f>
        <v>1</v>
      </c>
      <c r="K10" s="129">
        <f>IF(B10=1,0,1)</f>
        <v>0</v>
      </c>
      <c r="L10" s="127">
        <f>IF(A10="Hide",1,IF($J$7=1,B10,1))</f>
        <v>1</v>
      </c>
      <c r="M10" s="52" t="str">
        <f>formData!B393</f>
        <v>CONTACT_DETAILS_RESIDENTIAL_ADDRESS_COUNTRY</v>
      </c>
      <c r="N10" s="6">
        <f t="shared" si="0"/>
        <v>1</v>
      </c>
      <c r="O10" s="6">
        <f t="shared" si="1"/>
        <v>0</v>
      </c>
    </row>
    <row r="11" spans="1:15" s="6" customFormat="1" ht="20.100000000000001" customHeight="1">
      <c r="A11" s="105"/>
      <c r="B11" s="105"/>
      <c r="C11" s="74" t="s">
        <v>1912</v>
      </c>
      <c r="D11" s="7" t="s">
        <v>144</v>
      </c>
      <c r="E11" s="198"/>
      <c r="F11" s="199"/>
      <c r="G11" s="200"/>
      <c r="J11" s="6">
        <f t="shared" si="2"/>
        <v>1</v>
      </c>
      <c r="K11" s="130">
        <f>IF(LEN(E11)=0,0,1)</f>
        <v>0</v>
      </c>
      <c r="L11" s="126">
        <f>IF(A11="Hide",0,IF($J$7=1,E11,0))</f>
        <v>0</v>
      </c>
      <c r="M11" s="52" t="str">
        <f>formData!B394</f>
        <v>CONTACT_DETAILS_RESIDENTIAL_ADDRESS_ADDRESS</v>
      </c>
      <c r="N11" s="6">
        <f t="shared" si="0"/>
        <v>1</v>
      </c>
      <c r="O11" s="6">
        <f t="shared" si="1"/>
        <v>0</v>
      </c>
    </row>
    <row r="12" spans="1:15" s="6" customFormat="1" ht="20.100000000000001" customHeight="1">
      <c r="A12" s="105"/>
      <c r="B12" s="105"/>
      <c r="C12" s="74"/>
      <c r="D12" s="26" t="s">
        <v>145</v>
      </c>
      <c r="E12" s="198"/>
      <c r="F12" s="199"/>
      <c r="G12" s="200"/>
      <c r="J12" s="6">
        <f t="shared" si="2"/>
        <v>0</v>
      </c>
      <c r="K12" s="130">
        <f>IF(LEN(E12)=0,0,1)</f>
        <v>0</v>
      </c>
      <c r="L12" s="126">
        <f>IF(A12="Hide",0,IF($J$7=1,E12,0))</f>
        <v>0</v>
      </c>
      <c r="M12" s="52" t="str">
        <f>formData!B395</f>
        <v>CONTACT_DETAILS_RESIDENTIAL_ADDRESS_ADDRESS2</v>
      </c>
      <c r="N12" s="6">
        <f t="shared" si="0"/>
        <v>0</v>
      </c>
      <c r="O12" s="6">
        <f t="shared" si="1"/>
        <v>0</v>
      </c>
    </row>
    <row r="13" spans="1:15" s="6" customFormat="1" ht="20.100000000000001" customHeight="1">
      <c r="A13" s="105"/>
      <c r="B13" s="105"/>
      <c r="C13" s="74" t="s">
        <v>1912</v>
      </c>
      <c r="D13" s="7" t="s">
        <v>146</v>
      </c>
      <c r="E13" s="198"/>
      <c r="F13" s="199"/>
      <c r="G13" s="200"/>
      <c r="J13" s="6">
        <f t="shared" si="2"/>
        <v>1</v>
      </c>
      <c r="K13" s="130">
        <f>IF(LEN(E13)=0,0,1)</f>
        <v>0</v>
      </c>
      <c r="L13" s="126">
        <f>IF(A13="Hide",0,IF($J$7=1,E13,0))</f>
        <v>0</v>
      </c>
      <c r="M13" s="52" t="str">
        <f>formData!B396</f>
        <v>CONTACT_DETAILS_RESIDENTIAL_ADDRESS_SUBURB_TOWN</v>
      </c>
      <c r="N13" s="6">
        <f t="shared" ref="N13:N32" si="3">IF(J13=1,1,0)</f>
        <v>1</v>
      </c>
      <c r="O13" s="6">
        <f t="shared" ref="O13:O32" si="4">+J13*K13</f>
        <v>0</v>
      </c>
    </row>
    <row r="14" spans="1:15" s="6" customFormat="1" ht="20.100000000000001" customHeight="1">
      <c r="A14" s="105"/>
      <c r="B14" s="105"/>
      <c r="C14" s="74" t="s">
        <v>1912</v>
      </c>
      <c r="D14" s="7" t="s">
        <v>147</v>
      </c>
      <c r="E14" s="198"/>
      <c r="F14" s="199"/>
      <c r="G14" s="200"/>
      <c r="J14" s="6">
        <f t="shared" si="2"/>
        <v>1</v>
      </c>
      <c r="K14" s="130">
        <f>IF(LEN(E14)=0,0,1)</f>
        <v>0</v>
      </c>
      <c r="L14" s="126">
        <f>IF(A14="Hide",0,IF($J$7=1,E14,0))</f>
        <v>0</v>
      </c>
      <c r="M14" s="52" t="str">
        <f>formData!B397</f>
        <v>CONTACT_DETAILS_RESIDENTIAL_ADDRESS_STATE_PROVINCE</v>
      </c>
      <c r="N14" s="6">
        <f t="shared" si="3"/>
        <v>1</v>
      </c>
      <c r="O14" s="6">
        <f t="shared" si="4"/>
        <v>0</v>
      </c>
    </row>
    <row r="15" spans="1:15" s="6" customFormat="1" ht="20.100000000000001" customHeight="1">
      <c r="A15" s="105"/>
      <c r="B15" s="105"/>
      <c r="C15" s="74" t="s">
        <v>1912</v>
      </c>
      <c r="D15" s="7" t="s">
        <v>148</v>
      </c>
      <c r="E15" s="198"/>
      <c r="F15" s="199"/>
      <c r="G15" s="200"/>
      <c r="J15" s="6">
        <f t="shared" si="2"/>
        <v>1</v>
      </c>
      <c r="K15" s="130">
        <f>IF(LEN(E15)=0,0,1)</f>
        <v>0</v>
      </c>
      <c r="L15" s="126">
        <f>IF(A15="Hide",0,IF($J$7=1,E15,0))</f>
        <v>0</v>
      </c>
      <c r="M15" s="52" t="str">
        <f>formData!B398</f>
        <v>CONTACT_DETAILS_RESIDENTIAL_ADDRESS_POSTAL_CODE</v>
      </c>
      <c r="N15" s="6">
        <f t="shared" si="3"/>
        <v>1</v>
      </c>
      <c r="O15" s="6">
        <f t="shared" si="4"/>
        <v>0</v>
      </c>
    </row>
    <row r="16" spans="1:15" s="6" customFormat="1" ht="20.100000000000001" customHeight="1">
      <c r="A16" s="105"/>
      <c r="B16" s="105"/>
      <c r="D16" s="9"/>
      <c r="E16" s="2"/>
      <c r="M16" s="52"/>
      <c r="N16" s="6">
        <f t="shared" si="3"/>
        <v>0</v>
      </c>
      <c r="O16" s="6">
        <f t="shared" si="4"/>
        <v>0</v>
      </c>
    </row>
    <row r="17" spans="1:15" ht="24.95" customHeight="1">
      <c r="A17" s="104"/>
      <c r="B17" s="104"/>
      <c r="C17" s="74"/>
      <c r="D17" s="256" t="s">
        <v>93</v>
      </c>
      <c r="E17" s="254"/>
      <c r="F17" s="254"/>
      <c r="G17" s="255"/>
      <c r="M17" s="52"/>
      <c r="N17" s="6">
        <f t="shared" si="3"/>
        <v>0</v>
      </c>
      <c r="O17" s="6">
        <f t="shared" si="4"/>
        <v>0</v>
      </c>
    </row>
    <row r="18" spans="1:15" s="6" customFormat="1" ht="42.6" customHeight="1">
      <c r="A18" s="105"/>
      <c r="B18" s="105">
        <v>1</v>
      </c>
      <c r="C18" s="74" t="s">
        <v>1912</v>
      </c>
      <c r="D18" s="31" t="s">
        <v>1234</v>
      </c>
      <c r="E18" s="240"/>
      <c r="F18" s="241"/>
      <c r="G18" s="242"/>
      <c r="J18" s="6">
        <f t="shared" ref="J18:J24" si="5">IF($C18="*",IF($A18="Hide",0,$J$7),0)</f>
        <v>1</v>
      </c>
      <c r="K18" s="129">
        <f>IF(B18=1,0,1)</f>
        <v>0</v>
      </c>
      <c r="L18" s="127">
        <f>IF(A18="Hide",1,IF($J$7=1,B18,1))</f>
        <v>1</v>
      </c>
      <c r="M18" s="52" t="str">
        <f>formData!B399</f>
        <v>CONTACT_DETAILS_POSTAL_ADDRESS_SAME</v>
      </c>
      <c r="N18" s="6">
        <f t="shared" si="3"/>
        <v>1</v>
      </c>
      <c r="O18" s="6">
        <f t="shared" si="4"/>
        <v>0</v>
      </c>
    </row>
    <row r="19" spans="1:15" s="6" customFormat="1" ht="20.100000000000001" hidden="1" customHeight="1">
      <c r="A19" s="106" t="str">
        <f t="shared" ref="A19:A24" si="6">IF($B$18=3,"Show","HIDE")</f>
        <v>HIDE</v>
      </c>
      <c r="B19" s="105">
        <v>1</v>
      </c>
      <c r="C19" s="74" t="s">
        <v>1912</v>
      </c>
      <c r="D19" s="7" t="s">
        <v>143</v>
      </c>
      <c r="E19" s="240"/>
      <c r="F19" s="241"/>
      <c r="G19" s="242"/>
      <c r="J19" s="6">
        <f t="shared" si="5"/>
        <v>0</v>
      </c>
      <c r="K19" s="129">
        <f>IF(B19=1,0,1)</f>
        <v>0</v>
      </c>
      <c r="L19" s="127">
        <f>IF(A19="Hide",1,IF($J$7=1,B19,1))</f>
        <v>1</v>
      </c>
      <c r="M19" s="52" t="str">
        <f>formData!B400</f>
        <v>CONTACT_DETAILS_POSTAL_ADDRESS_COUNTRY</v>
      </c>
      <c r="N19" s="6">
        <f t="shared" si="3"/>
        <v>0</v>
      </c>
      <c r="O19" s="6">
        <f t="shared" si="4"/>
        <v>0</v>
      </c>
    </row>
    <row r="20" spans="1:15" s="6" customFormat="1" ht="20.100000000000001" hidden="1" customHeight="1">
      <c r="A20" s="106" t="str">
        <f t="shared" si="6"/>
        <v>HIDE</v>
      </c>
      <c r="B20" s="105"/>
      <c r="C20" s="74" t="s">
        <v>1912</v>
      </c>
      <c r="D20" s="7" t="s">
        <v>144</v>
      </c>
      <c r="E20" s="198"/>
      <c r="F20" s="199"/>
      <c r="G20" s="200"/>
      <c r="J20" s="6">
        <f t="shared" si="5"/>
        <v>0</v>
      </c>
      <c r="K20" s="130">
        <f>IF(LEN(E20)=0,0,1)</f>
        <v>0</v>
      </c>
      <c r="L20" s="126">
        <f>IF(A20="Hide",0,IF($J$7=1,E20,0))</f>
        <v>0</v>
      </c>
      <c r="M20" s="52" t="str">
        <f>formData!B401</f>
        <v>CONTACT_DETAILS_POSTAL_ADDRESS_ADDRESS</v>
      </c>
      <c r="N20" s="6">
        <f t="shared" si="3"/>
        <v>0</v>
      </c>
      <c r="O20" s="6">
        <f t="shared" si="4"/>
        <v>0</v>
      </c>
    </row>
    <row r="21" spans="1:15" s="6" customFormat="1" ht="20.100000000000001" hidden="1" customHeight="1">
      <c r="A21" s="106" t="str">
        <f t="shared" si="6"/>
        <v>HIDE</v>
      </c>
      <c r="B21" s="105"/>
      <c r="C21" s="74"/>
      <c r="D21" s="26" t="s">
        <v>145</v>
      </c>
      <c r="E21" s="198"/>
      <c r="F21" s="199"/>
      <c r="G21" s="200"/>
      <c r="J21" s="6">
        <f t="shared" si="5"/>
        <v>0</v>
      </c>
      <c r="K21" s="130">
        <f>IF(LEN(E21)=0,0,1)</f>
        <v>0</v>
      </c>
      <c r="L21" s="126">
        <f>IF(A21="Hide",0,IF($J$7=1,E21,0))</f>
        <v>0</v>
      </c>
      <c r="M21" s="52" t="str">
        <f>formData!B402</f>
        <v>CONTACT_DETAILS_POSTAL_ADDRESS_ADDRESS2</v>
      </c>
      <c r="N21" s="6">
        <f t="shared" si="3"/>
        <v>0</v>
      </c>
      <c r="O21" s="6">
        <f t="shared" si="4"/>
        <v>0</v>
      </c>
    </row>
    <row r="22" spans="1:15" s="6" customFormat="1" ht="20.100000000000001" hidden="1" customHeight="1">
      <c r="A22" s="106" t="str">
        <f t="shared" si="6"/>
        <v>HIDE</v>
      </c>
      <c r="B22" s="105"/>
      <c r="C22" s="74"/>
      <c r="D22" s="7" t="s">
        <v>146</v>
      </c>
      <c r="E22" s="198"/>
      <c r="F22" s="199"/>
      <c r="G22" s="200"/>
      <c r="J22" s="6">
        <f t="shared" si="5"/>
        <v>0</v>
      </c>
      <c r="K22" s="130">
        <f>IF(LEN(E22)=0,0,1)</f>
        <v>0</v>
      </c>
      <c r="L22" s="126">
        <f>IF(A22="Hide",0,IF($J$7=1,E22,0))</f>
        <v>0</v>
      </c>
      <c r="M22" s="52" t="str">
        <f>formData!B403</f>
        <v>CONTACT_DETAILS_POSTAL_ADDRESS_SUBURB</v>
      </c>
      <c r="N22" s="6">
        <f t="shared" si="3"/>
        <v>0</v>
      </c>
      <c r="O22" s="6">
        <f t="shared" si="4"/>
        <v>0</v>
      </c>
    </row>
    <row r="23" spans="1:15" s="6" customFormat="1" ht="20.100000000000001" hidden="1" customHeight="1">
      <c r="A23" s="106" t="str">
        <f t="shared" si="6"/>
        <v>HIDE</v>
      </c>
      <c r="B23" s="105"/>
      <c r="C23" s="74"/>
      <c r="D23" s="7" t="s">
        <v>147</v>
      </c>
      <c r="E23" s="198"/>
      <c r="F23" s="199"/>
      <c r="G23" s="200"/>
      <c r="J23" s="6">
        <f t="shared" si="5"/>
        <v>0</v>
      </c>
      <c r="K23" s="130">
        <f>IF(LEN(E23)=0,0,1)</f>
        <v>0</v>
      </c>
      <c r="L23" s="126">
        <f>IF(A23="Hide",0,IF($J$7=1,E23,0))</f>
        <v>0</v>
      </c>
      <c r="M23" s="52" t="str">
        <f>formData!B404</f>
        <v>CONTACT_DETAILS_POSTAL_ADDRESS_STATE_PROVINCE</v>
      </c>
      <c r="N23" s="6">
        <f t="shared" si="3"/>
        <v>0</v>
      </c>
      <c r="O23" s="6">
        <f t="shared" si="4"/>
        <v>0</v>
      </c>
    </row>
    <row r="24" spans="1:15" s="6" customFormat="1" ht="20.100000000000001" hidden="1" customHeight="1">
      <c r="A24" s="106" t="str">
        <f t="shared" si="6"/>
        <v>HIDE</v>
      </c>
      <c r="B24" s="105"/>
      <c r="C24" s="74"/>
      <c r="D24" s="7" t="s">
        <v>148</v>
      </c>
      <c r="E24" s="198"/>
      <c r="F24" s="199"/>
      <c r="G24" s="200"/>
      <c r="J24" s="6">
        <f t="shared" si="5"/>
        <v>0</v>
      </c>
      <c r="K24" s="130">
        <f>IF(LEN(E24)=0,0,1)</f>
        <v>0</v>
      </c>
      <c r="L24" s="126">
        <f>IF(A24="Hide",0,IF($J$7=1,E24,0))</f>
        <v>0</v>
      </c>
      <c r="M24" s="52" t="str">
        <f>formData!B405</f>
        <v>CONTACT_DETAILS_POSTAL_ADDRESS_POSTAL_CODE</v>
      </c>
      <c r="N24" s="6">
        <f t="shared" si="3"/>
        <v>0</v>
      </c>
      <c r="O24" s="6">
        <f t="shared" si="4"/>
        <v>0</v>
      </c>
    </row>
    <row r="25" spans="1:15" s="6" customFormat="1" ht="20.100000000000001" customHeight="1">
      <c r="A25" s="105"/>
      <c r="B25" s="105"/>
      <c r="D25" s="9"/>
      <c r="E25" s="14"/>
      <c r="F25" s="14"/>
      <c r="G25" s="14"/>
      <c r="M25" s="52"/>
      <c r="N25" s="6">
        <f t="shared" si="3"/>
        <v>0</v>
      </c>
      <c r="O25" s="6">
        <f t="shared" si="4"/>
        <v>0</v>
      </c>
    </row>
    <row r="26" spans="1:15" s="6" customFormat="1" ht="24.95" customHeight="1">
      <c r="A26" s="105"/>
      <c r="B26" s="105"/>
      <c r="C26" s="74"/>
      <c r="D26" s="256" t="s">
        <v>94</v>
      </c>
      <c r="E26" s="254"/>
      <c r="F26" s="254"/>
      <c r="G26" s="255"/>
      <c r="J26" s="6">
        <f>IF($C26="*",IF($A26="Hide",0,$J$7),0)</f>
        <v>0</v>
      </c>
      <c r="K26" s="103">
        <f>MAX(K27,K28,K29)</f>
        <v>1</v>
      </c>
      <c r="M26" s="75" t="s">
        <v>1916</v>
      </c>
      <c r="N26" s="6">
        <f t="shared" si="3"/>
        <v>0</v>
      </c>
      <c r="O26" s="6">
        <f t="shared" si="4"/>
        <v>0</v>
      </c>
    </row>
    <row r="27" spans="1:15" s="6" customFormat="1" ht="20.100000000000001" customHeight="1">
      <c r="A27" s="105"/>
      <c r="B27" s="105"/>
      <c r="C27" s="74"/>
      <c r="D27" s="7" t="s">
        <v>149</v>
      </c>
      <c r="E27" s="299"/>
      <c r="F27" s="300"/>
      <c r="G27" s="301"/>
      <c r="J27" s="6">
        <f>IF($C27="*",IF($A27="Hide",0,$J$7),0)</f>
        <v>0</v>
      </c>
      <c r="K27" s="130">
        <f>IF(LEN(E27)=0,0,1)</f>
        <v>0</v>
      </c>
      <c r="L27" s="126">
        <f>IF(A27="Hide",0,IF($J$7=1,E27,0))</f>
        <v>0</v>
      </c>
      <c r="M27" s="52" t="str">
        <f>formData!B406</f>
        <v>CONTACT_DETAILS_TELEPHONE_HOME_PHONE</v>
      </c>
      <c r="N27" s="6">
        <f t="shared" si="3"/>
        <v>0</v>
      </c>
      <c r="O27" s="6">
        <f t="shared" si="4"/>
        <v>0</v>
      </c>
    </row>
    <row r="28" spans="1:15" s="6" customFormat="1" ht="20.100000000000001" customHeight="1">
      <c r="A28" s="105"/>
      <c r="B28" s="105"/>
      <c r="C28" s="74"/>
      <c r="D28" s="7" t="s">
        <v>150</v>
      </c>
      <c r="E28" s="299"/>
      <c r="F28" s="300"/>
      <c r="G28" s="301"/>
      <c r="J28" s="6">
        <f>IF($C28="*",IF($A28="Hide",0,$J$7),0)</f>
        <v>0</v>
      </c>
      <c r="K28" s="130">
        <f>IF(LEN(E28)=0,0,1)</f>
        <v>0</v>
      </c>
      <c r="L28" s="126">
        <f>IF(A28="Hide",0,IF($J$7=1,E28,0))</f>
        <v>0</v>
      </c>
      <c r="M28" s="52" t="str">
        <f>formData!B407</f>
        <v>CONTACT_DETAILS_TELEPHONE_BUSINESS_PHONE</v>
      </c>
      <c r="N28" s="6">
        <f t="shared" si="3"/>
        <v>0</v>
      </c>
      <c r="O28" s="6">
        <f t="shared" si="4"/>
        <v>0</v>
      </c>
    </row>
    <row r="29" spans="1:15" s="6" customFormat="1" ht="20.100000000000001" customHeight="1">
      <c r="A29" s="105"/>
      <c r="B29" s="105"/>
      <c r="C29" s="74" t="s">
        <v>1912</v>
      </c>
      <c r="D29" s="7" t="s">
        <v>151</v>
      </c>
      <c r="E29" s="299">
        <v>84158811</v>
      </c>
      <c r="F29" s="300"/>
      <c r="G29" s="301"/>
      <c r="J29" s="6">
        <f>IF($C29="*",IF($A29="Hide",0,$J$7),0)</f>
        <v>1</v>
      </c>
      <c r="K29" s="130">
        <f>IF(LEN(E29)=0,0,1)</f>
        <v>1</v>
      </c>
      <c r="L29" s="126">
        <f>IF(A29="Hide",0,IF($J$7=1,E29,0))</f>
        <v>84158811</v>
      </c>
      <c r="M29" s="52" t="str">
        <f>formData!B408</f>
        <v>CONTACT_DETAILS_TELEPHONE_MOBILE_PHONE</v>
      </c>
      <c r="N29" s="6">
        <f t="shared" si="3"/>
        <v>1</v>
      </c>
      <c r="O29" s="6">
        <f t="shared" si="4"/>
        <v>1</v>
      </c>
    </row>
    <row r="30" spans="1:15" s="6" customFormat="1" ht="20.100000000000001" customHeight="1">
      <c r="A30" s="105"/>
      <c r="B30" s="105"/>
      <c r="D30" s="9"/>
      <c r="E30" s="2"/>
      <c r="M30" s="52"/>
      <c r="N30" s="6">
        <f t="shared" si="3"/>
        <v>0</v>
      </c>
      <c r="O30" s="6">
        <f t="shared" si="4"/>
        <v>0</v>
      </c>
    </row>
    <row r="31" spans="1:15" ht="24.95" customHeight="1">
      <c r="A31" s="104"/>
      <c r="B31" s="104"/>
      <c r="C31" s="74"/>
      <c r="D31" s="256" t="s">
        <v>95</v>
      </c>
      <c r="E31" s="254"/>
      <c r="F31" s="254"/>
      <c r="G31" s="255"/>
      <c r="M31" s="52"/>
      <c r="N31" s="6">
        <f t="shared" si="3"/>
        <v>0</v>
      </c>
      <c r="O31" s="6">
        <f t="shared" si="4"/>
        <v>0</v>
      </c>
    </row>
    <row r="32" spans="1:15" s="6" customFormat="1" ht="20.100000000000001" customHeight="1">
      <c r="A32" s="105"/>
      <c r="B32" s="105"/>
      <c r="C32" s="74" t="s">
        <v>1912</v>
      </c>
      <c r="D32" s="7" t="s">
        <v>152</v>
      </c>
      <c r="E32" s="302" t="s">
        <v>2099</v>
      </c>
      <c r="F32" s="199"/>
      <c r="G32" s="200"/>
      <c r="J32" s="6">
        <f>IF($C32="*",IF($A32="Hide",0,$J$7),0)</f>
        <v>1</v>
      </c>
      <c r="K32" s="130">
        <f>IF(LEN(E32)=0,0,1)</f>
        <v>1</v>
      </c>
      <c r="L32" s="126" t="str">
        <f>IF(A32="Hide",0,IF($J$7=1,E32,0))</f>
        <v>australia.visa@tcs.com</v>
      </c>
      <c r="M32" s="52" t="str">
        <f>formData!B409</f>
        <v>CONTACT_DETAILS_EMAIL</v>
      </c>
      <c r="N32" s="6">
        <f t="shared" si="3"/>
        <v>1</v>
      </c>
      <c r="O32" s="6">
        <f t="shared" si="4"/>
        <v>1</v>
      </c>
    </row>
    <row r="33" spans="2:13" ht="18" customHeight="1">
      <c r="B33" s="104"/>
      <c r="M33" s="52"/>
    </row>
    <row r="34" spans="2:13" ht="18" customHeight="1">
      <c r="M34" s="52"/>
    </row>
    <row r="35" spans="2:13" ht="18" customHeight="1">
      <c r="M35" s="52"/>
    </row>
    <row r="36" spans="2:13" ht="18" customHeight="1">
      <c r="M36" s="52"/>
    </row>
    <row r="37" spans="2:13" ht="18" customHeight="1">
      <c r="M37" s="52"/>
    </row>
    <row r="38" spans="2:13" ht="18" customHeight="1">
      <c r="M38" s="52"/>
    </row>
    <row r="39" spans="2:13" ht="18" customHeight="1">
      <c r="M39" s="52"/>
    </row>
    <row r="40" spans="2:13" ht="18" customHeight="1">
      <c r="M40" s="52"/>
    </row>
    <row r="41" spans="2:13" ht="18" customHeight="1"/>
    <row r="42" spans="2:13" ht="18" customHeight="1"/>
    <row r="43" spans="2:13" ht="18" customHeight="1"/>
    <row r="44" spans="2:13" ht="18" customHeight="1"/>
    <row r="45" spans="2:13" ht="18" customHeight="1"/>
    <row r="46" spans="2:13" ht="18" customHeight="1"/>
    <row r="47" spans="2:13" ht="18" customHeight="1"/>
  </sheetData>
  <sheetProtection algorithmName="SHA-512" hashValue="pFNcZUFvMpSU5/Lw3bIVMmj88qxwcAIs3ZEvbgwG51YeviH9U2n41m2cMEJYGfCF3L1l/n+zAr/hxbdOF2k1BA==" saltValue="yS0zvP1Njl75VevUKUWTDg==" spinCount="100000" sheet="1" objects="1" scenarios="1"/>
  <mergeCells count="25">
    <mergeCell ref="D9:G9"/>
    <mergeCell ref="D17:G17"/>
    <mergeCell ref="D2:G2"/>
    <mergeCell ref="D4:G4"/>
    <mergeCell ref="D6:G6"/>
    <mergeCell ref="E7:G7"/>
    <mergeCell ref="E10:G10"/>
    <mergeCell ref="E11:G11"/>
    <mergeCell ref="E12:G12"/>
    <mergeCell ref="E13:G13"/>
    <mergeCell ref="E14:G14"/>
    <mergeCell ref="E15:G15"/>
    <mergeCell ref="E18:G18"/>
    <mergeCell ref="D26:G26"/>
    <mergeCell ref="E27:G27"/>
    <mergeCell ref="D31:G31"/>
    <mergeCell ref="E32:G32"/>
    <mergeCell ref="E19:G19"/>
    <mergeCell ref="E20:G20"/>
    <mergeCell ref="E21:G21"/>
    <mergeCell ref="E22:G22"/>
    <mergeCell ref="E23:G23"/>
    <mergeCell ref="E24:G24"/>
    <mergeCell ref="E28:G28"/>
    <mergeCell ref="E29:G29"/>
  </mergeCells>
  <dataValidations count="1">
    <dataValidation type="custom" allowBlank="1" showInputMessage="1" showErrorMessage="1" error="Please enter a number of at least 6 digits" sqref="E27:G29" xr:uid="{00000000-0002-0000-0D00-000000000000}">
      <formula1>AND(ISNUMBER(E27),LEN(E27)&gt;5)</formula1>
    </dataValidation>
  </dataValidations>
  <hyperlinks>
    <hyperlink ref="G3" location="contactDetailsApplicant!G3" display="SAVE" xr:uid="{00000000-0004-0000-0D00-000000000000}"/>
    <hyperlink ref="D3" location="index!C1" display="INDEX" xr:uid="{00000000-0004-0000-0D00-000001000000}"/>
  </hyperlinks>
  <pageMargins left="0.7" right="0.7" top="0.75" bottom="0.75" header="0.3" footer="0.3"/>
  <pageSetup paperSize="9" scale="8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2" r:id="rId4" name="Drop Down 2">
              <controlPr locked="0" defaultSize="0" autoLine="0" autoPict="0">
                <anchor moveWithCells="1">
                  <from>
                    <xdr:col>4</xdr:col>
                    <xdr:colOff>0</xdr:colOff>
                    <xdr:row>6</xdr:row>
                    <xdr:rowOff>0</xdr:rowOff>
                  </from>
                  <to>
                    <xdr:col>7</xdr:col>
                    <xdr:colOff>0</xdr:colOff>
                    <xdr:row>7</xdr:row>
                    <xdr:rowOff>0</xdr:rowOff>
                  </to>
                </anchor>
              </controlPr>
            </control>
          </mc:Choice>
        </mc:AlternateContent>
        <mc:AlternateContent xmlns:mc="http://schemas.openxmlformats.org/markup-compatibility/2006">
          <mc:Choice Requires="x14">
            <control shapeId="10243" r:id="rId5" name="Drop Down 3">
              <controlPr locked="0" defaultSize="0" autoLine="0" autoPict="0">
                <anchor moveWithCells="1">
                  <from>
                    <xdr:col>4</xdr:col>
                    <xdr:colOff>0</xdr:colOff>
                    <xdr:row>9</xdr:row>
                    <xdr:rowOff>0</xdr:rowOff>
                  </from>
                  <to>
                    <xdr:col>7</xdr:col>
                    <xdr:colOff>0</xdr:colOff>
                    <xdr:row>10</xdr:row>
                    <xdr:rowOff>0</xdr:rowOff>
                  </to>
                </anchor>
              </controlPr>
            </control>
          </mc:Choice>
        </mc:AlternateContent>
        <mc:AlternateContent xmlns:mc="http://schemas.openxmlformats.org/markup-compatibility/2006">
          <mc:Choice Requires="x14">
            <control shapeId="10244" r:id="rId6" name="Drop Down 4">
              <controlPr locked="0" defaultSize="0" autoLine="0" autoPict="0" macro="[0]!DropDownContactDetailsPrimaryApplHasSameAddress_Change">
                <anchor moveWithCells="1">
                  <from>
                    <xdr:col>4</xdr:col>
                    <xdr:colOff>0</xdr:colOff>
                    <xdr:row>17</xdr:row>
                    <xdr:rowOff>142875</xdr:rowOff>
                  </from>
                  <to>
                    <xdr:col>7</xdr:col>
                    <xdr:colOff>0</xdr:colOff>
                    <xdr:row>17</xdr:row>
                    <xdr:rowOff>381000</xdr:rowOff>
                  </to>
                </anchor>
              </controlPr>
            </control>
          </mc:Choice>
        </mc:AlternateContent>
        <mc:AlternateContent xmlns:mc="http://schemas.openxmlformats.org/markup-compatibility/2006">
          <mc:Choice Requires="x14">
            <control shapeId="10245" r:id="rId7" name="Drop Down 5">
              <controlPr defaultSize="0" autoLine="0" autoPict="0">
                <anchor moveWithCells="1">
                  <from>
                    <xdr:col>4</xdr:col>
                    <xdr:colOff>0</xdr:colOff>
                    <xdr:row>18</xdr:row>
                    <xdr:rowOff>0</xdr:rowOff>
                  </from>
                  <to>
                    <xdr:col>7</xdr:col>
                    <xdr:colOff>0</xdr:colOff>
                    <xdr:row>25</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theme="8" tint="0.59999389629810485"/>
    <pageSetUpPr fitToPage="1"/>
  </sheetPr>
  <dimension ref="A1:P108"/>
  <sheetViews>
    <sheetView showGridLines="0" showRowColHeaders="0" topLeftCell="C1" workbookViewId="0">
      <selection activeCell="D3" sqref="D3"/>
    </sheetView>
  </sheetViews>
  <sheetFormatPr defaultColWidth="9.33203125" defaultRowHeight="12.75"/>
  <cols>
    <col min="1" max="2" width="12.83203125" style="4" hidden="1" customWidth="1"/>
    <col min="3" max="3" width="3.83203125" style="4" customWidth="1"/>
    <col min="4" max="4" width="50.83203125" style="4" customWidth="1"/>
    <col min="5" max="5" width="40.83203125" style="4" customWidth="1"/>
    <col min="6" max="7" width="10.83203125" style="4" customWidth="1"/>
    <col min="8" max="8" width="3.83203125" style="4" customWidth="1"/>
    <col min="9" max="9" width="9.33203125" style="4" customWidth="1"/>
    <col min="10" max="12" width="9.33203125" style="4" hidden="1" customWidth="1"/>
    <col min="13" max="13" width="69" style="4" hidden="1" customWidth="1"/>
    <col min="14" max="14" width="9.33203125" style="4" hidden="1" customWidth="1"/>
    <col min="15" max="15" width="0.1640625" style="4" hidden="1" customWidth="1"/>
    <col min="16" max="16" width="9.33203125" style="4" hidden="1" customWidth="1"/>
    <col min="17" max="16384" width="9.33203125" style="4"/>
  </cols>
  <sheetData>
    <row r="1" spans="1:15" ht="39.950000000000003" customHeight="1">
      <c r="B1" s="104"/>
      <c r="G1" s="86"/>
      <c r="J1" s="4" t="s">
        <v>1960</v>
      </c>
      <c r="K1" s="4" t="s">
        <v>1960</v>
      </c>
      <c r="L1" s="4" t="s">
        <v>1960</v>
      </c>
      <c r="M1" s="4" t="s">
        <v>1960</v>
      </c>
      <c r="N1" s="4" t="s">
        <v>1960</v>
      </c>
      <c r="O1" s="4" t="s">
        <v>1960</v>
      </c>
    </row>
    <row r="2" spans="1:15" s="79" customFormat="1" ht="39.950000000000003" customHeight="1">
      <c r="B2" s="161"/>
      <c r="D2" s="212" t="s">
        <v>8</v>
      </c>
      <c r="E2" s="212"/>
      <c r="F2" s="212"/>
      <c r="G2" s="212"/>
      <c r="J2" s="79" t="s">
        <v>1965</v>
      </c>
    </row>
    <row r="3" spans="1:15" ht="30" customHeight="1">
      <c r="B3" s="104"/>
      <c r="C3" s="32"/>
      <c r="D3" s="120" t="s">
        <v>40</v>
      </c>
      <c r="E3" s="32"/>
      <c r="F3" s="88"/>
      <c r="G3" s="88" t="s">
        <v>1224</v>
      </c>
      <c r="H3" s="32"/>
      <c r="J3" s="4" t="s">
        <v>1961</v>
      </c>
      <c r="K3" s="4" t="s">
        <v>1962</v>
      </c>
      <c r="L3" s="4" t="s">
        <v>1963</v>
      </c>
      <c r="M3" s="4" t="s">
        <v>1964</v>
      </c>
    </row>
    <row r="4" spans="1:15" ht="30" customHeight="1">
      <c r="B4" s="104"/>
      <c r="C4" s="68"/>
      <c r="D4" s="184" t="s">
        <v>96</v>
      </c>
      <c r="E4" s="184"/>
      <c r="F4" s="184"/>
      <c r="G4" s="184"/>
      <c r="H4" s="68"/>
      <c r="K4" s="125">
        <f>IF(N4=O4,1,0)</f>
        <v>0</v>
      </c>
      <c r="N4" s="4">
        <f>SUM(N7:N96)</f>
        <v>7</v>
      </c>
      <c r="O4" s="4">
        <f>SUM(O7:O96)</f>
        <v>0</v>
      </c>
    </row>
    <row r="5" spans="1:15" ht="20.100000000000001" customHeight="1">
      <c r="B5" s="104"/>
      <c r="D5" s="5"/>
      <c r="E5" s="5"/>
    </row>
    <row r="6" spans="1:15" s="6" customFormat="1" ht="53.25" customHeight="1">
      <c r="B6" s="105"/>
      <c r="D6" s="303" t="s">
        <v>1969</v>
      </c>
      <c r="E6" s="303"/>
      <c r="F6" s="303"/>
      <c r="G6" s="303"/>
      <c r="J6" s="4" t="s">
        <v>1968</v>
      </c>
      <c r="K6" s="4"/>
      <c r="L6" s="4"/>
      <c r="M6" s="4"/>
      <c r="N6" s="4"/>
      <c r="O6" s="4"/>
    </row>
    <row r="7" spans="1:15" s="6" customFormat="1" ht="20.100000000000001" customHeight="1">
      <c r="B7" s="105"/>
      <c r="D7" s="10"/>
      <c r="E7" s="82"/>
      <c r="J7" s="103">
        <v>1</v>
      </c>
      <c r="K7" s="4"/>
      <c r="L7" s="4"/>
      <c r="M7" s="4"/>
    </row>
    <row r="8" spans="1:15" ht="24.95" customHeight="1">
      <c r="A8" s="104"/>
      <c r="B8" s="104"/>
      <c r="C8" s="74"/>
      <c r="D8" s="256" t="s">
        <v>97</v>
      </c>
      <c r="E8" s="284"/>
      <c r="F8" s="284"/>
      <c r="G8" s="285"/>
      <c r="J8" s="32"/>
      <c r="K8" s="32"/>
      <c r="L8" s="32"/>
      <c r="N8" s="6">
        <f>IF(J8=1,1,0)</f>
        <v>0</v>
      </c>
      <c r="O8" s="6">
        <f>+J8*K8</f>
        <v>0</v>
      </c>
    </row>
    <row r="9" spans="1:15" s="6" customFormat="1" ht="20.100000000000001" customHeight="1">
      <c r="A9" s="105"/>
      <c r="B9" s="105">
        <v>1</v>
      </c>
      <c r="C9" s="74" t="s">
        <v>1912</v>
      </c>
      <c r="D9" s="7" t="s">
        <v>153</v>
      </c>
      <c r="E9" s="198">
        <v>4</v>
      </c>
      <c r="F9" s="199"/>
      <c r="G9" s="200"/>
      <c r="I9" s="4"/>
      <c r="J9" s="6">
        <f>IF($C9="*",IF($A9="Hide",0,$J$7),0)</f>
        <v>1</v>
      </c>
      <c r="K9" s="129">
        <f>IF(B9=1,0,1)</f>
        <v>0</v>
      </c>
      <c r="L9" s="127">
        <f>IF(A9="Hide",1,IF($J$7=1,B9,1))</f>
        <v>1</v>
      </c>
      <c r="M9" s="52" t="str">
        <f>formData!B410</f>
        <v>COUNTRIES_OF_RESIDENCE_ALL_APPLICANTS_NAME1</v>
      </c>
      <c r="N9" s="6">
        <f t="shared" ref="N9:N72" si="0">IF(J9=1,1,0)</f>
        <v>1</v>
      </c>
      <c r="O9" s="6">
        <f t="shared" ref="O9:O72" si="1">+J9*K9</f>
        <v>0</v>
      </c>
    </row>
    <row r="10" spans="1:15" s="6" customFormat="1" ht="20.100000000000001" customHeight="1">
      <c r="A10" s="105"/>
      <c r="B10" s="105"/>
      <c r="C10" s="74" t="s">
        <v>1912</v>
      </c>
      <c r="D10" s="31" t="s">
        <v>1978</v>
      </c>
      <c r="E10" s="219"/>
      <c r="F10" s="220"/>
      <c r="G10" s="221"/>
      <c r="I10" s="4"/>
      <c r="J10" s="6">
        <f>IF($C10="*",IF($A10="Hide",0,$J$7),0)</f>
        <v>1</v>
      </c>
      <c r="K10" s="130">
        <f>IF(LEN(E10)=0,0,1)</f>
        <v>0</v>
      </c>
      <c r="L10" s="126">
        <f>IF(A10="Hide",0,IF($J$7=1,E10,0))</f>
        <v>0</v>
      </c>
      <c r="M10" s="52" t="str">
        <f>formData!B411</f>
        <v>COUNTRIES_OF_RESIDENCE_ALL_APPLICANTS_DATE_FROM1</v>
      </c>
      <c r="N10" s="6">
        <f t="shared" si="0"/>
        <v>1</v>
      </c>
      <c r="O10" s="6">
        <f t="shared" si="1"/>
        <v>0</v>
      </c>
    </row>
    <row r="11" spans="1:15" s="6" customFormat="1" ht="43.5" customHeight="1">
      <c r="A11" s="105"/>
      <c r="B11" s="105"/>
      <c r="D11" s="31" t="s">
        <v>1980</v>
      </c>
      <c r="E11" s="219"/>
      <c r="F11" s="220"/>
      <c r="G11" s="221"/>
      <c r="J11" s="6">
        <f>IF($C11="*",IF($A11="Hide",0,$J$7),0)</f>
        <v>0</v>
      </c>
      <c r="K11" s="130">
        <f>IF(LEN(E11)=0,0,1)</f>
        <v>0</v>
      </c>
      <c r="L11" s="126">
        <f>IF(A11="Hide",0,IF($J$7=1,E11,0))</f>
        <v>0</v>
      </c>
      <c r="M11" s="52" t="str">
        <f>formData!B412</f>
        <v>COUNTRIES_OF_RESIDENCE_ALL_APPLICANTS_DATE_TO1</v>
      </c>
      <c r="N11" s="6">
        <f t="shared" si="0"/>
        <v>0</v>
      </c>
      <c r="O11" s="6">
        <f t="shared" si="1"/>
        <v>0</v>
      </c>
    </row>
    <row r="12" spans="1:15" s="6" customFormat="1" ht="20.100000000000001" customHeight="1">
      <c r="A12" s="105"/>
      <c r="B12" s="105"/>
      <c r="D12" s="83"/>
      <c r="E12" s="82"/>
      <c r="M12" s="52"/>
      <c r="N12" s="6">
        <f t="shared" si="0"/>
        <v>0</v>
      </c>
      <c r="O12" s="6">
        <f t="shared" si="1"/>
        <v>0</v>
      </c>
    </row>
    <row r="13" spans="1:15" ht="24.95" customHeight="1">
      <c r="A13" s="104"/>
      <c r="B13" s="104"/>
      <c r="C13" s="74"/>
      <c r="D13" s="256" t="s">
        <v>92</v>
      </c>
      <c r="E13" s="284"/>
      <c r="F13" s="284"/>
      <c r="G13" s="285"/>
      <c r="M13" s="52"/>
      <c r="N13" s="6">
        <f t="shared" si="0"/>
        <v>0</v>
      </c>
      <c r="O13" s="6">
        <f t="shared" si="1"/>
        <v>0</v>
      </c>
    </row>
    <row r="14" spans="1:15" s="6" customFormat="1" ht="20.100000000000001" customHeight="1">
      <c r="A14" s="105"/>
      <c r="B14" s="105">
        <v>1</v>
      </c>
      <c r="C14" s="74" t="s">
        <v>1912</v>
      </c>
      <c r="D14" s="7" t="s">
        <v>143</v>
      </c>
      <c r="E14" s="240"/>
      <c r="F14" s="241"/>
      <c r="G14" s="242"/>
      <c r="J14" s="6">
        <f>IF($C14="*",IF($A14="Hide",0,$J$7),0)</f>
        <v>1</v>
      </c>
      <c r="K14" s="129">
        <f>IF(B14=1,0,1)</f>
        <v>0</v>
      </c>
      <c r="L14" s="127">
        <f>IF(A14="Hide",1,IF($J$7=1,B14,1))</f>
        <v>1</v>
      </c>
      <c r="M14" s="52" t="str">
        <f>formData!B413</f>
        <v>COUNTRIES_OF_RESIDENCE_ALL_APPLICANTS_COUNTRY1</v>
      </c>
      <c r="N14" s="6">
        <f t="shared" si="0"/>
        <v>1</v>
      </c>
      <c r="O14" s="6">
        <f t="shared" si="1"/>
        <v>0</v>
      </c>
    </row>
    <row r="15" spans="1:15" s="6" customFormat="1" ht="20.100000000000001" customHeight="1">
      <c r="A15" s="105"/>
      <c r="B15" s="105"/>
      <c r="C15" s="74" t="s">
        <v>1912</v>
      </c>
      <c r="D15" s="7" t="s">
        <v>144</v>
      </c>
      <c r="E15" s="198"/>
      <c r="F15" s="199"/>
      <c r="G15" s="200"/>
      <c r="J15" s="6">
        <f t="shared" ref="J15:J19" si="2">IF($C15="*",IF($A15="Hide",0,$J$7),0)</f>
        <v>1</v>
      </c>
      <c r="K15" s="130">
        <f>IF(LEN(E15)=0,0,1)</f>
        <v>0</v>
      </c>
      <c r="L15" s="126">
        <f>IF(A15="Hide",0,IF($J$7=1,E15,0))</f>
        <v>0</v>
      </c>
      <c r="M15" s="52" t="str">
        <f>formData!B414</f>
        <v>COUNTRIES_OF_RESIDENCE_ALL_APPLICANTS_ADDRESS1</v>
      </c>
      <c r="N15" s="6">
        <f t="shared" si="0"/>
        <v>1</v>
      </c>
      <c r="O15" s="6">
        <f t="shared" si="1"/>
        <v>0</v>
      </c>
    </row>
    <row r="16" spans="1:15" s="6" customFormat="1" ht="20.100000000000001" customHeight="1">
      <c r="A16" s="105"/>
      <c r="B16" s="105"/>
      <c r="C16" s="74"/>
      <c r="D16" s="26" t="s">
        <v>145</v>
      </c>
      <c r="E16" s="198"/>
      <c r="F16" s="199"/>
      <c r="G16" s="200"/>
      <c r="J16" s="6">
        <f t="shared" si="2"/>
        <v>0</v>
      </c>
      <c r="K16" s="130">
        <f>IF(LEN(E16)=0,0,1)</f>
        <v>0</v>
      </c>
      <c r="L16" s="126">
        <f>IF(A16="Hide",0,IF($J$7=1,E16,0))</f>
        <v>0</v>
      </c>
      <c r="M16" s="52" t="str">
        <f>formData!B415</f>
        <v>COUNTRIES_OF_RESIDENCE_ALL_APPLICANTS_ADDRESS12</v>
      </c>
      <c r="N16" s="6">
        <f t="shared" si="0"/>
        <v>0</v>
      </c>
      <c r="O16" s="6">
        <f t="shared" si="1"/>
        <v>0</v>
      </c>
    </row>
    <row r="17" spans="1:15" s="6" customFormat="1" ht="20.100000000000001" customHeight="1">
      <c r="A17" s="105"/>
      <c r="B17" s="105"/>
      <c r="C17" s="74" t="s">
        <v>1912</v>
      </c>
      <c r="D17" s="7" t="s">
        <v>146</v>
      </c>
      <c r="E17" s="198"/>
      <c r="F17" s="199"/>
      <c r="G17" s="200"/>
      <c r="J17" s="6">
        <f t="shared" si="2"/>
        <v>1</v>
      </c>
      <c r="K17" s="130">
        <f>IF(LEN(E17)=0,0,1)</f>
        <v>0</v>
      </c>
      <c r="L17" s="126">
        <f>IF(A17="Hide",0,IF($J$7=1,E17,0))</f>
        <v>0</v>
      </c>
      <c r="M17" s="52" t="str">
        <f>formData!B416</f>
        <v>COUNTRIES_OF_RESIDENCE_ALL_APPLICANTS_SUBURB_TOWN1</v>
      </c>
      <c r="N17" s="6">
        <f t="shared" si="0"/>
        <v>1</v>
      </c>
      <c r="O17" s="6">
        <f t="shared" si="1"/>
        <v>0</v>
      </c>
    </row>
    <row r="18" spans="1:15" s="6" customFormat="1" ht="20.100000000000001" customHeight="1">
      <c r="A18" s="105"/>
      <c r="B18" s="105"/>
      <c r="C18" s="74" t="s">
        <v>1912</v>
      </c>
      <c r="D18" s="7" t="s">
        <v>147</v>
      </c>
      <c r="E18" s="198"/>
      <c r="F18" s="199"/>
      <c r="G18" s="200"/>
      <c r="J18" s="6">
        <f t="shared" si="2"/>
        <v>1</v>
      </c>
      <c r="K18" s="130">
        <f>IF(LEN(E18)=0,0,1)</f>
        <v>0</v>
      </c>
      <c r="L18" s="126">
        <f>IF(A18="Hide",0,IF($J$7=1,E18,0))</f>
        <v>0</v>
      </c>
      <c r="M18" s="52" t="str">
        <f>formData!B417</f>
        <v>COUNTRIES_OF_RESIDENCE_ALL_APPLICANTS_STATE_PROVINCE1</v>
      </c>
      <c r="N18" s="6">
        <f t="shared" si="0"/>
        <v>1</v>
      </c>
      <c r="O18" s="6">
        <f t="shared" si="1"/>
        <v>0</v>
      </c>
    </row>
    <row r="19" spans="1:15" s="6" customFormat="1" ht="20.100000000000001" customHeight="1">
      <c r="A19" s="105"/>
      <c r="B19" s="105"/>
      <c r="C19" s="74" t="s">
        <v>1912</v>
      </c>
      <c r="D19" s="7" t="s">
        <v>148</v>
      </c>
      <c r="E19" s="198"/>
      <c r="F19" s="199"/>
      <c r="G19" s="200"/>
      <c r="J19" s="6">
        <f t="shared" si="2"/>
        <v>1</v>
      </c>
      <c r="K19" s="130">
        <f>IF(LEN(E19)=0,0,1)</f>
        <v>0</v>
      </c>
      <c r="L19" s="126">
        <f>IF(A19="Hide",0,IF($J$7=1,E19,0))</f>
        <v>0</v>
      </c>
      <c r="M19" s="52" t="str">
        <f>formData!B418</f>
        <v>COUNTRIES_OF_RESIDENCE_ALL_APPLICANTS_POSTAL_CODE1</v>
      </c>
      <c r="N19" s="6">
        <f t="shared" si="0"/>
        <v>1</v>
      </c>
      <c r="O19" s="6">
        <f t="shared" si="1"/>
        <v>0</v>
      </c>
    </row>
    <row r="20" spans="1:15" s="6" customFormat="1" ht="20.100000000000001" customHeight="1">
      <c r="A20" s="105"/>
      <c r="B20" s="105"/>
      <c r="D20" s="83"/>
      <c r="E20" s="82"/>
      <c r="F20" s="82"/>
      <c r="G20" s="82"/>
      <c r="M20" s="52"/>
      <c r="N20" s="6">
        <f t="shared" si="0"/>
        <v>0</v>
      </c>
      <c r="O20" s="6">
        <f t="shared" si="1"/>
        <v>0</v>
      </c>
    </row>
    <row r="21" spans="1:15" ht="24.95" customHeight="1">
      <c r="A21" s="104"/>
      <c r="B21" s="104"/>
      <c r="C21" s="74"/>
      <c r="D21" s="256" t="s">
        <v>98</v>
      </c>
      <c r="E21" s="284"/>
      <c r="F21" s="284"/>
      <c r="G21" s="285"/>
      <c r="M21" s="52"/>
      <c r="N21" s="6">
        <f t="shared" si="0"/>
        <v>0</v>
      </c>
      <c r="O21" s="6">
        <f t="shared" si="1"/>
        <v>0</v>
      </c>
    </row>
    <row r="22" spans="1:15" s="6" customFormat="1" ht="20.100000000000001" customHeight="1">
      <c r="A22" s="106"/>
      <c r="B22" s="105">
        <v>1</v>
      </c>
      <c r="C22" s="179" t="str">
        <f>IF(B22&gt;1,"*","")</f>
        <v/>
      </c>
      <c r="D22" s="7" t="s">
        <v>153</v>
      </c>
      <c r="E22" s="198">
        <v>1</v>
      </c>
      <c r="F22" s="199"/>
      <c r="G22" s="200"/>
      <c r="J22" s="6">
        <f>IF($C22="*",IF($A22="Hide",0,$J$7),0)</f>
        <v>0</v>
      </c>
      <c r="K22" s="129">
        <f>IF(B22=1,0,1)</f>
        <v>0</v>
      </c>
      <c r="L22" s="127">
        <f>IF(A22="Hide",1,IF($J$7=1,B22,1))</f>
        <v>1</v>
      </c>
      <c r="M22" s="52" t="str">
        <f>formData!B419</f>
        <v>COUNTRIES_OF_RESIDENCE_ALL_APPLICANTS_NAME2</v>
      </c>
      <c r="N22" s="6">
        <f t="shared" si="0"/>
        <v>0</v>
      </c>
      <c r="O22" s="6">
        <f t="shared" si="1"/>
        <v>0</v>
      </c>
    </row>
    <row r="23" spans="1:15" s="6" customFormat="1" ht="20.100000000000001" customHeight="1">
      <c r="A23" s="106"/>
      <c r="B23" s="105"/>
      <c r="C23" s="179" t="str">
        <f>C22</f>
        <v/>
      </c>
      <c r="D23" s="31" t="s">
        <v>1978</v>
      </c>
      <c r="E23" s="219"/>
      <c r="F23" s="220"/>
      <c r="G23" s="221"/>
      <c r="J23" s="6">
        <f>IF($C23="*",IF($A23="Hide",0,$J$7),0)</f>
        <v>0</v>
      </c>
      <c r="K23" s="130">
        <f>IF(LEN(E23)=0,0,1)</f>
        <v>0</v>
      </c>
      <c r="L23" s="126">
        <f>IF(A23="Hide",0,IF($J$7=1,E23,0))</f>
        <v>0</v>
      </c>
      <c r="M23" s="52" t="str">
        <f>formData!B420</f>
        <v>COUNTRIES_OF_RESIDENCE_ALL_APPLICANTS_DATE_FROM2</v>
      </c>
      <c r="N23" s="6">
        <f t="shared" si="0"/>
        <v>0</v>
      </c>
      <c r="O23" s="6">
        <f t="shared" si="1"/>
        <v>0</v>
      </c>
    </row>
    <row r="24" spans="1:15" s="6" customFormat="1" ht="45" customHeight="1">
      <c r="A24" s="106"/>
      <c r="B24" s="105"/>
      <c r="C24" s="179"/>
      <c r="D24" s="31" t="s">
        <v>1979</v>
      </c>
      <c r="E24" s="219"/>
      <c r="F24" s="220"/>
      <c r="G24" s="221"/>
      <c r="J24" s="6">
        <f>IF($C24="*",IF($A24="Hide",0,$J$7),0)</f>
        <v>0</v>
      </c>
      <c r="K24" s="130">
        <f>IF(LEN(E24)=0,0,1)</f>
        <v>0</v>
      </c>
      <c r="L24" s="126">
        <f>IF(A24="Hide",0,IF($J$7=1,E24,0))</f>
        <v>0</v>
      </c>
      <c r="M24" s="52" t="str">
        <f>formData!B421</f>
        <v>COUNTRIES_OF_RESIDENCE_ALL_APPLICANTS_DATE_TO2</v>
      </c>
      <c r="N24" s="6">
        <f t="shared" si="0"/>
        <v>0</v>
      </c>
      <c r="O24" s="6">
        <f t="shared" si="1"/>
        <v>0</v>
      </c>
    </row>
    <row r="25" spans="1:15" s="6" customFormat="1" ht="20.100000000000001" customHeight="1">
      <c r="A25" s="106"/>
      <c r="B25" s="105"/>
      <c r="C25" s="179"/>
      <c r="D25" s="9"/>
      <c r="E25" s="56"/>
      <c r="M25" s="52"/>
      <c r="N25" s="6">
        <f t="shared" si="0"/>
        <v>0</v>
      </c>
      <c r="O25" s="6">
        <f t="shared" si="1"/>
        <v>0</v>
      </c>
    </row>
    <row r="26" spans="1:15" ht="24.95" customHeight="1">
      <c r="A26" s="106"/>
      <c r="B26" s="104"/>
      <c r="C26" s="180"/>
      <c r="D26" s="256" t="s">
        <v>92</v>
      </c>
      <c r="E26" s="254"/>
      <c r="F26" s="254"/>
      <c r="G26" s="255"/>
      <c r="M26" s="52"/>
      <c r="N26" s="6">
        <f t="shared" si="0"/>
        <v>0</v>
      </c>
      <c r="O26" s="6">
        <f t="shared" si="1"/>
        <v>0</v>
      </c>
    </row>
    <row r="27" spans="1:15" s="6" customFormat="1" ht="20.100000000000001" customHeight="1">
      <c r="A27" s="106"/>
      <c r="B27" s="105">
        <v>1</v>
      </c>
      <c r="C27" s="180" t="str">
        <f>C23</f>
        <v/>
      </c>
      <c r="D27" s="7" t="s">
        <v>143</v>
      </c>
      <c r="E27" s="240"/>
      <c r="F27" s="241"/>
      <c r="G27" s="242"/>
      <c r="J27" s="6">
        <f t="shared" ref="J27:J32" si="3">IF($C27="*",IF($A27="Hide",0,$J$7),0)</f>
        <v>0</v>
      </c>
      <c r="K27" s="129">
        <f>IF(B27=1,0,1)</f>
        <v>0</v>
      </c>
      <c r="L27" s="127">
        <f>IF(A27="Hide",1,IF($J$7=1,B27,1))</f>
        <v>1</v>
      </c>
      <c r="M27" s="52" t="str">
        <f>formData!B422</f>
        <v>COUNTRIES_OF_RESIDENCE_ALL_APPLICANTS_COUNTRY2</v>
      </c>
      <c r="N27" s="6">
        <f t="shared" si="0"/>
        <v>0</v>
      </c>
      <c r="O27" s="6">
        <f t="shared" si="1"/>
        <v>0</v>
      </c>
    </row>
    <row r="28" spans="1:15" s="6" customFormat="1" ht="20.100000000000001" customHeight="1">
      <c r="A28" s="106"/>
      <c r="B28" s="105"/>
      <c r="C28" s="180" t="str">
        <f>C27</f>
        <v/>
      </c>
      <c r="D28" s="7" t="s">
        <v>144</v>
      </c>
      <c r="E28" s="198"/>
      <c r="F28" s="199"/>
      <c r="G28" s="200"/>
      <c r="J28" s="6">
        <f t="shared" si="3"/>
        <v>0</v>
      </c>
      <c r="K28" s="130">
        <f>IF(LEN(E28)=0,0,1)</f>
        <v>0</v>
      </c>
      <c r="L28" s="126">
        <f>IF(A28="Hide",0,IF($J$7=1,E28,0))</f>
        <v>0</v>
      </c>
      <c r="M28" s="52" t="str">
        <f>formData!B423</f>
        <v>COUNTRIES_OF_RESIDENCE_ALL_APPLICANTS_ADDRESS2</v>
      </c>
      <c r="N28" s="6">
        <f t="shared" si="0"/>
        <v>0</v>
      </c>
      <c r="O28" s="6">
        <f t="shared" si="1"/>
        <v>0</v>
      </c>
    </row>
    <row r="29" spans="1:15" s="6" customFormat="1" ht="20.100000000000001" customHeight="1">
      <c r="A29" s="106"/>
      <c r="B29" s="105"/>
      <c r="C29" s="180"/>
      <c r="D29" s="26" t="s">
        <v>145</v>
      </c>
      <c r="E29" s="198"/>
      <c r="F29" s="199"/>
      <c r="G29" s="200"/>
      <c r="J29" s="6">
        <f t="shared" si="3"/>
        <v>0</v>
      </c>
      <c r="K29" s="130">
        <f>IF(LEN(E29)=0,0,1)</f>
        <v>0</v>
      </c>
      <c r="L29" s="126">
        <f>IF(A29="Hide",0,IF($J$7=1,E29,0))</f>
        <v>0</v>
      </c>
      <c r="M29" s="52" t="str">
        <f>formData!B424</f>
        <v>COUNTRIES_OF_RESIDENCE_ALL_APPLICANTS_ADDRESS22</v>
      </c>
      <c r="N29" s="6">
        <f t="shared" si="0"/>
        <v>0</v>
      </c>
      <c r="O29" s="6">
        <f t="shared" si="1"/>
        <v>0</v>
      </c>
    </row>
    <row r="30" spans="1:15" s="6" customFormat="1" ht="20.100000000000001" customHeight="1">
      <c r="A30" s="106"/>
      <c r="B30" s="105"/>
      <c r="C30" s="180" t="str">
        <f>C28</f>
        <v/>
      </c>
      <c r="D30" s="7" t="s">
        <v>146</v>
      </c>
      <c r="E30" s="198"/>
      <c r="F30" s="199"/>
      <c r="G30" s="200"/>
      <c r="J30" s="6">
        <f t="shared" si="3"/>
        <v>0</v>
      </c>
      <c r="K30" s="130">
        <f>IF(LEN(E30)=0,0,1)</f>
        <v>0</v>
      </c>
      <c r="L30" s="126">
        <f>IF(A30="Hide",0,IF($J$7=1,E30,0))</f>
        <v>0</v>
      </c>
      <c r="M30" s="52" t="str">
        <f>formData!B425</f>
        <v>COUNTRIES_OF_RESIDENCE_ALL_APPLICANTS_SUBURB_TOWN2</v>
      </c>
      <c r="N30" s="6">
        <f t="shared" si="0"/>
        <v>0</v>
      </c>
      <c r="O30" s="6">
        <f t="shared" si="1"/>
        <v>0</v>
      </c>
    </row>
    <row r="31" spans="1:15" s="6" customFormat="1" ht="20.100000000000001" customHeight="1">
      <c r="A31" s="106"/>
      <c r="B31" s="105"/>
      <c r="C31" s="180" t="str">
        <f>C30</f>
        <v/>
      </c>
      <c r="D31" s="7" t="s">
        <v>147</v>
      </c>
      <c r="E31" s="198"/>
      <c r="F31" s="199"/>
      <c r="G31" s="200"/>
      <c r="J31" s="6">
        <f t="shared" si="3"/>
        <v>0</v>
      </c>
      <c r="K31" s="130">
        <f>IF(LEN(E31)=0,0,1)</f>
        <v>0</v>
      </c>
      <c r="L31" s="126">
        <f>IF(A31="Hide",0,IF($J$7=1,E31,0))</f>
        <v>0</v>
      </c>
      <c r="M31" s="52" t="str">
        <f>formData!B426</f>
        <v>COUNTRIES_OF_RESIDENCE_ALL_APPLICANTS_STATE_PROVINCE2</v>
      </c>
      <c r="N31" s="6">
        <f t="shared" si="0"/>
        <v>0</v>
      </c>
      <c r="O31" s="6">
        <f t="shared" si="1"/>
        <v>0</v>
      </c>
    </row>
    <row r="32" spans="1:15" s="6" customFormat="1" ht="20.100000000000001" customHeight="1">
      <c r="A32" s="106"/>
      <c r="B32" s="105"/>
      <c r="C32" s="180" t="str">
        <f>C31</f>
        <v/>
      </c>
      <c r="D32" s="7" t="s">
        <v>148</v>
      </c>
      <c r="E32" s="198"/>
      <c r="F32" s="199"/>
      <c r="G32" s="200"/>
      <c r="J32" s="6">
        <f t="shared" si="3"/>
        <v>0</v>
      </c>
      <c r="K32" s="130">
        <f>IF(LEN(E32)=0,0,1)</f>
        <v>0</v>
      </c>
      <c r="L32" s="126">
        <f>IF(A32="Hide",0,IF($J$7=1,E32,0))</f>
        <v>0</v>
      </c>
      <c r="M32" s="52" t="str">
        <f>formData!B427</f>
        <v>COUNTRIES_OF_RESIDENCE_ALL_APPLICANTS_POSTAL_CODE2</v>
      </c>
      <c r="N32" s="6">
        <f t="shared" si="0"/>
        <v>0</v>
      </c>
      <c r="O32" s="6">
        <f t="shared" si="1"/>
        <v>0</v>
      </c>
    </row>
    <row r="33" spans="1:15" ht="20.100000000000001" customHeight="1">
      <c r="A33" s="106"/>
      <c r="B33" s="104"/>
      <c r="C33" s="180"/>
      <c r="M33" s="52"/>
      <c r="N33" s="6">
        <f t="shared" si="0"/>
        <v>0</v>
      </c>
      <c r="O33" s="6">
        <f t="shared" si="1"/>
        <v>0</v>
      </c>
    </row>
    <row r="34" spans="1:15" ht="24.95" customHeight="1">
      <c r="A34" s="106"/>
      <c r="B34" s="104"/>
      <c r="C34" s="180"/>
      <c r="D34" s="256" t="s">
        <v>99</v>
      </c>
      <c r="E34" s="254"/>
      <c r="F34" s="254"/>
      <c r="G34" s="255"/>
      <c r="M34" s="52"/>
      <c r="N34" s="6">
        <f t="shared" si="0"/>
        <v>0</v>
      </c>
      <c r="O34" s="6">
        <f t="shared" si="1"/>
        <v>0</v>
      </c>
    </row>
    <row r="35" spans="1:15" s="6" customFormat="1" ht="20.100000000000001" customHeight="1">
      <c r="A35" s="106"/>
      <c r="B35" s="105">
        <v>1</v>
      </c>
      <c r="C35" s="179" t="str">
        <f>IF(B35&gt;1,"*","")</f>
        <v/>
      </c>
      <c r="D35" s="7" t="s">
        <v>153</v>
      </c>
      <c r="E35" s="198">
        <v>1</v>
      </c>
      <c r="F35" s="199"/>
      <c r="G35" s="200"/>
      <c r="J35" s="6">
        <f>IF($C35="*",IF($A35="Hide",0,$J$7),0)</f>
        <v>0</v>
      </c>
      <c r="K35" s="129">
        <f>IF(B35=1,0,1)</f>
        <v>0</v>
      </c>
      <c r="L35" s="127">
        <f>IF(A35="Hide",1,IF($J$7=1,B35,1))</f>
        <v>1</v>
      </c>
      <c r="M35" s="52" t="str">
        <f>formData!B428</f>
        <v>COUNTRIES_OF_RESIDENCE_ALL_APPLICANTS_NAME3</v>
      </c>
      <c r="N35" s="6">
        <f t="shared" si="0"/>
        <v>0</v>
      </c>
      <c r="O35" s="6">
        <f t="shared" si="1"/>
        <v>0</v>
      </c>
    </row>
    <row r="36" spans="1:15" s="6" customFormat="1" ht="20.100000000000001" customHeight="1">
      <c r="A36" s="106"/>
      <c r="B36" s="105"/>
      <c r="C36" s="179" t="str">
        <f>C35</f>
        <v/>
      </c>
      <c r="D36" s="31" t="s">
        <v>1978</v>
      </c>
      <c r="E36" s="219"/>
      <c r="F36" s="220"/>
      <c r="G36" s="221"/>
      <c r="J36" s="6">
        <f>IF($C36="*",IF($A36="Hide",0,$J$7),0)</f>
        <v>0</v>
      </c>
      <c r="K36" s="130">
        <f>IF(LEN(E36)=0,0,1)</f>
        <v>0</v>
      </c>
      <c r="L36" s="126">
        <f>IF(A36="Hide",0,IF($J$7=1,E36,0))</f>
        <v>0</v>
      </c>
      <c r="M36" s="52" t="str">
        <f>formData!B429</f>
        <v>COUNTRIES_OF_RESIDENCE_ALL_APPLICANTS_DATE_FROM3</v>
      </c>
      <c r="N36" s="6">
        <f t="shared" si="0"/>
        <v>0</v>
      </c>
      <c r="O36" s="6">
        <f t="shared" si="1"/>
        <v>0</v>
      </c>
    </row>
    <row r="37" spans="1:15" s="6" customFormat="1" ht="45" customHeight="1">
      <c r="A37" s="106"/>
      <c r="B37" s="105"/>
      <c r="C37" s="179"/>
      <c r="D37" s="31" t="s">
        <v>1979</v>
      </c>
      <c r="E37" s="219"/>
      <c r="F37" s="220"/>
      <c r="G37" s="221"/>
      <c r="J37" s="6">
        <f>IF($C37="*",IF($A37="Hide",0,$J$7),0)</f>
        <v>0</v>
      </c>
      <c r="K37" s="130">
        <f>IF(LEN(E37)=0,0,1)</f>
        <v>0</v>
      </c>
      <c r="L37" s="126">
        <f>IF(A37="Hide",0,IF($J$7=1,E37,0))</f>
        <v>0</v>
      </c>
      <c r="M37" s="52" t="str">
        <f>formData!B430</f>
        <v>COUNTRIES_OF_RESIDENCE_ALL_APPLICANTS_DATE_TO3</v>
      </c>
      <c r="N37" s="6">
        <f t="shared" si="0"/>
        <v>0</v>
      </c>
      <c r="O37" s="6">
        <f t="shared" si="1"/>
        <v>0</v>
      </c>
    </row>
    <row r="38" spans="1:15" s="6" customFormat="1" ht="20.100000000000001" customHeight="1">
      <c r="A38" s="106"/>
      <c r="B38" s="105"/>
      <c r="C38" s="179"/>
      <c r="D38" s="9"/>
      <c r="E38" s="56"/>
      <c r="M38" s="52"/>
      <c r="N38" s="6">
        <f t="shared" si="0"/>
        <v>0</v>
      </c>
      <c r="O38" s="6">
        <f t="shared" si="1"/>
        <v>0</v>
      </c>
    </row>
    <row r="39" spans="1:15" ht="24.95" customHeight="1">
      <c r="A39" s="106"/>
      <c r="B39" s="104"/>
      <c r="C39" s="180"/>
      <c r="D39" s="256" t="s">
        <v>92</v>
      </c>
      <c r="E39" s="254"/>
      <c r="F39" s="254"/>
      <c r="G39" s="255"/>
      <c r="M39" s="52"/>
      <c r="N39" s="6">
        <f t="shared" si="0"/>
        <v>0</v>
      </c>
      <c r="O39" s="6">
        <f t="shared" si="1"/>
        <v>0</v>
      </c>
    </row>
    <row r="40" spans="1:15" s="6" customFormat="1" ht="20.100000000000001" customHeight="1">
      <c r="A40" s="106"/>
      <c r="B40" s="105">
        <v>1</v>
      </c>
      <c r="C40" s="180" t="str">
        <f>C36</f>
        <v/>
      </c>
      <c r="D40" s="7" t="s">
        <v>143</v>
      </c>
      <c r="E40" s="240"/>
      <c r="F40" s="241"/>
      <c r="G40" s="242"/>
      <c r="J40" s="6">
        <f t="shared" ref="J40:J45" si="4">IF($C40="*",IF($A40="Hide",0,$J$7),0)</f>
        <v>0</v>
      </c>
      <c r="K40" s="129">
        <f>IF(B40=1,0,1)</f>
        <v>0</v>
      </c>
      <c r="L40" s="127">
        <f>IF(A40="Hide",1,IF($J$7=1,B40,1))</f>
        <v>1</v>
      </c>
      <c r="M40" s="52" t="str">
        <f>formData!B431</f>
        <v>COUNTRIES_OF_RESIDENCE_ALL_APPLICANTS_COUNTRY3</v>
      </c>
      <c r="N40" s="6">
        <f t="shared" si="0"/>
        <v>0</v>
      </c>
      <c r="O40" s="6">
        <f t="shared" si="1"/>
        <v>0</v>
      </c>
    </row>
    <row r="41" spans="1:15" s="6" customFormat="1" ht="20.100000000000001" customHeight="1">
      <c r="A41" s="106"/>
      <c r="B41" s="105"/>
      <c r="C41" s="180" t="str">
        <f>C40</f>
        <v/>
      </c>
      <c r="D41" s="7" t="s">
        <v>144</v>
      </c>
      <c r="E41" s="198"/>
      <c r="F41" s="199"/>
      <c r="G41" s="200"/>
      <c r="J41" s="6">
        <f t="shared" si="4"/>
        <v>0</v>
      </c>
      <c r="K41" s="130">
        <f>IF(LEN(E41)=0,0,1)</f>
        <v>0</v>
      </c>
      <c r="L41" s="126">
        <f>IF(A41="Hide",0,IF($J$7=1,E41,0))</f>
        <v>0</v>
      </c>
      <c r="M41" s="52" t="str">
        <f>formData!B432</f>
        <v>COUNTRIES_OF_RESIDENCE_ALL_APPLICANTS_ADDRESS3</v>
      </c>
      <c r="N41" s="6">
        <f t="shared" si="0"/>
        <v>0</v>
      </c>
      <c r="O41" s="6">
        <f t="shared" si="1"/>
        <v>0</v>
      </c>
    </row>
    <row r="42" spans="1:15" s="6" customFormat="1" ht="20.100000000000001" customHeight="1">
      <c r="A42" s="106"/>
      <c r="B42" s="105"/>
      <c r="C42" s="180"/>
      <c r="D42" s="26" t="s">
        <v>145</v>
      </c>
      <c r="E42" s="198"/>
      <c r="F42" s="199"/>
      <c r="G42" s="200"/>
      <c r="J42" s="6">
        <f t="shared" si="4"/>
        <v>0</v>
      </c>
      <c r="K42" s="130">
        <f>IF(LEN(E42)=0,0,1)</f>
        <v>0</v>
      </c>
      <c r="L42" s="126">
        <f>IF(A42="Hide",0,IF($J$7=1,E42,0))</f>
        <v>0</v>
      </c>
      <c r="M42" s="52" t="str">
        <f>formData!B433</f>
        <v>COUNTRIES_OF_RESIDENCE_ALL_APPLICANTS_ADDRESS32</v>
      </c>
      <c r="N42" s="6">
        <f t="shared" si="0"/>
        <v>0</v>
      </c>
      <c r="O42" s="6">
        <f t="shared" si="1"/>
        <v>0</v>
      </c>
    </row>
    <row r="43" spans="1:15" s="6" customFormat="1" ht="20.100000000000001" customHeight="1">
      <c r="A43" s="106"/>
      <c r="B43" s="105"/>
      <c r="C43" s="180" t="str">
        <f>C41</f>
        <v/>
      </c>
      <c r="D43" s="7" t="s">
        <v>146</v>
      </c>
      <c r="E43" s="198"/>
      <c r="F43" s="199"/>
      <c r="G43" s="200"/>
      <c r="J43" s="6">
        <f t="shared" si="4"/>
        <v>0</v>
      </c>
      <c r="K43" s="130">
        <f>IF(LEN(E43)=0,0,1)</f>
        <v>0</v>
      </c>
      <c r="L43" s="126">
        <f>IF(A43="Hide",0,IF($J$7=1,E43,0))</f>
        <v>0</v>
      </c>
      <c r="M43" s="52" t="str">
        <f>formData!B434</f>
        <v>COUNTRIES_OF_RESIDENCE_ALL_APPLICANTS_SUBURB_TOWN3</v>
      </c>
      <c r="N43" s="6">
        <f t="shared" si="0"/>
        <v>0</v>
      </c>
      <c r="O43" s="6">
        <f t="shared" si="1"/>
        <v>0</v>
      </c>
    </row>
    <row r="44" spans="1:15" s="6" customFormat="1" ht="20.100000000000001" customHeight="1">
      <c r="A44" s="106"/>
      <c r="B44" s="105"/>
      <c r="C44" s="180" t="str">
        <f>C43</f>
        <v/>
      </c>
      <c r="D44" s="7" t="s">
        <v>147</v>
      </c>
      <c r="E44" s="198"/>
      <c r="F44" s="199"/>
      <c r="G44" s="200"/>
      <c r="J44" s="6">
        <f t="shared" si="4"/>
        <v>0</v>
      </c>
      <c r="K44" s="130">
        <f>IF(LEN(E44)=0,0,1)</f>
        <v>0</v>
      </c>
      <c r="L44" s="126">
        <f>IF(A44="Hide",0,IF($J$7=1,E44,0))</f>
        <v>0</v>
      </c>
      <c r="M44" s="52" t="str">
        <f>formData!B435</f>
        <v>COUNTRIES_OF_RESIDENCE_ALL_APPLICANTS_STATE_PROVINCE3</v>
      </c>
      <c r="N44" s="6">
        <f t="shared" si="0"/>
        <v>0</v>
      </c>
      <c r="O44" s="6">
        <f t="shared" si="1"/>
        <v>0</v>
      </c>
    </row>
    <row r="45" spans="1:15" s="6" customFormat="1" ht="20.100000000000001" customHeight="1">
      <c r="A45" s="106"/>
      <c r="B45" s="105"/>
      <c r="C45" s="180" t="str">
        <f>C44</f>
        <v/>
      </c>
      <c r="D45" s="7" t="s">
        <v>148</v>
      </c>
      <c r="E45" s="198"/>
      <c r="F45" s="199"/>
      <c r="G45" s="200"/>
      <c r="J45" s="6">
        <f t="shared" si="4"/>
        <v>0</v>
      </c>
      <c r="K45" s="130">
        <f>IF(LEN(E45)=0,0,1)</f>
        <v>0</v>
      </c>
      <c r="L45" s="126">
        <f>IF(A45="Hide",0,IF($J$7=1,E45,0))</f>
        <v>0</v>
      </c>
      <c r="M45" s="52" t="str">
        <f>formData!B436</f>
        <v>COUNTRIES_OF_RESIDENCE_ALL_APPLICANTS_POSTAL_CODE3</v>
      </c>
      <c r="N45" s="6">
        <f t="shared" si="0"/>
        <v>0</v>
      </c>
      <c r="O45" s="6">
        <f t="shared" si="1"/>
        <v>0</v>
      </c>
    </row>
    <row r="46" spans="1:15" ht="20.100000000000001" customHeight="1">
      <c r="A46" s="106"/>
      <c r="B46" s="104"/>
      <c r="C46" s="180"/>
      <c r="M46" s="52"/>
      <c r="N46" s="6">
        <f t="shared" si="0"/>
        <v>0</v>
      </c>
      <c r="O46" s="6">
        <f t="shared" si="1"/>
        <v>0</v>
      </c>
    </row>
    <row r="47" spans="1:15" ht="24.95" customHeight="1">
      <c r="A47" s="106"/>
      <c r="B47" s="104"/>
      <c r="C47" s="180"/>
      <c r="D47" s="256" t="s">
        <v>100</v>
      </c>
      <c r="E47" s="254"/>
      <c r="F47" s="254"/>
      <c r="G47" s="255"/>
      <c r="M47" s="52"/>
      <c r="N47" s="6">
        <f t="shared" si="0"/>
        <v>0</v>
      </c>
      <c r="O47" s="6">
        <f t="shared" si="1"/>
        <v>0</v>
      </c>
    </row>
    <row r="48" spans="1:15" s="6" customFormat="1" ht="20.100000000000001" customHeight="1">
      <c r="A48" s="106"/>
      <c r="B48" s="105">
        <v>1</v>
      </c>
      <c r="C48" s="179" t="str">
        <f>IF(B48&gt;1,"*","")</f>
        <v/>
      </c>
      <c r="D48" s="7" t="s">
        <v>153</v>
      </c>
      <c r="E48" s="198">
        <v>1</v>
      </c>
      <c r="F48" s="199"/>
      <c r="G48" s="200"/>
      <c r="J48" s="6">
        <f>IF($C48="*",IF($A48="Hide",0,$J$7),0)</f>
        <v>0</v>
      </c>
      <c r="K48" s="129">
        <f>IF(B48=1,0,1)</f>
        <v>0</v>
      </c>
      <c r="L48" s="127">
        <f>IF(A48="Hide",1,IF($J$7=1,B48,1))</f>
        <v>1</v>
      </c>
      <c r="M48" s="52" t="str">
        <f>formData!B437</f>
        <v>COUNTRIES_OF_RESIDENCE_ALL_APPLICANTS_NAME4</v>
      </c>
      <c r="N48" s="6">
        <f t="shared" si="0"/>
        <v>0</v>
      </c>
      <c r="O48" s="6">
        <f t="shared" si="1"/>
        <v>0</v>
      </c>
    </row>
    <row r="49" spans="1:15" s="6" customFormat="1" ht="20.100000000000001" customHeight="1">
      <c r="A49" s="106"/>
      <c r="B49" s="105"/>
      <c r="C49" s="179" t="str">
        <f>C48</f>
        <v/>
      </c>
      <c r="D49" s="31" t="s">
        <v>1978</v>
      </c>
      <c r="E49" s="219"/>
      <c r="F49" s="220"/>
      <c r="G49" s="221"/>
      <c r="J49" s="6">
        <f>IF($C49="*",IF($A49="Hide",0,$J$7),0)</f>
        <v>0</v>
      </c>
      <c r="K49" s="130">
        <f>IF(LEN(E49)=0,0,1)</f>
        <v>0</v>
      </c>
      <c r="L49" s="126">
        <f>IF(A49="Hide",0,IF($J$7=1,E49,0))</f>
        <v>0</v>
      </c>
      <c r="M49" s="52" t="str">
        <f>formData!B438</f>
        <v>COUNTRIES_OF_RESIDENCE_ALL_APPLICANTS_DATE_FROM4</v>
      </c>
      <c r="N49" s="6">
        <f t="shared" si="0"/>
        <v>0</v>
      </c>
      <c r="O49" s="6">
        <f t="shared" si="1"/>
        <v>0</v>
      </c>
    </row>
    <row r="50" spans="1:15" s="6" customFormat="1" ht="45" customHeight="1">
      <c r="A50" s="106"/>
      <c r="B50" s="105"/>
      <c r="C50" s="179"/>
      <c r="D50" s="31" t="s">
        <v>1979</v>
      </c>
      <c r="E50" s="219"/>
      <c r="F50" s="220"/>
      <c r="G50" s="221"/>
      <c r="J50" s="6">
        <f>IF($C50="*",IF($A50="Hide",0,$J$7),0)</f>
        <v>0</v>
      </c>
      <c r="K50" s="130">
        <f>IF(LEN(E50)=0,0,1)</f>
        <v>0</v>
      </c>
      <c r="L50" s="126">
        <f>IF(A50="Hide",0,IF($J$7=1,E50,0))</f>
        <v>0</v>
      </c>
      <c r="M50" s="52" t="str">
        <f>formData!B439</f>
        <v>COUNTRIES_OF_RESIDENCE_ALL_APPLICANTS_DATE_TO4</v>
      </c>
      <c r="N50" s="6">
        <f t="shared" si="0"/>
        <v>0</v>
      </c>
      <c r="O50" s="6">
        <f t="shared" si="1"/>
        <v>0</v>
      </c>
    </row>
    <row r="51" spans="1:15" s="6" customFormat="1" ht="20.100000000000001" customHeight="1">
      <c r="A51" s="106"/>
      <c r="B51" s="105"/>
      <c r="C51" s="179"/>
      <c r="D51" s="9"/>
      <c r="E51" s="56"/>
      <c r="M51" s="52"/>
      <c r="N51" s="6">
        <f t="shared" si="0"/>
        <v>0</v>
      </c>
      <c r="O51" s="6">
        <f t="shared" si="1"/>
        <v>0</v>
      </c>
    </row>
    <row r="52" spans="1:15" ht="24.95" customHeight="1">
      <c r="A52" s="106"/>
      <c r="B52" s="104"/>
      <c r="C52" s="180"/>
      <c r="D52" s="256" t="s">
        <v>92</v>
      </c>
      <c r="E52" s="254"/>
      <c r="F52" s="254"/>
      <c r="G52" s="255"/>
      <c r="M52" s="52"/>
      <c r="N52" s="6">
        <f t="shared" si="0"/>
        <v>0</v>
      </c>
      <c r="O52" s="6">
        <f t="shared" si="1"/>
        <v>0</v>
      </c>
    </row>
    <row r="53" spans="1:15" s="6" customFormat="1" ht="20.100000000000001" customHeight="1">
      <c r="A53" s="106"/>
      <c r="B53" s="105">
        <v>1</v>
      </c>
      <c r="C53" s="180" t="str">
        <f>C49</f>
        <v/>
      </c>
      <c r="D53" s="7" t="s">
        <v>143</v>
      </c>
      <c r="E53" s="240"/>
      <c r="F53" s="241"/>
      <c r="G53" s="242"/>
      <c r="J53" s="6">
        <f t="shared" ref="J53:J58" si="5">IF($C53="*",IF($A53="Hide",0,$J$7),0)</f>
        <v>0</v>
      </c>
      <c r="K53" s="129">
        <f>IF(B53=1,0,1)</f>
        <v>0</v>
      </c>
      <c r="L53" s="127">
        <f>IF(A53="Hide",1,IF($J$7=1,B53,1))</f>
        <v>1</v>
      </c>
      <c r="M53" s="52" t="str">
        <f>formData!B440</f>
        <v>COUNTRIES_OF_RESIDENCE_ALL_APPLICANTS_COUNTRY4</v>
      </c>
      <c r="N53" s="6">
        <f t="shared" si="0"/>
        <v>0</v>
      </c>
      <c r="O53" s="6">
        <f t="shared" si="1"/>
        <v>0</v>
      </c>
    </row>
    <row r="54" spans="1:15" s="6" customFormat="1" ht="20.100000000000001" customHeight="1">
      <c r="A54" s="106"/>
      <c r="B54" s="105"/>
      <c r="C54" s="180" t="str">
        <f>C53</f>
        <v/>
      </c>
      <c r="D54" s="7" t="s">
        <v>144</v>
      </c>
      <c r="E54" s="198"/>
      <c r="F54" s="199"/>
      <c r="G54" s="200"/>
      <c r="J54" s="6">
        <f t="shared" si="5"/>
        <v>0</v>
      </c>
      <c r="K54" s="130">
        <f>IF(LEN(E54)=0,0,1)</f>
        <v>0</v>
      </c>
      <c r="L54" s="126">
        <f>IF(A54="Hide",0,IF($J$7=1,E54,0))</f>
        <v>0</v>
      </c>
      <c r="M54" s="52" t="str">
        <f>formData!B441</f>
        <v>COUNTRIES_OF_RESIDENCE_ALL_APPLICANTS_ADDRESS4</v>
      </c>
      <c r="N54" s="6">
        <f t="shared" si="0"/>
        <v>0</v>
      </c>
      <c r="O54" s="6">
        <f t="shared" si="1"/>
        <v>0</v>
      </c>
    </row>
    <row r="55" spans="1:15" s="6" customFormat="1" ht="20.100000000000001" customHeight="1">
      <c r="A55" s="106"/>
      <c r="B55" s="105"/>
      <c r="C55" s="180"/>
      <c r="D55" s="26" t="s">
        <v>145</v>
      </c>
      <c r="E55" s="198"/>
      <c r="F55" s="199"/>
      <c r="G55" s="200"/>
      <c r="J55" s="6">
        <f t="shared" si="5"/>
        <v>0</v>
      </c>
      <c r="K55" s="130">
        <f>IF(LEN(E55)=0,0,1)</f>
        <v>0</v>
      </c>
      <c r="L55" s="126">
        <f>IF(A55="Hide",0,IF($J$7=1,E55,0))</f>
        <v>0</v>
      </c>
      <c r="M55" s="52" t="str">
        <f>formData!B442</f>
        <v>COUNTRIES_OF_RESIDENCE_ALL_APPLICANTS_ADDRESS42</v>
      </c>
      <c r="N55" s="6">
        <f t="shared" si="0"/>
        <v>0</v>
      </c>
      <c r="O55" s="6">
        <f t="shared" si="1"/>
        <v>0</v>
      </c>
    </row>
    <row r="56" spans="1:15" s="6" customFormat="1" ht="20.100000000000001" customHeight="1">
      <c r="A56" s="106"/>
      <c r="B56" s="105"/>
      <c r="C56" s="180" t="str">
        <f>C54</f>
        <v/>
      </c>
      <c r="D56" s="7" t="s">
        <v>146</v>
      </c>
      <c r="E56" s="198"/>
      <c r="F56" s="199"/>
      <c r="G56" s="200"/>
      <c r="J56" s="6">
        <f t="shared" si="5"/>
        <v>0</v>
      </c>
      <c r="K56" s="130">
        <f>IF(LEN(E56)=0,0,1)</f>
        <v>0</v>
      </c>
      <c r="L56" s="126">
        <f>IF(A56="Hide",0,IF($J$7=1,E56,0))</f>
        <v>0</v>
      </c>
      <c r="M56" s="52" t="str">
        <f>formData!B443</f>
        <v>COUNTRIES_OF_RESIDENCE_ALL_APPLICANTS_SUBURB_TOWN4</v>
      </c>
      <c r="N56" s="6">
        <f t="shared" si="0"/>
        <v>0</v>
      </c>
      <c r="O56" s="6">
        <f t="shared" si="1"/>
        <v>0</v>
      </c>
    </row>
    <row r="57" spans="1:15" s="6" customFormat="1" ht="20.100000000000001" customHeight="1">
      <c r="A57" s="106"/>
      <c r="B57" s="105"/>
      <c r="C57" s="180" t="str">
        <f>C56</f>
        <v/>
      </c>
      <c r="D57" s="7" t="s">
        <v>147</v>
      </c>
      <c r="E57" s="198"/>
      <c r="F57" s="199"/>
      <c r="G57" s="200"/>
      <c r="J57" s="6">
        <f t="shared" si="5"/>
        <v>0</v>
      </c>
      <c r="K57" s="130">
        <f>IF(LEN(E57)=0,0,1)</f>
        <v>0</v>
      </c>
      <c r="L57" s="126">
        <f>IF(A57="Hide",0,IF($J$7=1,E57,0))</f>
        <v>0</v>
      </c>
      <c r="M57" s="52" t="str">
        <f>formData!B444</f>
        <v>COUNTRIES_OF_RESIDENCE_ALL_APPLICANTS_STATE_PROVINCE4</v>
      </c>
      <c r="N57" s="6">
        <f t="shared" si="0"/>
        <v>0</v>
      </c>
      <c r="O57" s="6">
        <f t="shared" si="1"/>
        <v>0</v>
      </c>
    </row>
    <row r="58" spans="1:15" s="6" customFormat="1" ht="20.100000000000001" customHeight="1">
      <c r="A58" s="106"/>
      <c r="B58" s="105"/>
      <c r="C58" s="180" t="str">
        <f>C57</f>
        <v/>
      </c>
      <c r="D58" s="7" t="s">
        <v>148</v>
      </c>
      <c r="E58" s="198"/>
      <c r="F58" s="199"/>
      <c r="G58" s="200"/>
      <c r="J58" s="6">
        <f t="shared" si="5"/>
        <v>0</v>
      </c>
      <c r="K58" s="130">
        <f>IF(LEN(E58)=0,0,1)</f>
        <v>0</v>
      </c>
      <c r="L58" s="126">
        <f>IF(A58="Hide",0,IF($J$7=1,E58,0))</f>
        <v>0</v>
      </c>
      <c r="M58" s="52" t="str">
        <f>formData!B445</f>
        <v>COUNTRIES_OF_RESIDENCE_ALL_APPLICANTS_POSTAL_CODE4</v>
      </c>
      <c r="N58" s="6">
        <f t="shared" si="0"/>
        <v>0</v>
      </c>
      <c r="O58" s="6">
        <f t="shared" si="1"/>
        <v>0</v>
      </c>
    </row>
    <row r="59" spans="1:15" ht="20.100000000000001" customHeight="1">
      <c r="A59" s="106"/>
      <c r="B59" s="104"/>
      <c r="C59" s="180"/>
      <c r="M59" s="52"/>
      <c r="N59" s="6">
        <f t="shared" si="0"/>
        <v>0</v>
      </c>
      <c r="O59" s="6">
        <f t="shared" si="1"/>
        <v>0</v>
      </c>
    </row>
    <row r="60" spans="1:15" ht="24.95" customHeight="1">
      <c r="A60" s="106"/>
      <c r="B60" s="104"/>
      <c r="C60" s="180"/>
      <c r="D60" s="256" t="s">
        <v>101</v>
      </c>
      <c r="E60" s="254"/>
      <c r="F60" s="254"/>
      <c r="G60" s="255"/>
      <c r="M60" s="52"/>
      <c r="N60" s="6">
        <f t="shared" si="0"/>
        <v>0</v>
      </c>
      <c r="O60" s="6">
        <f t="shared" si="1"/>
        <v>0</v>
      </c>
    </row>
    <row r="61" spans="1:15" s="6" customFormat="1" ht="20.100000000000001" customHeight="1">
      <c r="A61" s="106"/>
      <c r="B61" s="105">
        <v>1</v>
      </c>
      <c r="C61" s="179" t="str">
        <f>IF(B61&gt;1,"*","")</f>
        <v/>
      </c>
      <c r="D61" s="7" t="s">
        <v>153</v>
      </c>
      <c r="E61" s="198">
        <v>7</v>
      </c>
      <c r="F61" s="199"/>
      <c r="G61" s="200"/>
      <c r="J61" s="6">
        <f>IF($C61="*",IF($A61="Hide",0,$J$7),0)</f>
        <v>0</v>
      </c>
      <c r="K61" s="129">
        <f>IF(B61=1,0,1)</f>
        <v>0</v>
      </c>
      <c r="L61" s="127">
        <f>IF(A61="Hide",1,IF($J$7=1,B61,1))</f>
        <v>1</v>
      </c>
      <c r="M61" s="52" t="str">
        <f>formData!B446</f>
        <v>COUNTRIES_OF_RESIDENCE_ALL_APPLICANTS_NAME5</v>
      </c>
      <c r="N61" s="6">
        <f t="shared" si="0"/>
        <v>0</v>
      </c>
      <c r="O61" s="6">
        <f t="shared" si="1"/>
        <v>0</v>
      </c>
    </row>
    <row r="62" spans="1:15" s="6" customFormat="1" ht="20.100000000000001" customHeight="1">
      <c r="A62" s="106"/>
      <c r="B62" s="105"/>
      <c r="C62" s="179" t="str">
        <f>C61</f>
        <v/>
      </c>
      <c r="D62" s="31" t="s">
        <v>1978</v>
      </c>
      <c r="E62" s="219"/>
      <c r="F62" s="220"/>
      <c r="G62" s="221"/>
      <c r="J62" s="6">
        <f>IF($C62="*",IF($A62="Hide",0,$J$7),0)</f>
        <v>0</v>
      </c>
      <c r="K62" s="130">
        <f>IF(LEN(E62)=0,0,1)</f>
        <v>0</v>
      </c>
      <c r="L62" s="126">
        <f>IF(A62="Hide",0,IF($J$7=1,E62,0))</f>
        <v>0</v>
      </c>
      <c r="M62" s="52" t="str">
        <f>formData!B447</f>
        <v>COUNTRIES_OF_RESIDENCE_ALL_APPLICANTS_DATE_FROM5</v>
      </c>
      <c r="N62" s="6">
        <f t="shared" si="0"/>
        <v>0</v>
      </c>
      <c r="O62" s="6">
        <f t="shared" si="1"/>
        <v>0</v>
      </c>
    </row>
    <row r="63" spans="1:15" s="6" customFormat="1" ht="45.75" customHeight="1">
      <c r="A63" s="106"/>
      <c r="B63" s="105"/>
      <c r="C63" s="179"/>
      <c r="D63" s="31" t="s">
        <v>1979</v>
      </c>
      <c r="E63" s="219"/>
      <c r="F63" s="220"/>
      <c r="G63" s="221"/>
      <c r="J63" s="6">
        <f>IF($C63="*",IF($A63="Hide",0,$J$7),0)</f>
        <v>0</v>
      </c>
      <c r="K63" s="130">
        <f>IF(LEN(E63)=0,0,1)</f>
        <v>0</v>
      </c>
      <c r="L63" s="126">
        <f>IF(A63="Hide",0,IF($J$7=1,E63,0))</f>
        <v>0</v>
      </c>
      <c r="M63" s="52" t="str">
        <f>formData!B448</f>
        <v>COUNTRIES_OF_RESIDENCE_ALL_APPLICANTS_DATE_TO5</v>
      </c>
      <c r="N63" s="6">
        <f t="shared" si="0"/>
        <v>0</v>
      </c>
      <c r="O63" s="6">
        <f t="shared" si="1"/>
        <v>0</v>
      </c>
    </row>
    <row r="64" spans="1:15" s="6" customFormat="1" ht="20.100000000000001" customHeight="1">
      <c r="A64" s="106"/>
      <c r="B64" s="105"/>
      <c r="C64" s="179"/>
      <c r="D64" s="9"/>
      <c r="E64" s="56"/>
      <c r="M64" s="52"/>
      <c r="N64" s="6">
        <f t="shared" si="0"/>
        <v>0</v>
      </c>
      <c r="O64" s="6">
        <f t="shared" si="1"/>
        <v>0</v>
      </c>
    </row>
    <row r="65" spans="1:15" ht="24.95" customHeight="1">
      <c r="A65" s="106"/>
      <c r="B65" s="104"/>
      <c r="C65" s="180"/>
      <c r="D65" s="256" t="s">
        <v>92</v>
      </c>
      <c r="E65" s="254"/>
      <c r="F65" s="254"/>
      <c r="G65" s="255"/>
      <c r="M65" s="52"/>
      <c r="N65" s="6">
        <f t="shared" si="0"/>
        <v>0</v>
      </c>
      <c r="O65" s="6">
        <f t="shared" si="1"/>
        <v>0</v>
      </c>
    </row>
    <row r="66" spans="1:15" s="6" customFormat="1" ht="20.100000000000001" customHeight="1">
      <c r="A66" s="106"/>
      <c r="B66" s="105">
        <v>1</v>
      </c>
      <c r="C66" s="180" t="str">
        <f>C62</f>
        <v/>
      </c>
      <c r="D66" s="7" t="s">
        <v>143</v>
      </c>
      <c r="E66" s="240"/>
      <c r="F66" s="241"/>
      <c r="G66" s="242"/>
      <c r="J66" s="6">
        <f t="shared" ref="J66:J71" si="6">IF($C66="*",IF($A66="Hide",0,$J$7),0)</f>
        <v>0</v>
      </c>
      <c r="K66" s="129">
        <f>IF(B66=1,0,1)</f>
        <v>0</v>
      </c>
      <c r="L66" s="127">
        <f>IF(A66="Hide",1,IF($J$7=1,B66,1))</f>
        <v>1</v>
      </c>
      <c r="M66" s="52" t="str">
        <f>formData!B449</f>
        <v>COUNTRIES_OF_RESIDENCE_ALL_APPLICANTS_COUNTRY5</v>
      </c>
      <c r="N66" s="6">
        <f t="shared" si="0"/>
        <v>0</v>
      </c>
      <c r="O66" s="6">
        <f t="shared" si="1"/>
        <v>0</v>
      </c>
    </row>
    <row r="67" spans="1:15" s="6" customFormat="1" ht="20.100000000000001" customHeight="1">
      <c r="A67" s="106"/>
      <c r="B67" s="105"/>
      <c r="C67" s="180" t="str">
        <f>C66</f>
        <v/>
      </c>
      <c r="D67" s="7" t="s">
        <v>144</v>
      </c>
      <c r="E67" s="198"/>
      <c r="F67" s="199"/>
      <c r="G67" s="200"/>
      <c r="J67" s="6">
        <f t="shared" si="6"/>
        <v>0</v>
      </c>
      <c r="K67" s="130">
        <f>IF(LEN(E67)=0,0,1)</f>
        <v>0</v>
      </c>
      <c r="L67" s="126">
        <f>IF(A67="Hide",0,IF($J$7=1,E67,0))</f>
        <v>0</v>
      </c>
      <c r="M67" s="52" t="str">
        <f>formData!B450</f>
        <v>COUNTRIES_OF_RESIDENCE_ALL_APPLICANTS_ADDRESS5</v>
      </c>
      <c r="N67" s="6">
        <f t="shared" si="0"/>
        <v>0</v>
      </c>
      <c r="O67" s="6">
        <f t="shared" si="1"/>
        <v>0</v>
      </c>
    </row>
    <row r="68" spans="1:15" s="6" customFormat="1" ht="20.100000000000001" customHeight="1">
      <c r="A68" s="106"/>
      <c r="B68" s="105"/>
      <c r="C68" s="180"/>
      <c r="D68" s="26" t="s">
        <v>145</v>
      </c>
      <c r="E68" s="198"/>
      <c r="F68" s="199"/>
      <c r="G68" s="200"/>
      <c r="J68" s="6">
        <f t="shared" si="6"/>
        <v>0</v>
      </c>
      <c r="K68" s="130">
        <f>IF(LEN(E68)=0,0,1)</f>
        <v>0</v>
      </c>
      <c r="L68" s="126">
        <f>IF(A68="Hide",0,IF($J$7=1,E68,0))</f>
        <v>0</v>
      </c>
      <c r="M68" s="52" t="str">
        <f>formData!B451</f>
        <v>COUNTRIES_OF_RESIDENCE_ALL_APPLICANTS_ADDRESS52</v>
      </c>
      <c r="N68" s="6">
        <f t="shared" si="0"/>
        <v>0</v>
      </c>
      <c r="O68" s="6">
        <f t="shared" si="1"/>
        <v>0</v>
      </c>
    </row>
    <row r="69" spans="1:15" s="6" customFormat="1" ht="20.100000000000001" customHeight="1">
      <c r="A69" s="106"/>
      <c r="B69" s="105"/>
      <c r="C69" s="180" t="str">
        <f>C67</f>
        <v/>
      </c>
      <c r="D69" s="7" t="s">
        <v>146</v>
      </c>
      <c r="E69" s="198"/>
      <c r="F69" s="199"/>
      <c r="G69" s="200"/>
      <c r="J69" s="6">
        <f t="shared" si="6"/>
        <v>0</v>
      </c>
      <c r="K69" s="130">
        <f>IF(LEN(E69)=0,0,1)</f>
        <v>0</v>
      </c>
      <c r="L69" s="126">
        <f>IF(A69="Hide",0,IF($J$7=1,E69,0))</f>
        <v>0</v>
      </c>
      <c r="M69" s="52" t="str">
        <f>formData!B452</f>
        <v>COUNTRIES_OF_RESIDENCE_ALL_APPLICANTS_SUBURB_TOWN5</v>
      </c>
      <c r="N69" s="6">
        <f t="shared" si="0"/>
        <v>0</v>
      </c>
      <c r="O69" s="6">
        <f t="shared" si="1"/>
        <v>0</v>
      </c>
    </row>
    <row r="70" spans="1:15" s="6" customFormat="1" ht="20.100000000000001" customHeight="1">
      <c r="A70" s="106"/>
      <c r="B70" s="105"/>
      <c r="C70" s="180" t="str">
        <f>C69</f>
        <v/>
      </c>
      <c r="D70" s="7" t="s">
        <v>147</v>
      </c>
      <c r="E70" s="198"/>
      <c r="F70" s="199"/>
      <c r="G70" s="200"/>
      <c r="J70" s="6">
        <f t="shared" si="6"/>
        <v>0</v>
      </c>
      <c r="K70" s="130">
        <f>IF(LEN(E70)=0,0,1)</f>
        <v>0</v>
      </c>
      <c r="L70" s="126">
        <f>IF(A70="Hide",0,IF($J$7=1,E70,0))</f>
        <v>0</v>
      </c>
      <c r="M70" s="52" t="str">
        <f>formData!B453</f>
        <v>COUNTRIES_OF_RESIDENCE_ALL_APPLICANTS_STATE_PROVINCE5</v>
      </c>
      <c r="N70" s="6">
        <f t="shared" si="0"/>
        <v>0</v>
      </c>
      <c r="O70" s="6">
        <f t="shared" si="1"/>
        <v>0</v>
      </c>
    </row>
    <row r="71" spans="1:15" s="6" customFormat="1" ht="20.100000000000001" customHeight="1">
      <c r="A71" s="106"/>
      <c r="B71" s="105"/>
      <c r="C71" s="180" t="str">
        <f>C70</f>
        <v/>
      </c>
      <c r="D71" s="7" t="s">
        <v>148</v>
      </c>
      <c r="E71" s="198"/>
      <c r="F71" s="199"/>
      <c r="G71" s="200"/>
      <c r="J71" s="6">
        <f t="shared" si="6"/>
        <v>0</v>
      </c>
      <c r="K71" s="130">
        <f>IF(LEN(E71)=0,0,1)</f>
        <v>0</v>
      </c>
      <c r="L71" s="126">
        <f>IF(A71="Hide",0,IF($J$7=1,E71,0))</f>
        <v>0</v>
      </c>
      <c r="M71" s="52" t="str">
        <f>formData!B454</f>
        <v>COUNTRIES_OF_RESIDENCE_ALL_APPLICANTS_POSTAL_CODE5</v>
      </c>
      <c r="N71" s="6">
        <f t="shared" si="0"/>
        <v>0</v>
      </c>
      <c r="O71" s="6">
        <f t="shared" si="1"/>
        <v>0</v>
      </c>
    </row>
    <row r="72" spans="1:15" ht="20.100000000000001" customHeight="1">
      <c r="A72" s="106"/>
      <c r="B72" s="104"/>
      <c r="C72" s="180"/>
      <c r="M72" s="52"/>
      <c r="N72" s="6">
        <f t="shared" si="0"/>
        <v>0</v>
      </c>
      <c r="O72" s="6">
        <f t="shared" si="1"/>
        <v>0</v>
      </c>
    </row>
    <row r="73" spans="1:15" s="6" customFormat="1" ht="24.95" customHeight="1">
      <c r="A73" s="106"/>
      <c r="B73" s="105"/>
      <c r="C73" s="180"/>
      <c r="D73" s="256" t="s">
        <v>102</v>
      </c>
      <c r="E73" s="254"/>
      <c r="F73" s="254"/>
      <c r="G73" s="255"/>
      <c r="M73" s="52"/>
      <c r="N73" s="6">
        <f t="shared" ref="N73:N84" si="7">IF(J73=1,1,0)</f>
        <v>0</v>
      </c>
      <c r="O73" s="6">
        <f t="shared" ref="O73:O84" si="8">+J73*K73</f>
        <v>0</v>
      </c>
    </row>
    <row r="74" spans="1:15" s="6" customFormat="1" ht="20.100000000000001" customHeight="1">
      <c r="A74" s="106"/>
      <c r="B74" s="105">
        <v>1</v>
      </c>
      <c r="C74" s="179" t="str">
        <f>IF(B74&gt;1,"*","")</f>
        <v/>
      </c>
      <c r="D74" s="7" t="s">
        <v>153</v>
      </c>
      <c r="E74" s="198">
        <v>1</v>
      </c>
      <c r="F74" s="199"/>
      <c r="G74" s="200"/>
      <c r="J74" s="6">
        <f>IF($C74="*",IF($A74="Hide",0,$J$7),0)</f>
        <v>0</v>
      </c>
      <c r="K74" s="129">
        <f>IF(B74=1,0,1)</f>
        <v>0</v>
      </c>
      <c r="L74" s="127">
        <f>IF(A74="Hide",1,IF($J$7=1,B74,1))</f>
        <v>1</v>
      </c>
      <c r="M74" s="52" t="str">
        <f>formData!B455</f>
        <v>COUNTRIES_OF_RESIDENCE_ALL_APPLICANTS_NAME6</v>
      </c>
      <c r="N74" s="6">
        <f t="shared" si="7"/>
        <v>0</v>
      </c>
      <c r="O74" s="6">
        <f t="shared" si="8"/>
        <v>0</v>
      </c>
    </row>
    <row r="75" spans="1:15" s="6" customFormat="1" ht="20.100000000000001" customHeight="1">
      <c r="A75" s="106"/>
      <c r="B75" s="105"/>
      <c r="C75" s="179" t="str">
        <f>C74</f>
        <v/>
      </c>
      <c r="D75" s="31" t="s">
        <v>1978</v>
      </c>
      <c r="E75" s="219"/>
      <c r="F75" s="220"/>
      <c r="G75" s="221"/>
      <c r="J75" s="6">
        <f>IF($C75="*",IF($A75="Hide",0,$J$7),0)</f>
        <v>0</v>
      </c>
      <c r="K75" s="130">
        <f>IF(LEN(E75)=0,0,1)</f>
        <v>0</v>
      </c>
      <c r="L75" s="126">
        <f>IF(A75="Hide",0,IF($J$7=1,E75,0))</f>
        <v>0</v>
      </c>
      <c r="M75" s="52" t="str">
        <f>formData!B456</f>
        <v>COUNTRIES_OF_RESIDENCE_ALL_APPLICANTS_DATE_FROM6</v>
      </c>
      <c r="N75" s="6">
        <f t="shared" si="7"/>
        <v>0</v>
      </c>
      <c r="O75" s="6">
        <f t="shared" si="8"/>
        <v>0</v>
      </c>
    </row>
    <row r="76" spans="1:15" s="6" customFormat="1" ht="44.25" customHeight="1">
      <c r="A76" s="106"/>
      <c r="B76" s="105"/>
      <c r="C76" s="179"/>
      <c r="D76" s="31" t="s">
        <v>1979</v>
      </c>
      <c r="E76" s="219"/>
      <c r="F76" s="220"/>
      <c r="G76" s="221"/>
      <c r="J76" s="6">
        <f>IF($C76="*",IF($A76="Hide",0,$J$7),0)</f>
        <v>0</v>
      </c>
      <c r="K76" s="130">
        <f>IF(LEN(E76)=0,0,1)</f>
        <v>0</v>
      </c>
      <c r="L76" s="126">
        <f>IF(A76="Hide",0,IF($J$7=1,E76,0))</f>
        <v>0</v>
      </c>
      <c r="M76" s="52" t="str">
        <f>formData!B457</f>
        <v>COUNTRIES_OF_RESIDENCE_ALL_APPLICANTS_DATE_TO6</v>
      </c>
      <c r="N76" s="6">
        <f t="shared" si="7"/>
        <v>0</v>
      </c>
      <c r="O76" s="6">
        <f t="shared" si="8"/>
        <v>0</v>
      </c>
    </row>
    <row r="77" spans="1:15" s="6" customFormat="1" ht="20.100000000000001" customHeight="1">
      <c r="A77" s="106"/>
      <c r="B77" s="105"/>
      <c r="C77" s="179"/>
      <c r="D77" s="9"/>
      <c r="E77" s="56"/>
      <c r="M77" s="52"/>
      <c r="N77" s="6">
        <f t="shared" si="7"/>
        <v>0</v>
      </c>
      <c r="O77" s="6">
        <f t="shared" si="8"/>
        <v>0</v>
      </c>
    </row>
    <row r="78" spans="1:15" ht="24.95" customHeight="1">
      <c r="A78" s="106"/>
      <c r="B78" s="104"/>
      <c r="C78" s="180"/>
      <c r="D78" s="256" t="s">
        <v>92</v>
      </c>
      <c r="E78" s="254"/>
      <c r="F78" s="254"/>
      <c r="G78" s="255"/>
      <c r="M78" s="52"/>
      <c r="N78" s="6">
        <f t="shared" si="7"/>
        <v>0</v>
      </c>
      <c r="O78" s="6">
        <f t="shared" si="8"/>
        <v>0</v>
      </c>
    </row>
    <row r="79" spans="1:15" s="6" customFormat="1" ht="20.100000000000001" customHeight="1">
      <c r="A79" s="106"/>
      <c r="B79" s="105">
        <v>1</v>
      </c>
      <c r="C79" s="180" t="str">
        <f>C75</f>
        <v/>
      </c>
      <c r="D79" s="7" t="s">
        <v>143</v>
      </c>
      <c r="E79" s="240"/>
      <c r="F79" s="241"/>
      <c r="G79" s="242"/>
      <c r="J79" s="6">
        <f t="shared" ref="J79:J84" si="9">IF($C79="*",IF($A79="Hide",0,$J$7),0)</f>
        <v>0</v>
      </c>
      <c r="K79" s="129">
        <f>IF(B79=1,0,1)</f>
        <v>0</v>
      </c>
      <c r="L79" s="127">
        <f>IF(A79="Hide",1,IF($J$7=1,B79,1))</f>
        <v>1</v>
      </c>
      <c r="M79" s="52" t="str">
        <f>formData!B458</f>
        <v>COUNTRIES_OF_RESIDENCE_ALL_APPLICANTS_COUNTRY6</v>
      </c>
      <c r="N79" s="6">
        <f t="shared" si="7"/>
        <v>0</v>
      </c>
      <c r="O79" s="6">
        <f t="shared" si="8"/>
        <v>0</v>
      </c>
    </row>
    <row r="80" spans="1:15" s="6" customFormat="1" ht="20.100000000000001" customHeight="1">
      <c r="A80" s="106"/>
      <c r="B80" s="105"/>
      <c r="C80" s="180" t="str">
        <f>C79</f>
        <v/>
      </c>
      <c r="D80" s="7" t="s">
        <v>144</v>
      </c>
      <c r="E80" s="198"/>
      <c r="F80" s="199"/>
      <c r="G80" s="200"/>
      <c r="J80" s="6">
        <f t="shared" si="9"/>
        <v>0</v>
      </c>
      <c r="K80" s="130">
        <f>IF(LEN(E80)=0,0,1)</f>
        <v>0</v>
      </c>
      <c r="L80" s="126">
        <f>IF(A80="Hide",0,IF($J$7=1,E80,0))</f>
        <v>0</v>
      </c>
      <c r="M80" s="52" t="str">
        <f>formData!B459</f>
        <v>COUNTRIES_OF_RESIDENCE_ALL_APPLICANTS_ADDRESS6</v>
      </c>
      <c r="N80" s="6">
        <f t="shared" si="7"/>
        <v>0</v>
      </c>
      <c r="O80" s="6">
        <f t="shared" si="8"/>
        <v>0</v>
      </c>
    </row>
    <row r="81" spans="1:15" s="6" customFormat="1" ht="20.100000000000001" customHeight="1">
      <c r="A81" s="106"/>
      <c r="B81" s="105"/>
      <c r="C81" s="180"/>
      <c r="D81" s="26" t="s">
        <v>145</v>
      </c>
      <c r="E81" s="198"/>
      <c r="F81" s="199"/>
      <c r="G81" s="200"/>
      <c r="J81" s="6">
        <f t="shared" si="9"/>
        <v>0</v>
      </c>
      <c r="K81" s="130">
        <f>IF(LEN(E81)=0,0,1)</f>
        <v>0</v>
      </c>
      <c r="L81" s="126">
        <f>IF(A81="Hide",0,IF($J$7=1,E81,0))</f>
        <v>0</v>
      </c>
      <c r="M81" s="52" t="str">
        <f>formData!B460</f>
        <v>COUNTRIES_OF_RESIDENCE_ALL_APPLICANTS_ADDRESS62</v>
      </c>
      <c r="N81" s="6">
        <f t="shared" si="7"/>
        <v>0</v>
      </c>
      <c r="O81" s="6">
        <f t="shared" si="8"/>
        <v>0</v>
      </c>
    </row>
    <row r="82" spans="1:15" s="6" customFormat="1" ht="20.100000000000001" customHeight="1">
      <c r="A82" s="106"/>
      <c r="B82" s="105"/>
      <c r="C82" s="180" t="str">
        <f>C80</f>
        <v/>
      </c>
      <c r="D82" s="7" t="s">
        <v>146</v>
      </c>
      <c r="E82" s="198"/>
      <c r="F82" s="199"/>
      <c r="G82" s="200"/>
      <c r="J82" s="6">
        <f t="shared" si="9"/>
        <v>0</v>
      </c>
      <c r="K82" s="130">
        <f>IF(LEN(E82)=0,0,1)</f>
        <v>0</v>
      </c>
      <c r="L82" s="126">
        <f>IF(A82="Hide",0,IF($J$7=1,E82,0))</f>
        <v>0</v>
      </c>
      <c r="M82" s="52" t="str">
        <f>formData!B461</f>
        <v>COUNTRIES_OF_RESIDENCE_ALL_APPLICANTS_SUBURB_TOWN6</v>
      </c>
      <c r="N82" s="6">
        <f t="shared" si="7"/>
        <v>0</v>
      </c>
      <c r="O82" s="6">
        <f t="shared" si="8"/>
        <v>0</v>
      </c>
    </row>
    <row r="83" spans="1:15" s="6" customFormat="1" ht="20.100000000000001" customHeight="1">
      <c r="A83" s="106"/>
      <c r="B83" s="105"/>
      <c r="C83" s="180" t="str">
        <f>C82</f>
        <v/>
      </c>
      <c r="D83" s="7" t="s">
        <v>147</v>
      </c>
      <c r="E83" s="198"/>
      <c r="F83" s="199"/>
      <c r="G83" s="200"/>
      <c r="J83" s="6">
        <f t="shared" si="9"/>
        <v>0</v>
      </c>
      <c r="K83" s="130">
        <f>IF(LEN(E83)=0,0,1)</f>
        <v>0</v>
      </c>
      <c r="L83" s="126">
        <f>IF(A83="Hide",0,IF($J$7=1,E83,0))</f>
        <v>0</v>
      </c>
      <c r="M83" s="52" t="str">
        <f>formData!B462</f>
        <v>COUNTRIES_OF_RESIDENCE_ALL_APPLICANTS_STATE_PROVINCE6</v>
      </c>
      <c r="N83" s="6">
        <f t="shared" si="7"/>
        <v>0</v>
      </c>
      <c r="O83" s="6">
        <f t="shared" si="8"/>
        <v>0</v>
      </c>
    </row>
    <row r="84" spans="1:15" s="6" customFormat="1" ht="20.100000000000001" customHeight="1">
      <c r="A84" s="106"/>
      <c r="B84" s="105"/>
      <c r="C84" s="180" t="str">
        <f>C83</f>
        <v/>
      </c>
      <c r="D84" s="7" t="s">
        <v>148</v>
      </c>
      <c r="E84" s="198"/>
      <c r="F84" s="199"/>
      <c r="G84" s="200"/>
      <c r="J84" s="6">
        <f t="shared" si="9"/>
        <v>0</v>
      </c>
      <c r="K84" s="130">
        <f>IF(LEN(E84)=0,0,1)</f>
        <v>0</v>
      </c>
      <c r="L84" s="126">
        <f>IF(A84="Hide",0,IF($J$7=1,E84,0))</f>
        <v>0</v>
      </c>
      <c r="M84" s="52" t="str">
        <f>formData!B463</f>
        <v>COUNTRIES_OF_RESIDENCE_ALL_APPLICANTS_POSTAL_CODE6</v>
      </c>
      <c r="N84" s="6">
        <f t="shared" si="7"/>
        <v>0</v>
      </c>
      <c r="O84" s="6">
        <f t="shared" si="8"/>
        <v>0</v>
      </c>
    </row>
    <row r="85" spans="1:15">
      <c r="B85" s="104"/>
    </row>
    <row r="86" spans="1:15">
      <c r="B86" s="104"/>
    </row>
    <row r="106" spans="13:13">
      <c r="M106" s="6"/>
    </row>
    <row r="107" spans="13:13">
      <c r="M107" s="6"/>
    </row>
    <row r="108" spans="13:13">
      <c r="M108" s="6"/>
    </row>
  </sheetData>
  <sheetProtection algorithmName="SHA-512" hashValue="7lnfvFtiBd2MbMABMgLTOFaoiB6rZXnxbf0xhKKRslYDrznASC7pMLvvNeZHvcgkSuoTTTWhuQsUU2r3x1ftyg==" saltValue="hDw0NdQDWgb/WeHkwwqpEg==" spinCount="100000" sheet="1" objects="1" scenarios="1"/>
  <mergeCells count="69">
    <mergeCell ref="E40:G40"/>
    <mergeCell ref="E14:G14"/>
    <mergeCell ref="D6:G6"/>
    <mergeCell ref="D2:G2"/>
    <mergeCell ref="D4:G4"/>
    <mergeCell ref="D8:G8"/>
    <mergeCell ref="D13:G13"/>
    <mergeCell ref="D21:G21"/>
    <mergeCell ref="D26:G26"/>
    <mergeCell ref="E27:G27"/>
    <mergeCell ref="D34:G34"/>
    <mergeCell ref="D39:G39"/>
    <mergeCell ref="E11:G11"/>
    <mergeCell ref="E10:G10"/>
    <mergeCell ref="E9:G9"/>
    <mergeCell ref="E15:G15"/>
    <mergeCell ref="D47:G47"/>
    <mergeCell ref="D52:G52"/>
    <mergeCell ref="E53:G53"/>
    <mergeCell ref="D60:G60"/>
    <mergeCell ref="D65:G65"/>
    <mergeCell ref="E48:G48"/>
    <mergeCell ref="E49:G49"/>
    <mergeCell ref="E50:G50"/>
    <mergeCell ref="E54:G54"/>
    <mergeCell ref="E55:G55"/>
    <mergeCell ref="E56:G56"/>
    <mergeCell ref="E57:G57"/>
    <mergeCell ref="E58:G58"/>
    <mergeCell ref="E61:G61"/>
    <mergeCell ref="E62:G62"/>
    <mergeCell ref="E63:G63"/>
    <mergeCell ref="E16:G16"/>
    <mergeCell ref="E17:G17"/>
    <mergeCell ref="E18:G18"/>
    <mergeCell ref="E19:G19"/>
    <mergeCell ref="E22:G22"/>
    <mergeCell ref="E23:G23"/>
    <mergeCell ref="E24:G24"/>
    <mergeCell ref="E28:G28"/>
    <mergeCell ref="E29:G29"/>
    <mergeCell ref="E30:G30"/>
    <mergeCell ref="E31:G31"/>
    <mergeCell ref="E32:G32"/>
    <mergeCell ref="E35:G35"/>
    <mergeCell ref="E36:G36"/>
    <mergeCell ref="E37:G37"/>
    <mergeCell ref="E41:G41"/>
    <mergeCell ref="E42:G42"/>
    <mergeCell ref="E43:G43"/>
    <mergeCell ref="E44:G44"/>
    <mergeCell ref="E45:G45"/>
    <mergeCell ref="E67:G67"/>
    <mergeCell ref="E66:G66"/>
    <mergeCell ref="E68:G68"/>
    <mergeCell ref="E69:G69"/>
    <mergeCell ref="E70:G70"/>
    <mergeCell ref="E71:G71"/>
    <mergeCell ref="E74:G74"/>
    <mergeCell ref="D73:G73"/>
    <mergeCell ref="E83:G83"/>
    <mergeCell ref="E84:G84"/>
    <mergeCell ref="E75:G75"/>
    <mergeCell ref="E76:G76"/>
    <mergeCell ref="E80:G80"/>
    <mergeCell ref="E81:G81"/>
    <mergeCell ref="E82:G82"/>
    <mergeCell ref="D78:G78"/>
    <mergeCell ref="E79:G79"/>
  </mergeCells>
  <dataValidations count="1">
    <dataValidation type="date" allowBlank="1" showInputMessage="1" showErrorMessage="1" errorTitle="Date" error="Please enter a valid date" sqref="E10:G11 E23:G24 E36:G37 E49:G50 E62:G63 E75:G76" xr:uid="{00000000-0002-0000-0E00-000000000000}">
      <formula1>1</formula1>
      <formula2>54789</formula2>
    </dataValidation>
  </dataValidations>
  <hyperlinks>
    <hyperlink ref="G3" location="countryOfResidenceAllApplicants!G3" display="SAVE" xr:uid="{00000000-0004-0000-0E00-000000000000}"/>
    <hyperlink ref="D3" location="index!C1" display="INDEX" xr:uid="{00000000-0004-0000-0E00-000001000000}"/>
  </hyperlinks>
  <pageMargins left="0.7" right="0.7" top="0.75" bottom="0.75" header="0.3" footer="0.3"/>
  <pageSetup paperSize="9" scale="8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Drop Down 1">
              <controlPr locked="0" defaultSize="0" autoLine="0" autoPict="0">
                <anchor moveWithCells="1">
                  <from>
                    <xdr:col>4</xdr:col>
                    <xdr:colOff>0</xdr:colOff>
                    <xdr:row>13</xdr:row>
                    <xdr:rowOff>0</xdr:rowOff>
                  </from>
                  <to>
                    <xdr:col>7</xdr:col>
                    <xdr:colOff>0</xdr:colOff>
                    <xdr:row>14</xdr:row>
                    <xdr:rowOff>0</xdr:rowOff>
                  </to>
                </anchor>
              </controlPr>
            </control>
          </mc:Choice>
        </mc:AlternateContent>
        <mc:AlternateContent xmlns:mc="http://schemas.openxmlformats.org/markup-compatibility/2006">
          <mc:Choice Requires="x14">
            <control shapeId="11266" r:id="rId5" name="Drop Down 2">
              <controlPr locked="0" defaultSize="0" autoLine="0" autoPict="0">
                <anchor moveWithCells="1">
                  <from>
                    <xdr:col>4</xdr:col>
                    <xdr:colOff>0</xdr:colOff>
                    <xdr:row>26</xdr:row>
                    <xdr:rowOff>0</xdr:rowOff>
                  </from>
                  <to>
                    <xdr:col>7</xdr:col>
                    <xdr:colOff>0</xdr:colOff>
                    <xdr:row>27</xdr:row>
                    <xdr:rowOff>0</xdr:rowOff>
                  </to>
                </anchor>
              </controlPr>
            </control>
          </mc:Choice>
        </mc:AlternateContent>
        <mc:AlternateContent xmlns:mc="http://schemas.openxmlformats.org/markup-compatibility/2006">
          <mc:Choice Requires="x14">
            <control shapeId="11267" r:id="rId6" name="Drop Down 3">
              <controlPr locked="0" defaultSize="0" autoLine="0" autoPict="0">
                <anchor moveWithCells="1">
                  <from>
                    <xdr:col>4</xdr:col>
                    <xdr:colOff>0</xdr:colOff>
                    <xdr:row>39</xdr:row>
                    <xdr:rowOff>0</xdr:rowOff>
                  </from>
                  <to>
                    <xdr:col>7</xdr:col>
                    <xdr:colOff>0</xdr:colOff>
                    <xdr:row>40</xdr:row>
                    <xdr:rowOff>0</xdr:rowOff>
                  </to>
                </anchor>
              </controlPr>
            </control>
          </mc:Choice>
        </mc:AlternateContent>
        <mc:AlternateContent xmlns:mc="http://schemas.openxmlformats.org/markup-compatibility/2006">
          <mc:Choice Requires="x14">
            <control shapeId="11268" r:id="rId7" name="Drop Down 4">
              <controlPr locked="0" defaultSize="0" autoLine="0" autoPict="0">
                <anchor moveWithCells="1">
                  <from>
                    <xdr:col>4</xdr:col>
                    <xdr:colOff>0</xdr:colOff>
                    <xdr:row>52</xdr:row>
                    <xdr:rowOff>0</xdr:rowOff>
                  </from>
                  <to>
                    <xdr:col>7</xdr:col>
                    <xdr:colOff>0</xdr:colOff>
                    <xdr:row>53</xdr:row>
                    <xdr:rowOff>0</xdr:rowOff>
                  </to>
                </anchor>
              </controlPr>
            </control>
          </mc:Choice>
        </mc:AlternateContent>
        <mc:AlternateContent xmlns:mc="http://schemas.openxmlformats.org/markup-compatibility/2006">
          <mc:Choice Requires="x14">
            <control shapeId="11269" r:id="rId8" name="Drop Down 5">
              <controlPr locked="0" defaultSize="0" autoLine="0" autoPict="0">
                <anchor moveWithCells="1">
                  <from>
                    <xdr:col>4</xdr:col>
                    <xdr:colOff>0</xdr:colOff>
                    <xdr:row>65</xdr:row>
                    <xdr:rowOff>0</xdr:rowOff>
                  </from>
                  <to>
                    <xdr:col>7</xdr:col>
                    <xdr:colOff>0</xdr:colOff>
                    <xdr:row>66</xdr:row>
                    <xdr:rowOff>0</xdr:rowOff>
                  </to>
                </anchor>
              </controlPr>
            </control>
          </mc:Choice>
        </mc:AlternateContent>
        <mc:AlternateContent xmlns:mc="http://schemas.openxmlformats.org/markup-compatibility/2006">
          <mc:Choice Requires="x14">
            <control shapeId="11270" r:id="rId9" name="Drop Down 6">
              <controlPr locked="0" defaultSize="0" autoLine="0" autoPict="0">
                <anchor moveWithCells="1">
                  <from>
                    <xdr:col>4</xdr:col>
                    <xdr:colOff>0</xdr:colOff>
                    <xdr:row>78</xdr:row>
                    <xdr:rowOff>0</xdr:rowOff>
                  </from>
                  <to>
                    <xdr:col>7</xdr:col>
                    <xdr:colOff>0</xdr:colOff>
                    <xdr:row>79</xdr:row>
                    <xdr:rowOff>0</xdr:rowOff>
                  </to>
                </anchor>
              </controlPr>
            </control>
          </mc:Choice>
        </mc:AlternateContent>
        <mc:AlternateContent xmlns:mc="http://schemas.openxmlformats.org/markup-compatibility/2006">
          <mc:Choice Requires="x14">
            <control shapeId="11271" r:id="rId10" name="Drop Down 7">
              <controlPr defaultSize="0" autoLine="0" autoPict="0">
                <anchor moveWithCells="1">
                  <from>
                    <xdr:col>4</xdr:col>
                    <xdr:colOff>0</xdr:colOff>
                    <xdr:row>8</xdr:row>
                    <xdr:rowOff>0</xdr:rowOff>
                  </from>
                  <to>
                    <xdr:col>7</xdr:col>
                    <xdr:colOff>0</xdr:colOff>
                    <xdr:row>9</xdr:row>
                    <xdr:rowOff>0</xdr:rowOff>
                  </to>
                </anchor>
              </controlPr>
            </control>
          </mc:Choice>
        </mc:AlternateContent>
        <mc:AlternateContent xmlns:mc="http://schemas.openxmlformats.org/markup-compatibility/2006">
          <mc:Choice Requires="x14">
            <control shapeId="11273" r:id="rId11" name="Drop Down 9">
              <controlPr defaultSize="0" autoLine="0" autoPict="0">
                <anchor moveWithCells="1">
                  <from>
                    <xdr:col>4</xdr:col>
                    <xdr:colOff>0</xdr:colOff>
                    <xdr:row>21</xdr:row>
                    <xdr:rowOff>0</xdr:rowOff>
                  </from>
                  <to>
                    <xdr:col>7</xdr:col>
                    <xdr:colOff>0</xdr:colOff>
                    <xdr:row>22</xdr:row>
                    <xdr:rowOff>0</xdr:rowOff>
                  </to>
                </anchor>
              </controlPr>
            </control>
          </mc:Choice>
        </mc:AlternateContent>
        <mc:AlternateContent xmlns:mc="http://schemas.openxmlformats.org/markup-compatibility/2006">
          <mc:Choice Requires="x14">
            <control shapeId="11275" r:id="rId12" name="Drop Down 11">
              <controlPr defaultSize="0" autoLine="0" autoPict="0">
                <anchor moveWithCells="1">
                  <from>
                    <xdr:col>4</xdr:col>
                    <xdr:colOff>0</xdr:colOff>
                    <xdr:row>34</xdr:row>
                    <xdr:rowOff>0</xdr:rowOff>
                  </from>
                  <to>
                    <xdr:col>7</xdr:col>
                    <xdr:colOff>0</xdr:colOff>
                    <xdr:row>35</xdr:row>
                    <xdr:rowOff>0</xdr:rowOff>
                  </to>
                </anchor>
              </controlPr>
            </control>
          </mc:Choice>
        </mc:AlternateContent>
        <mc:AlternateContent xmlns:mc="http://schemas.openxmlformats.org/markup-compatibility/2006">
          <mc:Choice Requires="x14">
            <control shapeId="11276" r:id="rId13" name="Drop Down 12">
              <controlPr defaultSize="0" autoLine="0" autoPict="0">
                <anchor moveWithCells="1">
                  <from>
                    <xdr:col>4</xdr:col>
                    <xdr:colOff>0</xdr:colOff>
                    <xdr:row>47</xdr:row>
                    <xdr:rowOff>0</xdr:rowOff>
                  </from>
                  <to>
                    <xdr:col>7</xdr:col>
                    <xdr:colOff>0</xdr:colOff>
                    <xdr:row>48</xdr:row>
                    <xdr:rowOff>0</xdr:rowOff>
                  </to>
                </anchor>
              </controlPr>
            </control>
          </mc:Choice>
        </mc:AlternateContent>
        <mc:AlternateContent xmlns:mc="http://schemas.openxmlformats.org/markup-compatibility/2006">
          <mc:Choice Requires="x14">
            <control shapeId="11277" r:id="rId14" name="Drop Down 13">
              <controlPr defaultSize="0" autoLine="0" autoPict="0">
                <anchor moveWithCells="1">
                  <from>
                    <xdr:col>4</xdr:col>
                    <xdr:colOff>0</xdr:colOff>
                    <xdr:row>60</xdr:row>
                    <xdr:rowOff>0</xdr:rowOff>
                  </from>
                  <to>
                    <xdr:col>7</xdr:col>
                    <xdr:colOff>0</xdr:colOff>
                    <xdr:row>61</xdr:row>
                    <xdr:rowOff>0</xdr:rowOff>
                  </to>
                </anchor>
              </controlPr>
            </control>
          </mc:Choice>
        </mc:AlternateContent>
        <mc:AlternateContent xmlns:mc="http://schemas.openxmlformats.org/markup-compatibility/2006">
          <mc:Choice Requires="x14">
            <control shapeId="11278" r:id="rId15" name="Drop Down 14">
              <controlPr defaultSize="0" autoLine="0" autoPict="0">
                <anchor moveWithCells="1">
                  <from>
                    <xdr:col>4</xdr:col>
                    <xdr:colOff>0</xdr:colOff>
                    <xdr:row>73</xdr:row>
                    <xdr:rowOff>0</xdr:rowOff>
                  </from>
                  <to>
                    <xdr:col>7</xdr:col>
                    <xdr:colOff>0</xdr:colOff>
                    <xdr:row>74</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theme="8" tint="0.59999389629810485"/>
    <pageSetUpPr fitToPage="1"/>
  </sheetPr>
  <dimension ref="A1:O187"/>
  <sheetViews>
    <sheetView showGridLines="0" showRowColHeaders="0" topLeftCell="C1" workbookViewId="0">
      <selection activeCell="D3" sqref="D3"/>
    </sheetView>
  </sheetViews>
  <sheetFormatPr defaultColWidth="9.33203125" defaultRowHeight="12.75"/>
  <cols>
    <col min="1" max="2" width="9.33203125" style="32" hidden="1" customWidth="1"/>
    <col min="3" max="3" width="3.83203125" style="32" customWidth="1"/>
    <col min="4" max="4" width="50.83203125" style="32" customWidth="1"/>
    <col min="5" max="5" width="40.83203125" style="32" customWidth="1"/>
    <col min="6" max="7" width="10.83203125" style="32" customWidth="1"/>
    <col min="8" max="8" width="3.83203125" style="32" customWidth="1"/>
    <col min="9" max="12" width="9.33203125" style="32" hidden="1" customWidth="1"/>
    <col min="13" max="13" width="71.33203125" style="32" hidden="1" customWidth="1"/>
    <col min="14" max="15" width="9.33203125" style="32" hidden="1" customWidth="1"/>
    <col min="16" max="17" width="9.33203125" style="32" customWidth="1"/>
    <col min="18" max="16384" width="9.33203125" style="32"/>
  </cols>
  <sheetData>
    <row r="1" spans="1:15" ht="39.950000000000003" customHeight="1">
      <c r="B1" s="106"/>
      <c r="G1" s="86"/>
      <c r="J1" s="4" t="s">
        <v>1960</v>
      </c>
      <c r="K1" s="4" t="s">
        <v>1960</v>
      </c>
      <c r="L1" s="4" t="s">
        <v>1960</v>
      </c>
      <c r="M1" s="4" t="s">
        <v>1960</v>
      </c>
      <c r="N1" s="4" t="s">
        <v>1960</v>
      </c>
      <c r="O1" s="4" t="s">
        <v>1960</v>
      </c>
    </row>
    <row r="2" spans="1:15" s="78" customFormat="1" ht="39.950000000000003" customHeight="1">
      <c r="B2" s="159"/>
      <c r="D2" s="212" t="s">
        <v>8</v>
      </c>
      <c r="E2" s="212"/>
      <c r="F2" s="212"/>
      <c r="G2" s="212"/>
      <c r="J2" s="79" t="s">
        <v>1965</v>
      </c>
      <c r="K2" s="79"/>
      <c r="L2" s="79"/>
      <c r="M2" s="79"/>
      <c r="N2" s="79"/>
      <c r="O2" s="79"/>
    </row>
    <row r="3" spans="1:15" ht="30" customHeight="1">
      <c r="B3" s="106"/>
      <c r="D3" s="120" t="s">
        <v>40</v>
      </c>
      <c r="F3" s="88"/>
      <c r="G3" s="88" t="s">
        <v>1224</v>
      </c>
      <c r="J3" s="4" t="s">
        <v>1961</v>
      </c>
      <c r="K3" s="4" t="s">
        <v>1962</v>
      </c>
      <c r="L3" s="4" t="s">
        <v>1963</v>
      </c>
      <c r="M3" s="4" t="s">
        <v>1964</v>
      </c>
      <c r="N3" s="4"/>
      <c r="O3" s="4"/>
    </row>
    <row r="4" spans="1:15" ht="30" customHeight="1">
      <c r="B4" s="106"/>
      <c r="C4" s="70"/>
      <c r="D4" s="184" t="s">
        <v>122</v>
      </c>
      <c r="E4" s="184"/>
      <c r="F4" s="184"/>
      <c r="G4" s="184"/>
      <c r="H4" s="70"/>
      <c r="J4" s="4"/>
      <c r="K4" s="125">
        <f>IF(N4=O4,1,0)</f>
        <v>0</v>
      </c>
      <c r="L4" s="4"/>
      <c r="M4" s="4"/>
      <c r="N4" s="4">
        <f>SUM(N6:N125)</f>
        <v>8</v>
      </c>
      <c r="O4" s="4">
        <f>SUM(O6:O125)</f>
        <v>0</v>
      </c>
    </row>
    <row r="5" spans="1:15" ht="18">
      <c r="B5" s="106"/>
      <c r="D5" s="5"/>
      <c r="E5" s="5"/>
      <c r="J5" s="4"/>
      <c r="K5" s="4"/>
      <c r="L5" s="4"/>
      <c r="M5" s="4"/>
      <c r="N5" s="4"/>
      <c r="O5" s="4"/>
    </row>
    <row r="6" spans="1:15" s="34" customFormat="1" ht="72.75" customHeight="1">
      <c r="A6" s="113"/>
      <c r="B6" s="113">
        <v>1</v>
      </c>
      <c r="C6" s="74" t="s">
        <v>1912</v>
      </c>
      <c r="D6" s="31" t="s">
        <v>123</v>
      </c>
      <c r="E6" s="240"/>
      <c r="F6" s="241"/>
      <c r="G6" s="242"/>
      <c r="J6" s="103">
        <v>1</v>
      </c>
      <c r="K6" s="129">
        <f>IF(B6=1,0,1)</f>
        <v>0</v>
      </c>
      <c r="L6" s="127">
        <f>IF(A6="Hide",1,IF($J$6=1,B6,1))</f>
        <v>1</v>
      </c>
      <c r="M6" s="52" t="str">
        <f>formData!B546</f>
        <v>HEALTH_DECLARATIONS</v>
      </c>
      <c r="N6" s="6">
        <f>IF(J6=1,1,0)</f>
        <v>1</v>
      </c>
      <c r="O6" s="6">
        <f>+J6*K6</f>
        <v>0</v>
      </c>
    </row>
    <row r="7" spans="1:15" s="34" customFormat="1" ht="20.100000000000001" customHeight="1">
      <c r="A7" s="113"/>
      <c r="B7" s="113"/>
      <c r="D7" s="9"/>
      <c r="E7" s="2"/>
      <c r="M7" s="52"/>
    </row>
    <row r="8" spans="1:15" ht="24.95" hidden="1" customHeight="1">
      <c r="A8" s="106" t="str">
        <f>IF($B$6=2,"Show","HIDE")</f>
        <v>HIDE</v>
      </c>
      <c r="B8" s="106"/>
      <c r="D8" s="256" t="s">
        <v>124</v>
      </c>
      <c r="E8" s="254"/>
      <c r="F8" s="254"/>
      <c r="G8" s="255"/>
      <c r="M8" s="52"/>
      <c r="N8" s="6">
        <f t="shared" ref="N8:N11" si="0">IF(J8=1,1,0)</f>
        <v>0</v>
      </c>
      <c r="O8" s="6">
        <f t="shared" ref="O8:O11" si="1">+J8*K8</f>
        <v>0</v>
      </c>
    </row>
    <row r="9" spans="1:15" s="34" customFormat="1" ht="20.100000000000001" hidden="1" customHeight="1">
      <c r="A9" s="106" t="str">
        <f t="shared" ref="A9:A43" si="2">IF($B$6=2,"Show","HIDE")</f>
        <v>HIDE</v>
      </c>
      <c r="B9" s="113">
        <v>1</v>
      </c>
      <c r="C9" s="74" t="s">
        <v>1912</v>
      </c>
      <c r="D9" s="7" t="s">
        <v>203</v>
      </c>
      <c r="E9" s="198"/>
      <c r="F9" s="199"/>
      <c r="G9" s="200"/>
      <c r="I9" s="119"/>
      <c r="J9" s="6">
        <f>IF($C9="*",IF($A9="Hide",0,$J$6),0)</f>
        <v>0</v>
      </c>
      <c r="K9" s="129">
        <f>IF(B9=1,0,1)</f>
        <v>0</v>
      </c>
      <c r="L9" s="127">
        <f>IF(A9="Hide",1,IF($J$6=1,B9,1))</f>
        <v>1</v>
      </c>
      <c r="M9" s="52" t="str">
        <f>formData!B547</f>
        <v>HEALTH_DECLARATIONS_VISIT_OTHER_COUNTRIES_NAME1</v>
      </c>
      <c r="N9" s="6">
        <f t="shared" si="0"/>
        <v>0</v>
      </c>
      <c r="O9" s="6">
        <f t="shared" si="1"/>
        <v>0</v>
      </c>
    </row>
    <row r="10" spans="1:15" s="34" customFormat="1" ht="20.100000000000001" hidden="1" customHeight="1">
      <c r="A10" s="106" t="str">
        <f t="shared" si="2"/>
        <v>HIDE</v>
      </c>
      <c r="B10" s="113">
        <v>1</v>
      </c>
      <c r="C10" s="74" t="s">
        <v>1912</v>
      </c>
      <c r="D10" s="7" t="s">
        <v>143</v>
      </c>
      <c r="E10" s="240"/>
      <c r="F10" s="241"/>
      <c r="G10" s="242"/>
      <c r="J10" s="6">
        <f>IF($C10="*",IF($A10="Hide",0,$J$6),0)</f>
        <v>0</v>
      </c>
      <c r="K10" s="129">
        <f>IF(B10=1,0,1)</f>
        <v>0</v>
      </c>
      <c r="L10" s="127">
        <f>IF(A10="Hide",1,IF($J$6=1,B10,1))</f>
        <v>1</v>
      </c>
      <c r="M10" s="52" t="str">
        <f>formData!B548</f>
        <v>HEALTH_DECLARATIONS_VISIT_OTHER_COUNTRIES_COUNTRY1</v>
      </c>
      <c r="N10" s="6">
        <f t="shared" si="0"/>
        <v>0</v>
      </c>
      <c r="O10" s="6">
        <f t="shared" si="1"/>
        <v>0</v>
      </c>
    </row>
    <row r="11" spans="1:15" s="34" customFormat="1" ht="20.100000000000001" hidden="1" customHeight="1">
      <c r="A11" s="106" t="str">
        <f t="shared" si="2"/>
        <v>HIDE</v>
      </c>
      <c r="B11" s="113"/>
      <c r="C11" s="74" t="s">
        <v>1912</v>
      </c>
      <c r="D11" s="31" t="s">
        <v>1978</v>
      </c>
      <c r="E11" s="219"/>
      <c r="F11" s="220"/>
      <c r="G11" s="221"/>
      <c r="J11" s="6">
        <f>IF($C11="*",IF($A11="Hide",0,$J$6),0)</f>
        <v>0</v>
      </c>
      <c r="K11" s="130">
        <f>IF(LEN(E11)=0,0,1)</f>
        <v>0</v>
      </c>
      <c r="L11" s="126">
        <f>IF(A11="Hide",0,IF($J$6=1,E11,0))</f>
        <v>0</v>
      </c>
      <c r="M11" s="52" t="str">
        <f>formData!B549</f>
        <v>HEALTH_DECLARATIONS_VISIT_OTHER_COUNTRIES_DATE_FROM1</v>
      </c>
      <c r="N11" s="6">
        <f t="shared" si="0"/>
        <v>0</v>
      </c>
      <c r="O11" s="6">
        <f t="shared" si="1"/>
        <v>0</v>
      </c>
    </row>
    <row r="12" spans="1:15" s="34" customFormat="1" ht="20.100000000000001" hidden="1" customHeight="1">
      <c r="A12" s="106" t="str">
        <f t="shared" si="2"/>
        <v>HIDE</v>
      </c>
      <c r="B12" s="113"/>
      <c r="C12" s="74" t="s">
        <v>1912</v>
      </c>
      <c r="D12" s="31" t="s">
        <v>1981</v>
      </c>
      <c r="E12" s="219"/>
      <c r="F12" s="220"/>
      <c r="G12" s="221"/>
      <c r="J12" s="6">
        <f>IF($C12="*",IF($A12="Hide",0,$J$6),0)</f>
        <v>0</v>
      </c>
      <c r="K12" s="130">
        <f>IF(LEN(E12)=0,0,1)</f>
        <v>0</v>
      </c>
      <c r="L12" s="126">
        <f>IF(A12="Hide",0,IF($J$6=1,E12,0))</f>
        <v>0</v>
      </c>
      <c r="M12" s="52" t="str">
        <f>formData!B550</f>
        <v>HEALTH_DECLARATIONS_VISIT_OTHER_COUNTRIES_DATE_TO1</v>
      </c>
      <c r="N12" s="6">
        <f t="shared" ref="N12:N75" si="3">IF(J12=1,1,0)</f>
        <v>0</v>
      </c>
      <c r="O12" s="6">
        <f t="shared" ref="O12:O75" si="4">+J12*K12</f>
        <v>0</v>
      </c>
    </row>
    <row r="13" spans="1:15" ht="20.100000000000001" hidden="1" customHeight="1">
      <c r="A13" s="106" t="str">
        <f t="shared" si="2"/>
        <v>HIDE</v>
      </c>
      <c r="B13" s="106"/>
      <c r="E13" s="106"/>
      <c r="M13" s="52"/>
      <c r="N13" s="6">
        <f t="shared" si="3"/>
        <v>0</v>
      </c>
      <c r="O13" s="6">
        <f t="shared" si="4"/>
        <v>0</v>
      </c>
    </row>
    <row r="14" spans="1:15" ht="24.95" hidden="1" customHeight="1">
      <c r="A14" s="106" t="str">
        <f t="shared" si="2"/>
        <v>HIDE</v>
      </c>
      <c r="B14" s="106"/>
      <c r="D14" s="256" t="s">
        <v>125</v>
      </c>
      <c r="E14" s="254"/>
      <c r="F14" s="254"/>
      <c r="G14" s="255"/>
      <c r="M14" s="52"/>
      <c r="N14" s="6">
        <f t="shared" si="3"/>
        <v>0</v>
      </c>
      <c r="O14" s="6">
        <f t="shared" si="4"/>
        <v>0</v>
      </c>
    </row>
    <row r="15" spans="1:15" s="34" customFormat="1" ht="20.100000000000001" hidden="1" customHeight="1">
      <c r="A15" s="106" t="str">
        <f t="shared" si="2"/>
        <v>HIDE</v>
      </c>
      <c r="B15" s="113">
        <v>1</v>
      </c>
      <c r="D15" s="7" t="s">
        <v>203</v>
      </c>
      <c r="E15" s="304"/>
      <c r="F15" s="305"/>
      <c r="G15" s="306"/>
      <c r="J15" s="6">
        <f>IF($C15="*",IF($A15="Hide",0,$J$6),0)</f>
        <v>0</v>
      </c>
      <c r="K15" s="129">
        <f>IF(B15=1,0,1)</f>
        <v>0</v>
      </c>
      <c r="L15" s="127">
        <f>IF(A15="Hide",1,IF($J$6=1,B15,1))</f>
        <v>1</v>
      </c>
      <c r="M15" s="52" t="str">
        <f>formData!B551</f>
        <v>HEALTH_DECLARATIONS_VISIT_OTHER_COUNTRIES_NAME2</v>
      </c>
      <c r="N15" s="6">
        <f t="shared" si="3"/>
        <v>0</v>
      </c>
      <c r="O15" s="6">
        <f t="shared" si="4"/>
        <v>0</v>
      </c>
    </row>
    <row r="16" spans="1:15" s="34" customFormat="1" ht="20.100000000000001" hidden="1" customHeight="1">
      <c r="A16" s="106" t="str">
        <f t="shared" si="2"/>
        <v>HIDE</v>
      </c>
      <c r="B16" s="113">
        <v>1</v>
      </c>
      <c r="D16" s="7" t="s">
        <v>143</v>
      </c>
      <c r="E16" s="240"/>
      <c r="F16" s="241"/>
      <c r="G16" s="242"/>
      <c r="J16" s="6">
        <f>IF($C16="*",IF($A16="Hide",0,$J$6),0)</f>
        <v>0</v>
      </c>
      <c r="K16" s="129">
        <f>IF(B16=1,0,1)</f>
        <v>0</v>
      </c>
      <c r="L16" s="127">
        <f>IF(A16="Hide",1,IF($J$6=1,B16,1))</f>
        <v>1</v>
      </c>
      <c r="M16" s="52" t="str">
        <f>formData!B552</f>
        <v>HEALTH_DECLARATIONS_VISIT_OTHER_COUNTRIES_COUNTRY2</v>
      </c>
      <c r="N16" s="6">
        <f t="shared" si="3"/>
        <v>0</v>
      </c>
      <c r="O16" s="6">
        <f t="shared" si="4"/>
        <v>0</v>
      </c>
    </row>
    <row r="17" spans="1:15" s="34" customFormat="1" ht="20.100000000000001" hidden="1" customHeight="1">
      <c r="A17" s="106" t="str">
        <f t="shared" si="2"/>
        <v>HIDE</v>
      </c>
      <c r="B17" s="113"/>
      <c r="D17" s="31" t="s">
        <v>1978</v>
      </c>
      <c r="E17" s="219"/>
      <c r="F17" s="220"/>
      <c r="G17" s="221"/>
      <c r="J17" s="6">
        <f>IF($C17="*",IF($A17="Hide",0,$J$6),0)</f>
        <v>0</v>
      </c>
      <c r="K17" s="130">
        <f>IF(LEN(E17)=0,0,1)</f>
        <v>0</v>
      </c>
      <c r="L17" s="126">
        <f>IF(A17="Hide",0,IF($J$6=1,E17,0))</f>
        <v>0</v>
      </c>
      <c r="M17" s="52" t="str">
        <f>formData!B553</f>
        <v>HEALTH_DECLARATIONS_VISIT_OTHER_COUNTRIES_DATE_FROM2</v>
      </c>
      <c r="N17" s="6">
        <f t="shared" si="3"/>
        <v>0</v>
      </c>
      <c r="O17" s="6">
        <f t="shared" si="4"/>
        <v>0</v>
      </c>
    </row>
    <row r="18" spans="1:15" s="34" customFormat="1" ht="20.100000000000001" hidden="1" customHeight="1">
      <c r="A18" s="106" t="str">
        <f t="shared" si="2"/>
        <v>HIDE</v>
      </c>
      <c r="B18" s="113"/>
      <c r="D18" s="31" t="s">
        <v>1981</v>
      </c>
      <c r="E18" s="219"/>
      <c r="F18" s="220"/>
      <c r="G18" s="221"/>
      <c r="J18" s="6">
        <f>IF($C18="*",IF($A18="Hide",0,$J$6),0)</f>
        <v>0</v>
      </c>
      <c r="K18" s="130">
        <f>IF(LEN(E18)=0,0,1)</f>
        <v>0</v>
      </c>
      <c r="L18" s="126">
        <f>IF(A18="Hide",0,IF($J$6=1,E18,0))</f>
        <v>0</v>
      </c>
      <c r="M18" s="52" t="str">
        <f>formData!B554</f>
        <v>HEALTH_DECLARATIONS_VISIT_OTHER_COUNTRIES_DATE_TO2</v>
      </c>
      <c r="N18" s="6">
        <f t="shared" si="3"/>
        <v>0</v>
      </c>
      <c r="O18" s="6">
        <f t="shared" si="4"/>
        <v>0</v>
      </c>
    </row>
    <row r="19" spans="1:15" ht="20.100000000000001" hidden="1" customHeight="1">
      <c r="A19" s="106" t="str">
        <f t="shared" si="2"/>
        <v>HIDE</v>
      </c>
      <c r="B19" s="106"/>
      <c r="M19" s="52"/>
      <c r="N19" s="6">
        <f t="shared" si="3"/>
        <v>0</v>
      </c>
      <c r="O19" s="6">
        <f t="shared" si="4"/>
        <v>0</v>
      </c>
    </row>
    <row r="20" spans="1:15" ht="24.75" hidden="1" customHeight="1">
      <c r="A20" s="106" t="str">
        <f t="shared" si="2"/>
        <v>HIDE</v>
      </c>
      <c r="B20" s="106"/>
      <c r="D20" s="256" t="s">
        <v>126</v>
      </c>
      <c r="E20" s="254"/>
      <c r="F20" s="254"/>
      <c r="G20" s="255"/>
      <c r="M20" s="52"/>
      <c r="N20" s="6">
        <f t="shared" si="3"/>
        <v>0</v>
      </c>
      <c r="O20" s="6">
        <f t="shared" si="4"/>
        <v>0</v>
      </c>
    </row>
    <row r="21" spans="1:15" s="34" customFormat="1" ht="20.100000000000001" hidden="1" customHeight="1">
      <c r="A21" s="106" t="str">
        <f t="shared" si="2"/>
        <v>HIDE</v>
      </c>
      <c r="B21" s="113">
        <v>1</v>
      </c>
      <c r="D21" s="7" t="s">
        <v>203</v>
      </c>
      <c r="E21" s="304"/>
      <c r="F21" s="305"/>
      <c r="G21" s="306"/>
      <c r="J21" s="6">
        <f>IF($C21="*",IF($A21="Hide",0,$J$6),0)</f>
        <v>0</v>
      </c>
      <c r="K21" s="129">
        <f>IF(B21=1,0,1)</f>
        <v>0</v>
      </c>
      <c r="L21" s="127">
        <f>IF(A21="Hide",1,IF($J$6=1,B21,1))</f>
        <v>1</v>
      </c>
      <c r="M21" s="52" t="str">
        <f>formData!B555</f>
        <v>HEALTH_DECLARATIONS_VISIT_OTHER_COUNTRIES_NAME3</v>
      </c>
      <c r="N21" s="6">
        <f t="shared" si="3"/>
        <v>0</v>
      </c>
      <c r="O21" s="6">
        <f t="shared" si="4"/>
        <v>0</v>
      </c>
    </row>
    <row r="22" spans="1:15" s="34" customFormat="1" ht="20.100000000000001" hidden="1" customHeight="1">
      <c r="A22" s="106" t="str">
        <f t="shared" si="2"/>
        <v>HIDE</v>
      </c>
      <c r="B22" s="113">
        <v>1</v>
      </c>
      <c r="D22" s="7" t="s">
        <v>143</v>
      </c>
      <c r="E22" s="240"/>
      <c r="F22" s="241"/>
      <c r="G22" s="242"/>
      <c r="J22" s="6">
        <f>IF($C22="*",IF($A22="Hide",0,$J$6),0)</f>
        <v>0</v>
      </c>
      <c r="K22" s="129">
        <f>IF(B22=1,0,1)</f>
        <v>0</v>
      </c>
      <c r="L22" s="127">
        <f>IF(A22="Hide",1,IF($J$6=1,B22,1))</f>
        <v>1</v>
      </c>
      <c r="M22" s="52" t="str">
        <f>formData!B556</f>
        <v>HEALTH_DECLARATIONS_VISIT_OTHER_COUNTRIES_COUNTRY3</v>
      </c>
      <c r="N22" s="6">
        <f t="shared" si="3"/>
        <v>0</v>
      </c>
      <c r="O22" s="6">
        <f t="shared" si="4"/>
        <v>0</v>
      </c>
    </row>
    <row r="23" spans="1:15" s="34" customFormat="1" ht="20.100000000000001" hidden="1" customHeight="1">
      <c r="A23" s="106" t="str">
        <f t="shared" si="2"/>
        <v>HIDE</v>
      </c>
      <c r="B23" s="113"/>
      <c r="D23" s="31" t="s">
        <v>1978</v>
      </c>
      <c r="E23" s="219"/>
      <c r="F23" s="220"/>
      <c r="G23" s="221"/>
      <c r="J23" s="6">
        <f>IF($C23="*",IF($A23="Hide",0,$J$6),0)</f>
        <v>0</v>
      </c>
      <c r="K23" s="130">
        <f>IF(LEN(E23)=0,0,1)</f>
        <v>0</v>
      </c>
      <c r="L23" s="126">
        <f>IF(A23="Hide",0,IF($J$6=1,E23,0))</f>
        <v>0</v>
      </c>
      <c r="M23" s="52" t="str">
        <f>formData!B557</f>
        <v>HEALTH_DECLARATIONS_VISIT_OTHER_COUNTRIES_DATE_FROM3</v>
      </c>
      <c r="N23" s="6">
        <f t="shared" si="3"/>
        <v>0</v>
      </c>
      <c r="O23" s="6">
        <f t="shared" si="4"/>
        <v>0</v>
      </c>
    </row>
    <row r="24" spans="1:15" s="34" customFormat="1" ht="20.100000000000001" hidden="1" customHeight="1">
      <c r="A24" s="106" t="str">
        <f t="shared" si="2"/>
        <v>HIDE</v>
      </c>
      <c r="B24" s="113"/>
      <c r="D24" s="31" t="s">
        <v>1981</v>
      </c>
      <c r="E24" s="219"/>
      <c r="F24" s="220"/>
      <c r="G24" s="221"/>
      <c r="J24" s="6">
        <f>IF($C24="*",IF($A24="Hide",0,$J$6),0)</f>
        <v>0</v>
      </c>
      <c r="K24" s="130">
        <f>IF(LEN(E24)=0,0,1)</f>
        <v>0</v>
      </c>
      <c r="L24" s="126">
        <f>IF(A24="Hide",0,IF($J$6=1,E24,0))</f>
        <v>0</v>
      </c>
      <c r="M24" s="52" t="str">
        <f>formData!B558</f>
        <v>HEALTH_DECLARATIONS_VISIT_OTHER_COUNTRIES_DATE_TO3</v>
      </c>
      <c r="N24" s="6">
        <f t="shared" si="3"/>
        <v>0</v>
      </c>
      <c r="O24" s="6">
        <f t="shared" si="4"/>
        <v>0</v>
      </c>
    </row>
    <row r="25" spans="1:15" s="34" customFormat="1" ht="20.100000000000001" hidden="1" customHeight="1">
      <c r="A25" s="106" t="str">
        <f t="shared" si="2"/>
        <v>HIDE</v>
      </c>
      <c r="B25" s="113"/>
      <c r="M25" s="52"/>
      <c r="N25" s="6">
        <f t="shared" si="3"/>
        <v>0</v>
      </c>
      <c r="O25" s="6">
        <f t="shared" si="4"/>
        <v>0</v>
      </c>
    </row>
    <row r="26" spans="1:15" ht="24.95" hidden="1" customHeight="1">
      <c r="A26" s="106" t="str">
        <f t="shared" si="2"/>
        <v>HIDE</v>
      </c>
      <c r="B26" s="106"/>
      <c r="D26" s="256" t="s">
        <v>127</v>
      </c>
      <c r="E26" s="254"/>
      <c r="F26" s="254"/>
      <c r="G26" s="255"/>
      <c r="M26" s="52"/>
      <c r="N26" s="6">
        <f t="shared" si="3"/>
        <v>0</v>
      </c>
      <c r="O26" s="6">
        <f t="shared" si="4"/>
        <v>0</v>
      </c>
    </row>
    <row r="27" spans="1:15" s="34" customFormat="1" ht="20.100000000000001" hidden="1" customHeight="1">
      <c r="A27" s="106" t="str">
        <f t="shared" si="2"/>
        <v>HIDE</v>
      </c>
      <c r="B27" s="113">
        <v>1</v>
      </c>
      <c r="D27" s="7" t="s">
        <v>203</v>
      </c>
      <c r="E27" s="304"/>
      <c r="F27" s="305"/>
      <c r="G27" s="306"/>
      <c r="J27" s="6">
        <f>IF($C27="*",IF($A27="Hide",0,$J$6),0)</f>
        <v>0</v>
      </c>
      <c r="K27" s="129">
        <f>IF(B27=1,0,1)</f>
        <v>0</v>
      </c>
      <c r="L27" s="127">
        <f>IF(A27="Hide",1,IF($J$6=1,B27,1))</f>
        <v>1</v>
      </c>
      <c r="M27" s="52" t="str">
        <f>formData!B559</f>
        <v>HEALTH_DECLARATIONS_VISIT_OTHER_COUNTRIES_NAME4</v>
      </c>
      <c r="N27" s="6">
        <f t="shared" si="3"/>
        <v>0</v>
      </c>
      <c r="O27" s="6">
        <f t="shared" si="4"/>
        <v>0</v>
      </c>
    </row>
    <row r="28" spans="1:15" s="34" customFormat="1" ht="20.100000000000001" hidden="1" customHeight="1">
      <c r="A28" s="106" t="str">
        <f t="shared" si="2"/>
        <v>HIDE</v>
      </c>
      <c r="B28" s="113">
        <v>1</v>
      </c>
      <c r="D28" s="7" t="s">
        <v>143</v>
      </c>
      <c r="E28" s="240"/>
      <c r="F28" s="241"/>
      <c r="G28" s="242"/>
      <c r="J28" s="6">
        <f>IF($C28="*",IF($A28="Hide",0,$J$6),0)</f>
        <v>0</v>
      </c>
      <c r="K28" s="129">
        <f>IF(B28=1,0,1)</f>
        <v>0</v>
      </c>
      <c r="L28" s="127">
        <f>IF(A28="Hide",1,IF($J$6=1,B28,1))</f>
        <v>1</v>
      </c>
      <c r="M28" s="52" t="str">
        <f>formData!B560</f>
        <v>HEALTH_DECLARATIONS_VISIT_OTHER_COUNTRIES_COUNTRY4</v>
      </c>
      <c r="N28" s="6">
        <f t="shared" si="3"/>
        <v>0</v>
      </c>
      <c r="O28" s="6">
        <f t="shared" si="4"/>
        <v>0</v>
      </c>
    </row>
    <row r="29" spans="1:15" s="34" customFormat="1" ht="20.100000000000001" hidden="1" customHeight="1">
      <c r="A29" s="106" t="str">
        <f t="shared" si="2"/>
        <v>HIDE</v>
      </c>
      <c r="B29" s="113"/>
      <c r="D29" s="31" t="s">
        <v>1978</v>
      </c>
      <c r="E29" s="219"/>
      <c r="F29" s="220"/>
      <c r="G29" s="221"/>
      <c r="J29" s="6">
        <f>IF($C29="*",IF($A29="Hide",0,$J$6),0)</f>
        <v>0</v>
      </c>
      <c r="K29" s="130">
        <f>IF(LEN(E29)=0,0,1)</f>
        <v>0</v>
      </c>
      <c r="L29" s="126">
        <f>IF(A29="Hide",0,IF($J$6=1,E29,0))</f>
        <v>0</v>
      </c>
      <c r="M29" s="52" t="str">
        <f>formData!B561</f>
        <v>HEALTH_DECLARATIONS_VISIT_OTHER_COUNTRIES_DATE_FROM4</v>
      </c>
      <c r="N29" s="6">
        <f t="shared" si="3"/>
        <v>0</v>
      </c>
      <c r="O29" s="6">
        <f t="shared" si="4"/>
        <v>0</v>
      </c>
    </row>
    <row r="30" spans="1:15" s="34" customFormat="1" ht="20.100000000000001" hidden="1" customHeight="1">
      <c r="A30" s="106" t="str">
        <f t="shared" si="2"/>
        <v>HIDE</v>
      </c>
      <c r="B30" s="113"/>
      <c r="D30" s="31" t="s">
        <v>1981</v>
      </c>
      <c r="E30" s="219"/>
      <c r="F30" s="220"/>
      <c r="G30" s="221"/>
      <c r="J30" s="6">
        <f>IF($C30="*",IF($A30="Hide",0,$J$6),0)</f>
        <v>0</v>
      </c>
      <c r="K30" s="130">
        <f>IF(LEN(E30)=0,0,1)</f>
        <v>0</v>
      </c>
      <c r="L30" s="126">
        <f>IF(A30="Hide",0,IF($J$6=1,E30,0))</f>
        <v>0</v>
      </c>
      <c r="M30" s="52" t="str">
        <f>formData!B562</f>
        <v>HEALTH_DECLARATIONS_VISIT_OTHER_COUNTRIES_DATE_TO4</v>
      </c>
      <c r="N30" s="6">
        <f t="shared" si="3"/>
        <v>0</v>
      </c>
      <c r="O30" s="6">
        <f t="shared" si="4"/>
        <v>0</v>
      </c>
    </row>
    <row r="31" spans="1:15" ht="20.100000000000001" hidden="1" customHeight="1">
      <c r="A31" s="106" t="str">
        <f t="shared" si="2"/>
        <v>HIDE</v>
      </c>
      <c r="B31" s="106"/>
      <c r="M31" s="52"/>
      <c r="N31" s="6">
        <f t="shared" si="3"/>
        <v>0</v>
      </c>
      <c r="O31" s="6">
        <f t="shared" si="4"/>
        <v>0</v>
      </c>
    </row>
    <row r="32" spans="1:15" ht="24.95" hidden="1" customHeight="1">
      <c r="A32" s="106" t="str">
        <f t="shared" si="2"/>
        <v>HIDE</v>
      </c>
      <c r="B32" s="106"/>
      <c r="D32" s="256" t="s">
        <v>128</v>
      </c>
      <c r="E32" s="254"/>
      <c r="F32" s="254"/>
      <c r="G32" s="255"/>
      <c r="M32" s="52"/>
      <c r="N32" s="6">
        <f t="shared" si="3"/>
        <v>0</v>
      </c>
      <c r="O32" s="6">
        <f t="shared" si="4"/>
        <v>0</v>
      </c>
    </row>
    <row r="33" spans="1:15" s="34" customFormat="1" ht="20.100000000000001" hidden="1" customHeight="1">
      <c r="A33" s="106" t="str">
        <f t="shared" si="2"/>
        <v>HIDE</v>
      </c>
      <c r="B33" s="113">
        <v>1</v>
      </c>
      <c r="D33" s="7" t="s">
        <v>203</v>
      </c>
      <c r="E33" s="304"/>
      <c r="F33" s="305"/>
      <c r="G33" s="306"/>
      <c r="J33" s="6">
        <f>IF($C33="*",IF($A33="Hide",0,$J$6),0)</f>
        <v>0</v>
      </c>
      <c r="K33" s="129">
        <f>IF(B33=1,0,1)</f>
        <v>0</v>
      </c>
      <c r="L33" s="127">
        <f>IF(A33="Hide",1,IF($J$6=1,B33,1))</f>
        <v>1</v>
      </c>
      <c r="M33" s="52" t="str">
        <f>formData!B563</f>
        <v>HEALTH_DECLARATIONS_VISIT_OTHER_COUNTRIES_NAME5</v>
      </c>
      <c r="N33" s="6">
        <f t="shared" si="3"/>
        <v>0</v>
      </c>
      <c r="O33" s="6">
        <f t="shared" si="4"/>
        <v>0</v>
      </c>
    </row>
    <row r="34" spans="1:15" s="34" customFormat="1" ht="20.100000000000001" hidden="1" customHeight="1">
      <c r="A34" s="106" t="str">
        <f t="shared" si="2"/>
        <v>HIDE</v>
      </c>
      <c r="B34" s="113">
        <v>1</v>
      </c>
      <c r="D34" s="7" t="s">
        <v>143</v>
      </c>
      <c r="E34" s="240"/>
      <c r="F34" s="241"/>
      <c r="G34" s="242"/>
      <c r="J34" s="6">
        <f>IF($C34="*",IF($A34="Hide",0,$J$6),0)</f>
        <v>0</v>
      </c>
      <c r="K34" s="129">
        <f>IF(B34=1,0,1)</f>
        <v>0</v>
      </c>
      <c r="L34" s="127">
        <f>IF(A34="Hide",1,IF($J$6=1,B34,1))</f>
        <v>1</v>
      </c>
      <c r="M34" s="52" t="str">
        <f>formData!B564</f>
        <v>HEALTH_DECLARATIONS_VISIT_OTHER_COUNTRIES_COUNTRY5</v>
      </c>
      <c r="N34" s="6">
        <f t="shared" si="3"/>
        <v>0</v>
      </c>
      <c r="O34" s="6">
        <f t="shared" si="4"/>
        <v>0</v>
      </c>
    </row>
    <row r="35" spans="1:15" s="34" customFormat="1" ht="20.100000000000001" hidden="1" customHeight="1">
      <c r="A35" s="106" t="str">
        <f t="shared" si="2"/>
        <v>HIDE</v>
      </c>
      <c r="B35" s="113"/>
      <c r="D35" s="31" t="s">
        <v>1978</v>
      </c>
      <c r="E35" s="219"/>
      <c r="F35" s="220"/>
      <c r="G35" s="221"/>
      <c r="J35" s="6">
        <f>IF($C35="*",IF($A35="Hide",0,$J$6),0)</f>
        <v>0</v>
      </c>
      <c r="K35" s="130">
        <f>IF(LEN(E35)=0,0,1)</f>
        <v>0</v>
      </c>
      <c r="L35" s="126">
        <f>IF(A35="Hide",0,IF($J$6=1,E35,0))</f>
        <v>0</v>
      </c>
      <c r="M35" s="52" t="str">
        <f>formData!B565</f>
        <v>HEALTH_DECLARATIONS_VISIT_OTHER_COUNTRIES_DATE_FROM5</v>
      </c>
      <c r="N35" s="6">
        <f t="shared" si="3"/>
        <v>0</v>
      </c>
      <c r="O35" s="6">
        <f t="shared" si="4"/>
        <v>0</v>
      </c>
    </row>
    <row r="36" spans="1:15" s="34" customFormat="1" ht="20.100000000000001" hidden="1" customHeight="1">
      <c r="A36" s="106" t="str">
        <f t="shared" si="2"/>
        <v>HIDE</v>
      </c>
      <c r="B36" s="113"/>
      <c r="D36" s="31" t="s">
        <v>1981</v>
      </c>
      <c r="E36" s="219"/>
      <c r="F36" s="220"/>
      <c r="G36" s="221"/>
      <c r="J36" s="6">
        <f>IF($C36="*",IF($A36="Hide",0,$J$6),0)</f>
        <v>0</v>
      </c>
      <c r="K36" s="130">
        <f>IF(LEN(E36)=0,0,1)</f>
        <v>0</v>
      </c>
      <c r="L36" s="126">
        <f>IF(A36="Hide",0,IF($J$6=1,E36,0))</f>
        <v>0</v>
      </c>
      <c r="M36" s="52" t="str">
        <f>formData!B566</f>
        <v>HEALTH_DECLARATIONS_VISIT_OTHER_COUNTRIES_DATE_TO5</v>
      </c>
      <c r="N36" s="6">
        <f t="shared" si="3"/>
        <v>0</v>
      </c>
      <c r="O36" s="6">
        <f t="shared" si="4"/>
        <v>0</v>
      </c>
    </row>
    <row r="37" spans="1:15" ht="20.100000000000001" hidden="1" customHeight="1">
      <c r="A37" s="106" t="str">
        <f t="shared" si="2"/>
        <v>HIDE</v>
      </c>
      <c r="B37" s="106"/>
      <c r="M37" s="52"/>
      <c r="N37" s="6">
        <f t="shared" si="3"/>
        <v>0</v>
      </c>
      <c r="O37" s="6">
        <f t="shared" si="4"/>
        <v>0</v>
      </c>
    </row>
    <row r="38" spans="1:15" ht="24.95" hidden="1" customHeight="1">
      <c r="A38" s="106" t="str">
        <f t="shared" si="2"/>
        <v>HIDE</v>
      </c>
      <c r="B38" s="106"/>
      <c r="D38" s="256" t="s">
        <v>129</v>
      </c>
      <c r="E38" s="254"/>
      <c r="F38" s="254"/>
      <c r="G38" s="255"/>
      <c r="M38" s="52"/>
      <c r="N38" s="6">
        <f t="shared" si="3"/>
        <v>0</v>
      </c>
      <c r="O38" s="6">
        <f t="shared" si="4"/>
        <v>0</v>
      </c>
    </row>
    <row r="39" spans="1:15" s="34" customFormat="1" ht="20.100000000000001" hidden="1" customHeight="1">
      <c r="A39" s="106" t="str">
        <f t="shared" si="2"/>
        <v>HIDE</v>
      </c>
      <c r="B39" s="113">
        <v>1</v>
      </c>
      <c r="D39" s="7" t="s">
        <v>203</v>
      </c>
      <c r="E39" s="304"/>
      <c r="F39" s="305"/>
      <c r="G39" s="306"/>
      <c r="J39" s="6">
        <f>IF($C39="*",IF($A39="Hide",0,$J$6),0)</f>
        <v>0</v>
      </c>
      <c r="K39" s="129">
        <f>IF(B39=1,0,1)</f>
        <v>0</v>
      </c>
      <c r="L39" s="127">
        <f>IF(A39="Hide",1,IF($J$6=1,B39,1))</f>
        <v>1</v>
      </c>
      <c r="M39" s="52" t="str">
        <f>formData!B567</f>
        <v>HEALTH_DECLARATIONS_VISIT_OTHER_COUNTRIES_NAME6</v>
      </c>
      <c r="N39" s="6">
        <f t="shared" si="3"/>
        <v>0</v>
      </c>
      <c r="O39" s="6">
        <f t="shared" si="4"/>
        <v>0</v>
      </c>
    </row>
    <row r="40" spans="1:15" s="34" customFormat="1" ht="20.100000000000001" hidden="1" customHeight="1">
      <c r="A40" s="106" t="str">
        <f t="shared" si="2"/>
        <v>HIDE</v>
      </c>
      <c r="B40" s="113">
        <v>1</v>
      </c>
      <c r="D40" s="7" t="s">
        <v>143</v>
      </c>
      <c r="E40" s="240"/>
      <c r="F40" s="241"/>
      <c r="G40" s="242"/>
      <c r="J40" s="6">
        <f>IF($C40="*",IF($A40="Hide",0,$J$6),0)</f>
        <v>0</v>
      </c>
      <c r="K40" s="129">
        <f>IF(B40=1,0,1)</f>
        <v>0</v>
      </c>
      <c r="L40" s="127">
        <f>IF(A40="Hide",1,IF($J$6=1,B40,1))</f>
        <v>1</v>
      </c>
      <c r="M40" s="52" t="str">
        <f>formData!B568</f>
        <v>HEALTH_DECLARATIONS_VISIT_OTHER_COUNTRIES_COUNTRY6</v>
      </c>
      <c r="N40" s="6">
        <f t="shared" si="3"/>
        <v>0</v>
      </c>
      <c r="O40" s="6">
        <f t="shared" si="4"/>
        <v>0</v>
      </c>
    </row>
    <row r="41" spans="1:15" s="34" customFormat="1" ht="20.100000000000001" hidden="1" customHeight="1">
      <c r="A41" s="106" t="str">
        <f t="shared" si="2"/>
        <v>HIDE</v>
      </c>
      <c r="B41" s="113"/>
      <c r="D41" s="31" t="s">
        <v>1978</v>
      </c>
      <c r="E41" s="219"/>
      <c r="F41" s="220"/>
      <c r="G41" s="221"/>
      <c r="J41" s="6">
        <f>IF($C41="*",IF($A41="Hide",0,$J$6),0)</f>
        <v>0</v>
      </c>
      <c r="K41" s="130">
        <f>IF(LEN(E41)=0,0,1)</f>
        <v>0</v>
      </c>
      <c r="L41" s="126">
        <f>IF(A41="Hide",0,IF($J$6=1,E41,0))</f>
        <v>0</v>
      </c>
      <c r="M41" s="52" t="str">
        <f>formData!B569</f>
        <v>HEALTH_DECLARATIONS_VISIT_OTHER_COUNTRIES_DATE_FROM6</v>
      </c>
      <c r="N41" s="6">
        <f t="shared" si="3"/>
        <v>0</v>
      </c>
      <c r="O41" s="6">
        <f t="shared" si="4"/>
        <v>0</v>
      </c>
    </row>
    <row r="42" spans="1:15" s="34" customFormat="1" ht="20.100000000000001" hidden="1" customHeight="1">
      <c r="A42" s="106" t="str">
        <f t="shared" si="2"/>
        <v>HIDE</v>
      </c>
      <c r="B42" s="113"/>
      <c r="D42" s="31" t="s">
        <v>1981</v>
      </c>
      <c r="E42" s="219"/>
      <c r="F42" s="220"/>
      <c r="G42" s="221"/>
      <c r="J42" s="6">
        <f>IF($C42="*",IF($A42="Hide",0,$J$6),0)</f>
        <v>0</v>
      </c>
      <c r="K42" s="130">
        <f>IF(LEN(E42)=0,0,1)</f>
        <v>0</v>
      </c>
      <c r="L42" s="126">
        <f>IF(A42="Hide",0,IF($J$6=1,E42,0))</f>
        <v>0</v>
      </c>
      <c r="M42" s="52" t="str">
        <f>formData!B570</f>
        <v>HEALTH_DECLARATIONS_VISIT_OTHER_COUNTRIES_DATE_TO6</v>
      </c>
      <c r="N42" s="6">
        <f t="shared" si="3"/>
        <v>0</v>
      </c>
      <c r="O42" s="6">
        <f t="shared" si="4"/>
        <v>0</v>
      </c>
    </row>
    <row r="43" spans="1:15" ht="20.100000000000001" hidden="1" customHeight="1">
      <c r="A43" s="106" t="str">
        <f t="shared" si="2"/>
        <v>HIDE</v>
      </c>
      <c r="B43" s="106"/>
      <c r="M43" s="52"/>
      <c r="N43" s="6">
        <f t="shared" si="3"/>
        <v>0</v>
      </c>
      <c r="O43" s="6">
        <f t="shared" si="4"/>
        <v>0</v>
      </c>
    </row>
    <row r="44" spans="1:15" ht="24.95" customHeight="1">
      <c r="A44" s="106"/>
      <c r="B44" s="106"/>
      <c r="D44" s="256" t="s">
        <v>130</v>
      </c>
      <c r="E44" s="254"/>
      <c r="F44" s="254"/>
      <c r="G44" s="255"/>
      <c r="M44" s="52"/>
      <c r="N44" s="6">
        <f t="shared" si="3"/>
        <v>0</v>
      </c>
      <c r="O44" s="6">
        <f t="shared" si="4"/>
        <v>0</v>
      </c>
    </row>
    <row r="45" spans="1:15" s="34" customFormat="1" ht="45" customHeight="1">
      <c r="A45" s="113"/>
      <c r="B45" s="113">
        <v>1</v>
      </c>
      <c r="C45" s="74" t="s">
        <v>1912</v>
      </c>
      <c r="D45" s="25" t="s">
        <v>204</v>
      </c>
      <c r="E45" s="281"/>
      <c r="F45" s="282"/>
      <c r="G45" s="283"/>
      <c r="J45" s="6">
        <f>IF($C45="*",IF($A45="Hide",0,$J$6),0)</f>
        <v>1</v>
      </c>
      <c r="K45" s="129">
        <f>IF(B45=1,0,1)</f>
        <v>0</v>
      </c>
      <c r="L45" s="127">
        <f>IF(A45="Hide",1,IF($J$6=1,B45,1))</f>
        <v>1</v>
      </c>
      <c r="M45" s="52" t="str">
        <f>formData!B573</f>
        <v>HEALTH_DECLARATIONS_ENTER_HOSPITALS_INTENTION</v>
      </c>
      <c r="N45" s="6">
        <f t="shared" si="3"/>
        <v>1</v>
      </c>
      <c r="O45" s="6">
        <f t="shared" si="4"/>
        <v>0</v>
      </c>
    </row>
    <row r="46" spans="1:15" s="34" customFormat="1" ht="20.100000000000001" hidden="1" customHeight="1">
      <c r="A46" s="106" t="str">
        <f>IF($B$45=2,"Show","HIDE")</f>
        <v>HIDE</v>
      </c>
      <c r="B46" s="113">
        <v>1</v>
      </c>
      <c r="C46" s="74" t="s">
        <v>1912</v>
      </c>
      <c r="D46" s="7" t="s">
        <v>203</v>
      </c>
      <c r="E46" s="240"/>
      <c r="F46" s="241"/>
      <c r="G46" s="242"/>
      <c r="J46" s="6">
        <f>IF($C46="*",IF($A46="Hide",0,$J$6),0)</f>
        <v>0</v>
      </c>
      <c r="K46" s="130">
        <f>IF(B46=0,0,1)</f>
        <v>1</v>
      </c>
      <c r="L46" s="126">
        <f>IF(A46="Hide",1,IF($J$6=1,B46,1))</f>
        <v>1</v>
      </c>
      <c r="M46" s="52" t="str">
        <f>formData!B574</f>
        <v>HEALTH_DECLARATIONS_ENTER_HOSPITALS_FULL_NAME1</v>
      </c>
      <c r="N46" s="6">
        <f t="shared" si="3"/>
        <v>0</v>
      </c>
      <c r="O46" s="6">
        <f t="shared" si="4"/>
        <v>0</v>
      </c>
    </row>
    <row r="47" spans="1:15" s="34" customFormat="1" ht="20.100000000000001" hidden="1" customHeight="1">
      <c r="A47" s="106" t="str">
        <f t="shared" ref="A47:A55" si="5">IF($B$45=2,"Show","HIDE")</f>
        <v>HIDE</v>
      </c>
      <c r="B47" s="113">
        <v>1</v>
      </c>
      <c r="C47" s="74" t="s">
        <v>1912</v>
      </c>
      <c r="D47" s="7" t="s">
        <v>205</v>
      </c>
      <c r="E47" s="240"/>
      <c r="F47" s="241"/>
      <c r="G47" s="242"/>
      <c r="J47" s="6">
        <f>IF($C47="*",IF($A47="Hide",0,$J$6),0)</f>
        <v>0</v>
      </c>
      <c r="K47" s="129">
        <f>IF(B47=1,0,1)</f>
        <v>0</v>
      </c>
      <c r="L47" s="127">
        <f>IF(A47="Hide",1,IF($J$6=1,B47,1))</f>
        <v>1</v>
      </c>
      <c r="M47" s="52" t="str">
        <f>formData!B575</f>
        <v>HEALTH_DECLARATIONS_ENTER_HOSPITALS_REASON1</v>
      </c>
      <c r="N47" s="6">
        <f t="shared" si="3"/>
        <v>0</v>
      </c>
      <c r="O47" s="6">
        <f t="shared" si="4"/>
        <v>0</v>
      </c>
    </row>
    <row r="48" spans="1:15" s="34" customFormat="1" ht="20.100000000000001" hidden="1" customHeight="1">
      <c r="A48" s="106" t="str">
        <f t="shared" si="5"/>
        <v>HIDE</v>
      </c>
      <c r="B48" s="113"/>
      <c r="D48" s="315" t="s">
        <v>131</v>
      </c>
      <c r="E48" s="287"/>
      <c r="F48" s="287"/>
      <c r="G48" s="288"/>
      <c r="M48" s="52"/>
      <c r="N48" s="6">
        <f t="shared" si="3"/>
        <v>0</v>
      </c>
      <c r="O48" s="6">
        <f t="shared" si="4"/>
        <v>0</v>
      </c>
    </row>
    <row r="49" spans="1:15" s="34" customFormat="1" ht="60" hidden="1" customHeight="1">
      <c r="A49" s="106" t="str">
        <f t="shared" si="5"/>
        <v>HIDE</v>
      </c>
      <c r="B49" s="113"/>
      <c r="C49" s="74" t="s">
        <v>1912</v>
      </c>
      <c r="D49" s="258"/>
      <c r="E49" s="259"/>
      <c r="F49" s="259"/>
      <c r="G49" s="260"/>
      <c r="J49" s="157">
        <f>IF($C49="*",IF($A49="Hide",0,$J$6),0)</f>
        <v>0</v>
      </c>
      <c r="K49" s="158">
        <f>IF(LEN(D49)=0,0,1)</f>
        <v>0</v>
      </c>
      <c r="L49" s="157">
        <f>IF(A49="Hide",0,IF($J$6=1,D49,0))</f>
        <v>0</v>
      </c>
      <c r="M49" s="52" t="str">
        <f>formData!B576</f>
        <v>HEALTH_DECLARATIONS_ENTER_HOSPITALS_GIVE_DETAILS1</v>
      </c>
      <c r="N49" s="6">
        <f t="shared" si="3"/>
        <v>0</v>
      </c>
      <c r="O49" s="6">
        <f t="shared" si="4"/>
        <v>0</v>
      </c>
    </row>
    <row r="50" spans="1:15" s="34" customFormat="1" ht="20.100000000000001" hidden="1" customHeight="1">
      <c r="A50" s="106" t="str">
        <f t="shared" si="5"/>
        <v>HIDE</v>
      </c>
      <c r="B50" s="113"/>
      <c r="D50" s="41"/>
      <c r="E50" s="41"/>
      <c r="F50" s="41"/>
      <c r="G50" s="41"/>
      <c r="M50" s="52"/>
      <c r="N50" s="6">
        <f t="shared" si="3"/>
        <v>0</v>
      </c>
      <c r="O50" s="6">
        <f t="shared" si="4"/>
        <v>0</v>
      </c>
    </row>
    <row r="51" spans="1:15" ht="24.95" hidden="1" customHeight="1">
      <c r="A51" s="106" t="str">
        <f t="shared" si="5"/>
        <v>HIDE</v>
      </c>
      <c r="B51" s="106"/>
      <c r="D51" s="256" t="s">
        <v>1229</v>
      </c>
      <c r="E51" s="254"/>
      <c r="F51" s="254"/>
      <c r="G51" s="255"/>
      <c r="M51" s="52"/>
      <c r="N51" s="6">
        <f t="shared" si="3"/>
        <v>0</v>
      </c>
      <c r="O51" s="6">
        <f t="shared" si="4"/>
        <v>0</v>
      </c>
    </row>
    <row r="52" spans="1:15" s="34" customFormat="1" ht="20.100000000000001" hidden="1" customHeight="1">
      <c r="A52" s="106" t="str">
        <f t="shared" si="5"/>
        <v>HIDE</v>
      </c>
      <c r="B52" s="113">
        <v>1</v>
      </c>
      <c r="D52" s="7" t="s">
        <v>203</v>
      </c>
      <c r="E52" s="240"/>
      <c r="F52" s="241"/>
      <c r="G52" s="242"/>
      <c r="J52" s="6">
        <f>IF($C52="*",IF($A52="Hide",0,$J$6),0)</f>
        <v>0</v>
      </c>
      <c r="K52" s="130">
        <f>IF(B52=0,0,1)</f>
        <v>1</v>
      </c>
      <c r="L52" s="126">
        <f>IF(A52="Hide",1,IF($J$6=1,B52,1))</f>
        <v>1</v>
      </c>
      <c r="M52" s="52" t="str">
        <f>formData!B577</f>
        <v>HEALTH_DECLARATIONS_ENTER_HOSPITALS_FULL_NAME2</v>
      </c>
      <c r="N52" s="6">
        <f t="shared" si="3"/>
        <v>0</v>
      </c>
      <c r="O52" s="6">
        <f t="shared" si="4"/>
        <v>0</v>
      </c>
    </row>
    <row r="53" spans="1:15" s="34" customFormat="1" ht="20.100000000000001" hidden="1" customHeight="1">
      <c r="A53" s="106" t="str">
        <f t="shared" si="5"/>
        <v>HIDE</v>
      </c>
      <c r="B53" s="113">
        <v>1</v>
      </c>
      <c r="D53" s="7" t="s">
        <v>205</v>
      </c>
      <c r="E53" s="240"/>
      <c r="F53" s="241"/>
      <c r="G53" s="242"/>
      <c r="J53" s="6">
        <f>IF($C53="*",IF($A53="Hide",0,$J$6),0)</f>
        <v>0</v>
      </c>
      <c r="K53" s="129">
        <f>IF(B53=1,0,1)</f>
        <v>0</v>
      </c>
      <c r="L53" s="127">
        <f>IF(A53="Hide",1,IF($J$6=1,B53,1))</f>
        <v>1</v>
      </c>
      <c r="M53" s="52" t="str">
        <f>formData!B578</f>
        <v>HEALTH_DECLARATIONS_ENTER_HOSPITALS_REASON2</v>
      </c>
      <c r="N53" s="6">
        <f t="shared" si="3"/>
        <v>0</v>
      </c>
      <c r="O53" s="6">
        <f t="shared" si="4"/>
        <v>0</v>
      </c>
    </row>
    <row r="54" spans="1:15" s="34" customFormat="1" ht="20.100000000000001" hidden="1" customHeight="1">
      <c r="A54" s="106" t="str">
        <f t="shared" si="5"/>
        <v>HIDE</v>
      </c>
      <c r="B54" s="113"/>
      <c r="D54" s="315" t="s">
        <v>131</v>
      </c>
      <c r="E54" s="287"/>
      <c r="F54" s="287"/>
      <c r="G54" s="288"/>
      <c r="M54" s="52"/>
      <c r="N54" s="6">
        <f t="shared" si="3"/>
        <v>0</v>
      </c>
      <c r="O54" s="6">
        <f t="shared" si="4"/>
        <v>0</v>
      </c>
    </row>
    <row r="55" spans="1:15" s="34" customFormat="1" ht="60" hidden="1" customHeight="1">
      <c r="A55" s="106" t="str">
        <f t="shared" si="5"/>
        <v>HIDE</v>
      </c>
      <c r="B55" s="113"/>
      <c r="D55" s="258"/>
      <c r="E55" s="259"/>
      <c r="F55" s="259"/>
      <c r="G55" s="260"/>
      <c r="J55" s="157">
        <f>IF($C55="*",IF($A55="Hide",0,$J$6),0)</f>
        <v>0</v>
      </c>
      <c r="K55" s="158">
        <f>IF(LEN(D55)=0,0,1)</f>
        <v>0</v>
      </c>
      <c r="L55" s="157">
        <f>IF(A55="Hide",0,IF($J$6=1,D55,0))</f>
        <v>0</v>
      </c>
      <c r="M55" s="52" t="str">
        <f>formData!B579</f>
        <v>HEALTH_DECLARATIONS_ENTER_HOSPITALS_GIVE_DETAILS2</v>
      </c>
      <c r="N55" s="6">
        <f t="shared" si="3"/>
        <v>0</v>
      </c>
      <c r="O55" s="6">
        <f t="shared" si="4"/>
        <v>0</v>
      </c>
    </row>
    <row r="56" spans="1:15" ht="20.100000000000001" customHeight="1">
      <c r="A56" s="106"/>
      <c r="B56" s="106"/>
      <c r="M56" s="52"/>
      <c r="N56" s="6">
        <f t="shared" si="3"/>
        <v>0</v>
      </c>
      <c r="O56" s="6">
        <f t="shared" si="4"/>
        <v>0</v>
      </c>
    </row>
    <row r="57" spans="1:15" ht="24.95" customHeight="1">
      <c r="A57" s="106"/>
      <c r="B57" s="106"/>
      <c r="D57" s="256" t="s">
        <v>132</v>
      </c>
      <c r="E57" s="254"/>
      <c r="F57" s="254"/>
      <c r="G57" s="255"/>
      <c r="M57" s="52"/>
      <c r="N57" s="6">
        <f t="shared" si="3"/>
        <v>0</v>
      </c>
      <c r="O57" s="6">
        <f t="shared" si="4"/>
        <v>0</v>
      </c>
    </row>
    <row r="58" spans="1:15" s="34" customFormat="1" ht="50.1" customHeight="1">
      <c r="A58" s="113"/>
      <c r="B58" s="113">
        <v>1</v>
      </c>
      <c r="C58" s="74" t="s">
        <v>1912</v>
      </c>
      <c r="D58" s="25" t="s">
        <v>206</v>
      </c>
      <c r="E58" s="281"/>
      <c r="F58" s="282"/>
      <c r="G58" s="283"/>
      <c r="J58" s="6">
        <f>IF($C58="*",IF($A58="Hide",0,$J$6),0)</f>
        <v>1</v>
      </c>
      <c r="K58" s="129">
        <f>IF(B58=1,0,1)</f>
        <v>0</v>
      </c>
      <c r="L58" s="127">
        <f>IF(A58="Hide",1,IF($J$6=1,B58,1))</f>
        <v>1</v>
      </c>
      <c r="M58" s="52" t="str">
        <f>formData!B580</f>
        <v>HEALTH_DECLARATIONS_WORK_STUDY_HOSPITALS_INTENTION</v>
      </c>
      <c r="N58" s="6">
        <f t="shared" si="3"/>
        <v>1</v>
      </c>
      <c r="O58" s="6">
        <f t="shared" si="4"/>
        <v>0</v>
      </c>
    </row>
    <row r="59" spans="1:15" s="34" customFormat="1" ht="20.100000000000001" hidden="1" customHeight="1">
      <c r="A59" s="106" t="str">
        <f>IF($B$58=2,"Show","HIDE")</f>
        <v>HIDE</v>
      </c>
      <c r="B59" s="113">
        <v>1</v>
      </c>
      <c r="C59" s="74" t="s">
        <v>1912</v>
      </c>
      <c r="D59" s="7" t="s">
        <v>203</v>
      </c>
      <c r="E59" s="240"/>
      <c r="F59" s="241"/>
      <c r="G59" s="242"/>
      <c r="J59" s="6">
        <f>IF($C59="*",IF($A59="Hide",0,$J$6),0)</f>
        <v>0</v>
      </c>
      <c r="K59" s="130">
        <f>IF(B59=0,0,1)</f>
        <v>1</v>
      </c>
      <c r="L59" s="126">
        <f>IF(A59="Hide",1,IF($J$6=1,B59,1))</f>
        <v>1</v>
      </c>
      <c r="M59" s="52" t="str">
        <f>formData!B581</f>
        <v>HEALTH_DECLARATIONS_WORK_STUDY_HOSPITALS_FULL_NAME1</v>
      </c>
      <c r="N59" s="6">
        <f t="shared" si="3"/>
        <v>0</v>
      </c>
      <c r="O59" s="6">
        <f t="shared" si="4"/>
        <v>0</v>
      </c>
    </row>
    <row r="60" spans="1:15" s="34" customFormat="1" ht="20.100000000000001" hidden="1" customHeight="1">
      <c r="A60" s="106" t="str">
        <f t="shared" ref="A60:A65" si="6">IF($B$58=2,"Show","HIDE")</f>
        <v>HIDE</v>
      </c>
      <c r="B60" s="113"/>
      <c r="D60" s="315" t="s">
        <v>131</v>
      </c>
      <c r="E60" s="287"/>
      <c r="F60" s="287"/>
      <c r="G60" s="288"/>
      <c r="N60" s="6">
        <f t="shared" si="3"/>
        <v>0</v>
      </c>
      <c r="O60" s="6">
        <f t="shared" si="4"/>
        <v>0</v>
      </c>
    </row>
    <row r="61" spans="1:15" s="34" customFormat="1" ht="60" hidden="1" customHeight="1">
      <c r="A61" s="106" t="str">
        <f t="shared" si="6"/>
        <v>HIDE</v>
      </c>
      <c r="B61" s="113"/>
      <c r="C61" s="74" t="s">
        <v>1912</v>
      </c>
      <c r="D61" s="258"/>
      <c r="E61" s="259"/>
      <c r="F61" s="259"/>
      <c r="G61" s="260"/>
      <c r="J61" s="157">
        <f>IF($C61="*",IF($A61="Hide",0,$J$6),0)</f>
        <v>0</v>
      </c>
      <c r="K61" s="158">
        <f>IF(LEN(D61)=0,0,1)</f>
        <v>0</v>
      </c>
      <c r="L61" s="157">
        <f>IF(A61="Hide",0,IF($J$6=1,D61,0))</f>
        <v>0</v>
      </c>
      <c r="M61" s="52" t="str">
        <f>formData!B582</f>
        <v>HEALTH_DECLARATIONS_WORK_STUDY_HOSPITALS_GIVE_DETAILS1</v>
      </c>
      <c r="N61" s="6">
        <f t="shared" si="3"/>
        <v>0</v>
      </c>
      <c r="O61" s="6">
        <f t="shared" si="4"/>
        <v>0</v>
      </c>
    </row>
    <row r="62" spans="1:15" ht="20.100000000000001" hidden="1" customHeight="1">
      <c r="A62" s="106" t="str">
        <f t="shared" si="6"/>
        <v>HIDE</v>
      </c>
      <c r="B62" s="106"/>
      <c r="M62" s="52"/>
      <c r="N62" s="6">
        <f t="shared" si="3"/>
        <v>0</v>
      </c>
      <c r="O62" s="6">
        <f t="shared" si="4"/>
        <v>0</v>
      </c>
    </row>
    <row r="63" spans="1:15" ht="24.95" hidden="1" customHeight="1">
      <c r="A63" s="106" t="str">
        <f t="shared" si="6"/>
        <v>HIDE</v>
      </c>
      <c r="B63" s="106"/>
      <c r="D63" s="256" t="s">
        <v>133</v>
      </c>
      <c r="E63" s="254"/>
      <c r="F63" s="254"/>
      <c r="G63" s="255"/>
      <c r="M63" s="52"/>
      <c r="N63" s="6">
        <f t="shared" si="3"/>
        <v>0</v>
      </c>
      <c r="O63" s="6">
        <f t="shared" si="4"/>
        <v>0</v>
      </c>
    </row>
    <row r="64" spans="1:15" s="34" customFormat="1" ht="20.100000000000001" hidden="1" customHeight="1">
      <c r="A64" s="106" t="str">
        <f t="shared" si="6"/>
        <v>HIDE</v>
      </c>
      <c r="B64" s="113">
        <v>1</v>
      </c>
      <c r="D64" s="7" t="s">
        <v>203</v>
      </c>
      <c r="E64" s="240"/>
      <c r="F64" s="241"/>
      <c r="G64" s="242"/>
      <c r="J64" s="6">
        <f>IF($C64="*",IF($A64="Hide",0,$J$6),0)</f>
        <v>0</v>
      </c>
      <c r="K64" s="130">
        <f>IF(B64=0,0,1)</f>
        <v>1</v>
      </c>
      <c r="L64" s="126">
        <f>IF(A64="Hide",1,IF($J$6=1,B64,1))</f>
        <v>1</v>
      </c>
      <c r="M64" s="52" t="str">
        <f>formData!B583</f>
        <v>HEALTH_DECLARATIONS_WORK_STUDY_HOSPITALS_FULL_NAME2</v>
      </c>
      <c r="N64" s="6">
        <f t="shared" si="3"/>
        <v>0</v>
      </c>
      <c r="O64" s="6">
        <f t="shared" si="4"/>
        <v>0</v>
      </c>
    </row>
    <row r="65" spans="1:15" s="34" customFormat="1" ht="20.100000000000001" hidden="1" customHeight="1">
      <c r="A65" s="106" t="str">
        <f t="shared" si="6"/>
        <v>HIDE</v>
      </c>
      <c r="B65" s="113"/>
      <c r="D65" s="315" t="s">
        <v>131</v>
      </c>
      <c r="E65" s="287"/>
      <c r="F65" s="287"/>
      <c r="G65" s="288"/>
      <c r="N65" s="6">
        <f t="shared" si="3"/>
        <v>0</v>
      </c>
      <c r="O65" s="6">
        <f t="shared" si="4"/>
        <v>0</v>
      </c>
    </row>
    <row r="66" spans="1:15" s="34" customFormat="1" ht="60" hidden="1" customHeight="1">
      <c r="A66" s="106" t="str">
        <f>IF($B$58=2,"Show","HIDE")</f>
        <v>HIDE</v>
      </c>
      <c r="B66" s="113"/>
      <c r="D66" s="258"/>
      <c r="E66" s="259"/>
      <c r="F66" s="259"/>
      <c r="G66" s="260"/>
      <c r="J66" s="157">
        <f>IF($C66="*",IF($A66="Hide",0,$J$6),0)</f>
        <v>0</v>
      </c>
      <c r="K66" s="158">
        <f>IF(LEN(D66)=0,0,1)</f>
        <v>0</v>
      </c>
      <c r="L66" s="157">
        <f>IF(A66="Hide",0,IF($J$6=1,D66,0))</f>
        <v>0</v>
      </c>
      <c r="M66" s="52" t="str">
        <f>formData!B584</f>
        <v>HEALTH_DECLARATIONS_WORK_STUDY_HOSPITALS_GIVE_DETAILS2</v>
      </c>
      <c r="N66" s="6">
        <f t="shared" si="3"/>
        <v>0</v>
      </c>
      <c r="O66" s="6">
        <f t="shared" si="4"/>
        <v>0</v>
      </c>
    </row>
    <row r="67" spans="1:15" s="34" customFormat="1" ht="20.100000000000001" customHeight="1">
      <c r="A67" s="113"/>
      <c r="B67" s="113"/>
      <c r="D67" s="41"/>
      <c r="E67" s="41"/>
      <c r="F67" s="41"/>
      <c r="G67" s="41"/>
      <c r="M67" s="52"/>
      <c r="N67" s="6">
        <f t="shared" si="3"/>
        <v>0</v>
      </c>
      <c r="O67" s="6">
        <f t="shared" si="4"/>
        <v>0</v>
      </c>
    </row>
    <row r="68" spans="1:15" ht="24.95" customHeight="1">
      <c r="A68" s="106"/>
      <c r="B68" s="106"/>
      <c r="D68" s="256" t="s">
        <v>1230</v>
      </c>
      <c r="E68" s="254"/>
      <c r="F68" s="254"/>
      <c r="G68" s="255"/>
      <c r="M68" s="52"/>
      <c r="N68" s="6">
        <f t="shared" si="3"/>
        <v>0</v>
      </c>
      <c r="O68" s="6">
        <f t="shared" si="4"/>
        <v>0</v>
      </c>
    </row>
    <row r="69" spans="1:15" s="34" customFormat="1" ht="57" customHeight="1">
      <c r="A69" s="113"/>
      <c r="B69" s="113">
        <v>1</v>
      </c>
      <c r="C69" s="74" t="s">
        <v>1912</v>
      </c>
      <c r="D69" s="30" t="s">
        <v>1232</v>
      </c>
      <c r="E69" s="281"/>
      <c r="F69" s="282"/>
      <c r="G69" s="283"/>
      <c r="J69" s="6">
        <f>IF($C69="*",IF($A69="Hide",0,$J$6),0)</f>
        <v>1</v>
      </c>
      <c r="K69" s="129">
        <f>IF(B69=1,0,1)</f>
        <v>0</v>
      </c>
      <c r="L69" s="127">
        <f>IF(A69="Hide",1,IF($J$6=1,B69,1))</f>
        <v>1</v>
      </c>
      <c r="M69" s="52" t="str">
        <f>formData!B585</f>
        <v>HEALTH_DECLARATIONS_WORK_CHILD_CARE_INTENTION</v>
      </c>
      <c r="N69" s="6">
        <f t="shared" si="3"/>
        <v>1</v>
      </c>
      <c r="O69" s="6">
        <f t="shared" si="4"/>
        <v>0</v>
      </c>
    </row>
    <row r="70" spans="1:15" s="34" customFormat="1" ht="20.100000000000001" hidden="1" customHeight="1">
      <c r="A70" s="106" t="str">
        <f>IF($B$69=2,"Show","HIDE")</f>
        <v>HIDE</v>
      </c>
      <c r="B70" s="113">
        <v>1</v>
      </c>
      <c r="C70" s="74" t="s">
        <v>1912</v>
      </c>
      <c r="D70" s="7" t="s">
        <v>203</v>
      </c>
      <c r="E70" s="240"/>
      <c r="F70" s="241"/>
      <c r="G70" s="242"/>
      <c r="J70" s="6">
        <f>IF($C70="*",IF($A70="Hide",0,$J$6),0)</f>
        <v>0</v>
      </c>
      <c r="K70" s="130">
        <f>IF(B70=0,0,1)</f>
        <v>1</v>
      </c>
      <c r="L70" s="126">
        <f>IF(A70="Hide",1,IF($J$6=1,B70,1))</f>
        <v>1</v>
      </c>
      <c r="M70" s="52" t="str">
        <f>formData!B586</f>
        <v>HEALTH_DECLARATIONS_WORK_CHILD_CARE_FULL_NAME1</v>
      </c>
      <c r="N70" s="6">
        <f t="shared" si="3"/>
        <v>0</v>
      </c>
      <c r="O70" s="6">
        <f t="shared" si="4"/>
        <v>0</v>
      </c>
    </row>
    <row r="71" spans="1:15" s="34" customFormat="1" ht="20.100000000000001" hidden="1" customHeight="1">
      <c r="A71" s="106" t="str">
        <f t="shared" ref="A71:A77" si="7">IF($B$69=2,"Show","HIDE")</f>
        <v>HIDE</v>
      </c>
      <c r="B71" s="113"/>
      <c r="D71" s="315" t="s">
        <v>131</v>
      </c>
      <c r="E71" s="287"/>
      <c r="F71" s="287"/>
      <c r="G71" s="288"/>
      <c r="M71" s="52"/>
      <c r="N71" s="6">
        <f t="shared" si="3"/>
        <v>0</v>
      </c>
      <c r="O71" s="6">
        <f t="shared" si="4"/>
        <v>0</v>
      </c>
    </row>
    <row r="72" spans="1:15" s="34" customFormat="1" ht="60" hidden="1" customHeight="1">
      <c r="A72" s="106" t="str">
        <f t="shared" si="7"/>
        <v>HIDE</v>
      </c>
      <c r="B72" s="113"/>
      <c r="C72" s="74" t="s">
        <v>1912</v>
      </c>
      <c r="D72" s="258"/>
      <c r="E72" s="259"/>
      <c r="F72" s="259"/>
      <c r="G72" s="260"/>
      <c r="J72" s="157">
        <f>IF($C72="*",IF($A72="Hide",0,$J$6),0)</f>
        <v>0</v>
      </c>
      <c r="K72" s="158">
        <f>IF(LEN(D72)=0,0,1)</f>
        <v>0</v>
      </c>
      <c r="L72" s="157">
        <f>IF(A72="Hide",0,IF($J$6=1,D72,0))</f>
        <v>0</v>
      </c>
      <c r="M72" s="52" t="str">
        <f>formData!B587</f>
        <v>HEALTH_DECLARATIONS_WORK_CHILD_CARE_GIVE_DETAILS1</v>
      </c>
      <c r="N72" s="6">
        <f t="shared" si="3"/>
        <v>0</v>
      </c>
      <c r="O72" s="6">
        <f t="shared" si="4"/>
        <v>0</v>
      </c>
    </row>
    <row r="73" spans="1:15" s="34" customFormat="1" ht="20.100000000000001" hidden="1" customHeight="1">
      <c r="A73" s="106" t="str">
        <f t="shared" si="7"/>
        <v>HIDE</v>
      </c>
      <c r="B73" s="113"/>
      <c r="D73" s="41"/>
      <c r="E73" s="41"/>
      <c r="F73" s="41"/>
      <c r="G73" s="41"/>
      <c r="M73" s="52"/>
      <c r="N73" s="6">
        <f t="shared" si="3"/>
        <v>0</v>
      </c>
      <c r="O73" s="6">
        <f t="shared" si="4"/>
        <v>0</v>
      </c>
    </row>
    <row r="74" spans="1:15" ht="24.95" hidden="1" customHeight="1">
      <c r="A74" s="106" t="str">
        <f t="shared" si="7"/>
        <v>HIDE</v>
      </c>
      <c r="B74" s="106"/>
      <c r="D74" s="256" t="s">
        <v>1231</v>
      </c>
      <c r="E74" s="254"/>
      <c r="F74" s="254"/>
      <c r="G74" s="255"/>
      <c r="M74" s="52"/>
      <c r="N74" s="6">
        <f t="shared" si="3"/>
        <v>0</v>
      </c>
      <c r="O74" s="6">
        <f t="shared" si="4"/>
        <v>0</v>
      </c>
    </row>
    <row r="75" spans="1:15" s="34" customFormat="1" ht="20.100000000000001" hidden="1" customHeight="1">
      <c r="A75" s="106" t="str">
        <f t="shared" si="7"/>
        <v>HIDE</v>
      </c>
      <c r="B75" s="113">
        <v>1</v>
      </c>
      <c r="D75" s="7" t="s">
        <v>203</v>
      </c>
      <c r="E75" s="240"/>
      <c r="F75" s="241"/>
      <c r="G75" s="242"/>
      <c r="J75" s="6">
        <f>IF($C75="*",IF($A75="Hide",0,$J$6),0)</f>
        <v>0</v>
      </c>
      <c r="K75" s="130">
        <f>IF(B75=0,0,1)</f>
        <v>1</v>
      </c>
      <c r="L75" s="126">
        <f>IF(A75="Hide",1,IF($J$6=1,B75,1))</f>
        <v>1</v>
      </c>
      <c r="M75" s="52" t="str">
        <f>formData!B588</f>
        <v>HEALTH_DECLARATIONS_WORK_CHILD_CARE_FULL_NAME2</v>
      </c>
      <c r="N75" s="6">
        <f t="shared" si="3"/>
        <v>0</v>
      </c>
      <c r="O75" s="6">
        <f t="shared" si="4"/>
        <v>0</v>
      </c>
    </row>
    <row r="76" spans="1:15" s="34" customFormat="1" ht="20.100000000000001" hidden="1" customHeight="1">
      <c r="A76" s="106" t="str">
        <f t="shared" si="7"/>
        <v>HIDE</v>
      </c>
      <c r="B76" s="113"/>
      <c r="D76" s="315" t="s">
        <v>131</v>
      </c>
      <c r="E76" s="287"/>
      <c r="F76" s="287"/>
      <c r="G76" s="288"/>
      <c r="M76" s="52"/>
      <c r="N76" s="6">
        <f t="shared" ref="N76:N124" si="8">IF(J76=1,1,0)</f>
        <v>0</v>
      </c>
      <c r="O76" s="6">
        <f t="shared" ref="O76:O124" si="9">+J76*K76</f>
        <v>0</v>
      </c>
    </row>
    <row r="77" spans="1:15" s="34" customFormat="1" ht="60" hidden="1" customHeight="1">
      <c r="A77" s="106" t="str">
        <f t="shared" si="7"/>
        <v>HIDE</v>
      </c>
      <c r="B77" s="113"/>
      <c r="D77" s="258"/>
      <c r="E77" s="259"/>
      <c r="F77" s="259"/>
      <c r="G77" s="260"/>
      <c r="J77" s="157">
        <f>IF($C77="*",IF($A77="Hide",0,$J$6),0)</f>
        <v>0</v>
      </c>
      <c r="K77" s="158">
        <f>IF(LEN(D77)=0,0,1)</f>
        <v>0</v>
      </c>
      <c r="L77" s="157">
        <f>IF(A77="Hide",0,IF($J$6=1,D77,0))</f>
        <v>0</v>
      </c>
      <c r="M77" s="52" t="str">
        <f>formData!B589</f>
        <v>HEALTH_DECLARATIONS_WORK_CHILD_CARE_GIVE_DETAILS2</v>
      </c>
      <c r="N77" s="6">
        <f t="shared" si="8"/>
        <v>0</v>
      </c>
      <c r="O77" s="6">
        <f t="shared" si="9"/>
        <v>0</v>
      </c>
    </row>
    <row r="78" spans="1:15" ht="20.100000000000001" customHeight="1">
      <c r="A78" s="106"/>
      <c r="B78" s="106"/>
      <c r="M78" s="52"/>
      <c r="N78" s="6">
        <f t="shared" si="8"/>
        <v>0</v>
      </c>
      <c r="O78" s="6">
        <f t="shared" si="9"/>
        <v>0</v>
      </c>
    </row>
    <row r="79" spans="1:15" ht="24.95" customHeight="1">
      <c r="A79" s="106"/>
      <c r="B79" s="106"/>
      <c r="D79" s="256" t="s">
        <v>134</v>
      </c>
      <c r="E79" s="254"/>
      <c r="F79" s="254"/>
      <c r="G79" s="255"/>
      <c r="M79" s="52"/>
      <c r="N79" s="6">
        <f t="shared" si="8"/>
        <v>0</v>
      </c>
      <c r="O79" s="6">
        <f t="shared" si="9"/>
        <v>0</v>
      </c>
    </row>
    <row r="80" spans="1:15" s="34" customFormat="1" ht="54.95" customHeight="1">
      <c r="A80" s="113"/>
      <c r="B80" s="113">
        <v>1</v>
      </c>
      <c r="C80" s="74" t="s">
        <v>1912</v>
      </c>
      <c r="D80" s="30" t="s">
        <v>1233</v>
      </c>
      <c r="E80" s="281"/>
      <c r="F80" s="282"/>
      <c r="G80" s="283"/>
      <c r="J80" s="6">
        <f>IF($C80="*",IF($A80="Hide",0,$J$6),0)</f>
        <v>1</v>
      </c>
      <c r="K80" s="129">
        <f>IF(B80=1,0,1)</f>
        <v>0</v>
      </c>
      <c r="L80" s="127">
        <f>IF(A80="Hide",1,IF($J$6=1,B80,1))</f>
        <v>1</v>
      </c>
      <c r="M80" s="52" t="str">
        <f>formData!B590</f>
        <v>HEALTH_DECLARATIONS_CLASSROOM_INTENTION</v>
      </c>
      <c r="N80" s="6">
        <f t="shared" si="8"/>
        <v>1</v>
      </c>
      <c r="O80" s="6">
        <f t="shared" si="9"/>
        <v>0</v>
      </c>
    </row>
    <row r="81" spans="1:15" s="34" customFormat="1" ht="20.100000000000001" hidden="1" customHeight="1">
      <c r="A81" s="106" t="str">
        <f>IF($B$80=2,"Show","HIDE")</f>
        <v>HIDE</v>
      </c>
      <c r="B81" s="113">
        <v>1</v>
      </c>
      <c r="C81" s="74" t="s">
        <v>1912</v>
      </c>
      <c r="D81" s="7" t="s">
        <v>203</v>
      </c>
      <c r="E81" s="240"/>
      <c r="F81" s="241"/>
      <c r="G81" s="242"/>
      <c r="J81" s="6">
        <f>IF($C81="*",IF($A81="Hide",0,$J$6),0)</f>
        <v>0</v>
      </c>
      <c r="K81" s="130">
        <f>IF(B81=0,0,1)</f>
        <v>1</v>
      </c>
      <c r="L81" s="126">
        <f>IF(A81="Hide",1,IF($J$6=1,B81,1))</f>
        <v>1</v>
      </c>
      <c r="M81" s="52" t="str">
        <f>formData!B591</f>
        <v>HEALTH_DECLARATIONS_CLASSROOM_FULL_NAME1</v>
      </c>
      <c r="N81" s="6">
        <f t="shared" si="8"/>
        <v>0</v>
      </c>
      <c r="O81" s="6">
        <f t="shared" si="9"/>
        <v>0</v>
      </c>
    </row>
    <row r="82" spans="1:15" s="34" customFormat="1" ht="20.100000000000001" hidden="1" customHeight="1">
      <c r="A82" s="106" t="str">
        <f t="shared" ref="A82:A88" si="10">IF($B$80=2,"Show","HIDE")</f>
        <v>HIDE</v>
      </c>
      <c r="B82" s="113"/>
      <c r="D82" s="315" t="s">
        <v>131</v>
      </c>
      <c r="E82" s="287"/>
      <c r="F82" s="287"/>
      <c r="G82" s="288"/>
      <c r="M82" s="52"/>
      <c r="N82" s="6">
        <f t="shared" si="8"/>
        <v>0</v>
      </c>
      <c r="O82" s="6">
        <f t="shared" si="9"/>
        <v>0</v>
      </c>
    </row>
    <row r="83" spans="1:15" s="34" customFormat="1" ht="60" hidden="1" customHeight="1">
      <c r="A83" s="106" t="str">
        <f t="shared" si="10"/>
        <v>HIDE</v>
      </c>
      <c r="B83" s="113"/>
      <c r="C83" s="74" t="s">
        <v>1912</v>
      </c>
      <c r="D83" s="258"/>
      <c r="E83" s="259"/>
      <c r="F83" s="259"/>
      <c r="G83" s="260"/>
      <c r="J83" s="157">
        <f>IF($C83="*",IF($A83="Hide",0,$J$6),0)</f>
        <v>0</v>
      </c>
      <c r="K83" s="158">
        <f>IF(LEN(D83)=0,0,1)</f>
        <v>0</v>
      </c>
      <c r="L83" s="157">
        <f>IF(A83="Hide",0,IF($J$6=1,D83,0))</f>
        <v>0</v>
      </c>
      <c r="M83" s="52" t="str">
        <f>formData!B592</f>
        <v>HEALTH_DECLARATIONS_CLASSROOM_GIVE_DETAILS1</v>
      </c>
      <c r="N83" s="6">
        <f t="shared" si="8"/>
        <v>0</v>
      </c>
      <c r="O83" s="6">
        <f t="shared" si="9"/>
        <v>0</v>
      </c>
    </row>
    <row r="84" spans="1:15" ht="20.100000000000001" hidden="1" customHeight="1">
      <c r="A84" s="106" t="str">
        <f t="shared" si="10"/>
        <v>HIDE</v>
      </c>
      <c r="B84" s="106"/>
      <c r="N84" s="6">
        <f t="shared" si="8"/>
        <v>0</v>
      </c>
      <c r="O84" s="6">
        <f t="shared" si="9"/>
        <v>0</v>
      </c>
    </row>
    <row r="85" spans="1:15" ht="24.95" hidden="1" customHeight="1">
      <c r="A85" s="106" t="str">
        <f t="shared" si="10"/>
        <v>HIDE</v>
      </c>
      <c r="B85" s="106"/>
      <c r="D85" s="256" t="s">
        <v>135</v>
      </c>
      <c r="E85" s="254"/>
      <c r="F85" s="254"/>
      <c r="G85" s="255"/>
      <c r="N85" s="6">
        <f t="shared" si="8"/>
        <v>0</v>
      </c>
      <c r="O85" s="6">
        <f t="shared" si="9"/>
        <v>0</v>
      </c>
    </row>
    <row r="86" spans="1:15" s="34" customFormat="1" ht="20.100000000000001" hidden="1" customHeight="1">
      <c r="A86" s="106" t="str">
        <f t="shared" si="10"/>
        <v>HIDE</v>
      </c>
      <c r="B86" s="113">
        <v>1</v>
      </c>
      <c r="D86" s="7" t="s">
        <v>203</v>
      </c>
      <c r="E86" s="240"/>
      <c r="F86" s="241"/>
      <c r="G86" s="242"/>
      <c r="J86" s="6">
        <f>IF($C86="*",IF($A86="Hide",0,$J$6),0)</f>
        <v>0</v>
      </c>
      <c r="K86" s="130">
        <f>IF(B86=0,0,1)</f>
        <v>1</v>
      </c>
      <c r="L86" s="126">
        <f>IF(A86="Hide",1,IF($J$6=1,B86,1))</f>
        <v>1</v>
      </c>
      <c r="M86" s="52" t="str">
        <f>formData!B593</f>
        <v>HEALTH_DECLARATIONS_CLASSROOM_FULL_NAME2</v>
      </c>
      <c r="N86" s="6">
        <f t="shared" si="8"/>
        <v>0</v>
      </c>
      <c r="O86" s="6">
        <f t="shared" si="9"/>
        <v>0</v>
      </c>
    </row>
    <row r="87" spans="1:15" s="34" customFormat="1" ht="20.100000000000001" hidden="1" customHeight="1">
      <c r="A87" s="106" t="str">
        <f t="shared" si="10"/>
        <v>HIDE</v>
      </c>
      <c r="B87" s="113"/>
      <c r="D87" s="315" t="s">
        <v>131</v>
      </c>
      <c r="E87" s="287"/>
      <c r="F87" s="287"/>
      <c r="G87" s="288"/>
      <c r="M87" s="52"/>
      <c r="N87" s="6">
        <f t="shared" si="8"/>
        <v>0</v>
      </c>
      <c r="O87" s="6">
        <f t="shared" si="9"/>
        <v>0</v>
      </c>
    </row>
    <row r="88" spans="1:15" s="34" customFormat="1" ht="60" hidden="1" customHeight="1">
      <c r="A88" s="106" t="str">
        <f t="shared" si="10"/>
        <v>HIDE</v>
      </c>
      <c r="B88" s="113"/>
      <c r="D88" s="258"/>
      <c r="E88" s="259"/>
      <c r="F88" s="259"/>
      <c r="G88" s="260"/>
      <c r="J88" s="157">
        <f>IF($C88="*",IF($A88="Hide",0,$J$6),0)</f>
        <v>0</v>
      </c>
      <c r="K88" s="158">
        <f>IF(LEN(D88)=0,0,1)</f>
        <v>0</v>
      </c>
      <c r="L88" s="157">
        <f>IF(A88="Hide",0,IF($J$6=1,D88,0))</f>
        <v>0</v>
      </c>
      <c r="M88" s="52" t="str">
        <f>formData!B594</f>
        <v>HEALTH_DECLARATIONS_CLASSROOM_GIVE_DETAILS2</v>
      </c>
      <c r="N88" s="6">
        <f t="shared" si="8"/>
        <v>0</v>
      </c>
      <c r="O88" s="6">
        <f t="shared" si="9"/>
        <v>0</v>
      </c>
    </row>
    <row r="89" spans="1:15" ht="20.100000000000001" customHeight="1">
      <c r="A89" s="106"/>
      <c r="B89" s="106"/>
      <c r="M89" s="52"/>
      <c r="N89" s="6">
        <f t="shared" si="8"/>
        <v>0</v>
      </c>
      <c r="O89" s="6">
        <f t="shared" si="9"/>
        <v>0</v>
      </c>
    </row>
    <row r="90" spans="1:15" ht="24.95" customHeight="1">
      <c r="A90" s="106"/>
      <c r="B90" s="106"/>
      <c r="D90" s="256" t="s">
        <v>136</v>
      </c>
      <c r="E90" s="254"/>
      <c r="F90" s="254"/>
      <c r="G90" s="255"/>
      <c r="M90" s="52"/>
      <c r="N90" s="6">
        <f t="shared" si="8"/>
        <v>0</v>
      </c>
      <c r="O90" s="6">
        <f t="shared" si="9"/>
        <v>0</v>
      </c>
    </row>
    <row r="91" spans="1:15" s="34" customFormat="1" ht="27.75" customHeight="1">
      <c r="A91" s="113"/>
      <c r="B91" s="113"/>
      <c r="D91" s="307" t="s">
        <v>1910</v>
      </c>
      <c r="E91" s="309"/>
      <c r="F91" s="310"/>
      <c r="G91" s="311"/>
      <c r="K91" s="60"/>
      <c r="M91" s="52"/>
      <c r="N91" s="6">
        <f t="shared" si="8"/>
        <v>0</v>
      </c>
      <c r="O91" s="6">
        <f t="shared" si="9"/>
        <v>0</v>
      </c>
    </row>
    <row r="92" spans="1:15" s="34" customFormat="1" ht="189" customHeight="1">
      <c r="A92" s="113"/>
      <c r="B92" s="113">
        <v>1</v>
      </c>
      <c r="C92" s="74" t="s">
        <v>1912</v>
      </c>
      <c r="D92" s="308"/>
      <c r="E92" s="312"/>
      <c r="F92" s="313"/>
      <c r="G92" s="314"/>
      <c r="J92" s="6">
        <f>IF($C92="*",IF($A92="Hide",0,$J$6),0)</f>
        <v>1</v>
      </c>
      <c r="K92" s="129">
        <f>IF(B92=1,0,1)</f>
        <v>0</v>
      </c>
      <c r="L92" s="127">
        <f>IF(A92="Hide",1,IF($J$6=1,B92,1))</f>
        <v>1</v>
      </c>
      <c r="M92" s="52" t="str">
        <f>formData!B595</f>
        <v>HEALTH_DECLARATIONS_MEDICAL COST</v>
      </c>
      <c r="N92" s="6">
        <f t="shared" si="8"/>
        <v>1</v>
      </c>
      <c r="O92" s="6">
        <f t="shared" si="9"/>
        <v>0</v>
      </c>
    </row>
    <row r="93" spans="1:15" s="34" customFormat="1" ht="20.100000000000001" hidden="1" customHeight="1">
      <c r="A93" s="106" t="str">
        <f>IF($B$92=2,"Show","HIDE")</f>
        <v>HIDE</v>
      </c>
      <c r="B93" s="113">
        <v>1</v>
      </c>
      <c r="C93" s="74" t="s">
        <v>1912</v>
      </c>
      <c r="D93" s="48" t="s">
        <v>203</v>
      </c>
      <c r="E93" s="317"/>
      <c r="F93" s="318"/>
      <c r="G93" s="319"/>
      <c r="J93" s="6">
        <f>IF($C93="*",IF($A93="Hide",0,$J$6),0)</f>
        <v>0</v>
      </c>
      <c r="K93" s="130">
        <f>IF(B93=0,0,1)</f>
        <v>1</v>
      </c>
      <c r="L93" s="126">
        <f>IF(A93="Hide",1,IF($J$6=1,B93,1))</f>
        <v>1</v>
      </c>
      <c r="M93" s="52" t="str">
        <f>formData!B596</f>
        <v>HEALTH_DECLARATIONS_MEDICAL_COSTS_FULL_NAME1</v>
      </c>
      <c r="N93" s="6">
        <f t="shared" si="8"/>
        <v>0</v>
      </c>
      <c r="O93" s="6">
        <f t="shared" si="9"/>
        <v>0</v>
      </c>
    </row>
    <row r="94" spans="1:15" s="34" customFormat="1" ht="20.100000000000001" hidden="1" customHeight="1">
      <c r="A94" s="106" t="str">
        <f t="shared" ref="A94:A102" si="11">IF($B$92=2,"Show","HIDE")</f>
        <v>HIDE</v>
      </c>
      <c r="B94" s="113">
        <v>1</v>
      </c>
      <c r="C94" s="74" t="s">
        <v>1912</v>
      </c>
      <c r="D94" s="7" t="s">
        <v>207</v>
      </c>
      <c r="E94" s="316"/>
      <c r="F94" s="282"/>
      <c r="G94" s="283"/>
      <c r="J94" s="6">
        <f>IF($C94="*",IF($A94="Hide",0,$J$6),0)</f>
        <v>0</v>
      </c>
      <c r="K94" s="129">
        <f>IF(B94=1,0,1)</f>
        <v>0</v>
      </c>
      <c r="L94" s="127">
        <f>IF(A94="Hide",1,IF($J$6=1,B94,1))</f>
        <v>1</v>
      </c>
      <c r="M94" s="52" t="str">
        <f>formData!B597</f>
        <v>HEALTH_DECLARATIONS_MEDICAL_COSTS_CONDITION1</v>
      </c>
      <c r="N94" s="6">
        <f t="shared" si="8"/>
        <v>0</v>
      </c>
      <c r="O94" s="6">
        <f t="shared" si="9"/>
        <v>0</v>
      </c>
    </row>
    <row r="95" spans="1:15" s="34" customFormat="1" ht="20.100000000000001" hidden="1" customHeight="1">
      <c r="A95" s="106" t="str">
        <f t="shared" si="11"/>
        <v>HIDE</v>
      </c>
      <c r="B95" s="113"/>
      <c r="C95" s="74"/>
      <c r="D95" s="315" t="s">
        <v>131</v>
      </c>
      <c r="E95" s="287"/>
      <c r="F95" s="287"/>
      <c r="G95" s="288"/>
      <c r="M95" s="52"/>
      <c r="N95" s="6">
        <f t="shared" si="8"/>
        <v>0</v>
      </c>
      <c r="O95" s="6">
        <f t="shared" si="9"/>
        <v>0</v>
      </c>
    </row>
    <row r="96" spans="1:15" s="34" customFormat="1" ht="60" hidden="1" customHeight="1">
      <c r="A96" s="106" t="str">
        <f t="shared" si="11"/>
        <v>HIDE</v>
      </c>
      <c r="B96" s="113"/>
      <c r="C96" s="74" t="s">
        <v>1912</v>
      </c>
      <c r="D96" s="258"/>
      <c r="E96" s="259"/>
      <c r="F96" s="259"/>
      <c r="G96" s="260"/>
      <c r="J96" s="157">
        <f>IF($C96="*",IF($A96="Hide",0,$J$6),0)</f>
        <v>0</v>
      </c>
      <c r="K96" s="158">
        <f>IF(LEN(D96)=0,0,1)</f>
        <v>0</v>
      </c>
      <c r="L96" s="157">
        <f>IF(A96="Hide",0,IF($J$6=1,D96,0))</f>
        <v>0</v>
      </c>
      <c r="M96" s="52" t="str">
        <f>formData!B598</f>
        <v>HEALTH_DECLARATIONS_MEDICAL_COSTS_GIVE_DETAILS1</v>
      </c>
      <c r="N96" s="6">
        <f t="shared" si="8"/>
        <v>0</v>
      </c>
      <c r="O96" s="6">
        <f t="shared" si="9"/>
        <v>0</v>
      </c>
    </row>
    <row r="97" spans="1:15" ht="20.100000000000001" hidden="1" customHeight="1">
      <c r="A97" s="106" t="str">
        <f t="shared" si="11"/>
        <v>HIDE</v>
      </c>
      <c r="B97" s="106"/>
      <c r="M97" s="52"/>
      <c r="N97" s="6">
        <f t="shared" si="8"/>
        <v>0</v>
      </c>
      <c r="O97" s="6">
        <f t="shared" si="9"/>
        <v>0</v>
      </c>
    </row>
    <row r="98" spans="1:15" ht="24.95" hidden="1" customHeight="1">
      <c r="A98" s="106" t="str">
        <f t="shared" si="11"/>
        <v>HIDE</v>
      </c>
      <c r="B98" s="106"/>
      <c r="D98" s="256" t="s">
        <v>137</v>
      </c>
      <c r="E98" s="254"/>
      <c r="F98" s="254"/>
      <c r="G98" s="255"/>
      <c r="M98" s="52"/>
      <c r="N98" s="6">
        <f t="shared" si="8"/>
        <v>0</v>
      </c>
      <c r="O98" s="6">
        <f t="shared" si="9"/>
        <v>0</v>
      </c>
    </row>
    <row r="99" spans="1:15" s="34" customFormat="1" ht="20.100000000000001" hidden="1" customHeight="1">
      <c r="A99" s="106" t="str">
        <f t="shared" si="11"/>
        <v>HIDE</v>
      </c>
      <c r="B99" s="113">
        <v>1</v>
      </c>
      <c r="D99" s="7" t="s">
        <v>203</v>
      </c>
      <c r="E99" s="240"/>
      <c r="F99" s="241"/>
      <c r="G99" s="242"/>
      <c r="J99" s="6">
        <f>IF($C99="*",IF($A99="Hide",0,$J$6),0)</f>
        <v>0</v>
      </c>
      <c r="K99" s="130">
        <f>IF(B99=0,0,1)</f>
        <v>1</v>
      </c>
      <c r="L99" s="126">
        <f>IF(A99="Hide",1,IF($J$6=1,B99,1))</f>
        <v>1</v>
      </c>
      <c r="M99" s="52" t="str">
        <f>formData!B599</f>
        <v>HEALTH_DECLARATIONS_MEDICAL_COSTS_FULL_NAME2</v>
      </c>
      <c r="N99" s="6">
        <f t="shared" si="8"/>
        <v>0</v>
      </c>
      <c r="O99" s="6">
        <f t="shared" si="9"/>
        <v>0</v>
      </c>
    </row>
    <row r="100" spans="1:15" s="34" customFormat="1" ht="20.100000000000001" hidden="1" customHeight="1">
      <c r="A100" s="106" t="str">
        <f t="shared" si="11"/>
        <v>HIDE</v>
      </c>
      <c r="B100" s="113">
        <v>1</v>
      </c>
      <c r="D100" s="7" t="s">
        <v>207</v>
      </c>
      <c r="E100" s="240"/>
      <c r="F100" s="241"/>
      <c r="G100" s="242"/>
      <c r="J100" s="6">
        <f>IF($C100="*",IF($A100="Hide",0,$J$6),0)</f>
        <v>0</v>
      </c>
      <c r="K100" s="129">
        <f>IF(B100=1,0,1)</f>
        <v>0</v>
      </c>
      <c r="L100" s="127">
        <f>IF(A100="Hide",1,IF($J$6=1,B100,1))</f>
        <v>1</v>
      </c>
      <c r="M100" s="52"/>
      <c r="N100" s="6">
        <f t="shared" si="8"/>
        <v>0</v>
      </c>
      <c r="O100" s="6">
        <f t="shared" si="9"/>
        <v>0</v>
      </c>
    </row>
    <row r="101" spans="1:15" s="34" customFormat="1" ht="20.100000000000001" hidden="1" customHeight="1">
      <c r="A101" s="106" t="str">
        <f t="shared" si="11"/>
        <v>HIDE</v>
      </c>
      <c r="B101" s="113"/>
      <c r="D101" s="315" t="s">
        <v>131</v>
      </c>
      <c r="E101" s="287"/>
      <c r="F101" s="287"/>
      <c r="G101" s="288"/>
      <c r="M101" s="52"/>
      <c r="N101" s="6">
        <f t="shared" si="8"/>
        <v>0</v>
      </c>
      <c r="O101" s="6">
        <f t="shared" si="9"/>
        <v>0</v>
      </c>
    </row>
    <row r="102" spans="1:15" s="34" customFormat="1" ht="60" hidden="1" customHeight="1">
      <c r="A102" s="106" t="str">
        <f t="shared" si="11"/>
        <v>HIDE</v>
      </c>
      <c r="B102" s="113"/>
      <c r="D102" s="258"/>
      <c r="E102" s="259"/>
      <c r="F102" s="259"/>
      <c r="G102" s="260"/>
      <c r="J102" s="157">
        <f>IF($C102="*",IF($A102="Hide",0,$J$6),0)</f>
        <v>0</v>
      </c>
      <c r="K102" s="158">
        <f>IF(LEN(D102)=0,0,1)</f>
        <v>0</v>
      </c>
      <c r="L102" s="157">
        <f>IF(A102="Hide",0,IF($J$6=1,D102,0))</f>
        <v>0</v>
      </c>
      <c r="M102" s="52" t="str">
        <f>formData!B600</f>
        <v>HEALTH_DECLARATIONS_MEDICAL_COSTS_CONDITION2</v>
      </c>
      <c r="N102" s="6">
        <f t="shared" si="8"/>
        <v>0</v>
      </c>
      <c r="O102" s="6">
        <f t="shared" si="9"/>
        <v>0</v>
      </c>
    </row>
    <row r="103" spans="1:15" ht="20.100000000000001" customHeight="1">
      <c r="A103" s="106"/>
      <c r="B103" s="106"/>
      <c r="J103" s="6">
        <f>IF($C103="*",IF($A103="Hide",0,$J$6),0)</f>
        <v>0</v>
      </c>
      <c r="K103" s="130">
        <f>IF(LEN(E103)=0,0,1)</f>
        <v>0</v>
      </c>
      <c r="L103" s="126">
        <f>IF(A103="Hide",0,IF($J$6=1,E103,0))</f>
        <v>0</v>
      </c>
      <c r="M103" s="52" t="str">
        <f>formData!B601</f>
        <v>HEALTH_DECLARATIONS_MEDICAL_COSTS_GIVE_DETAILS2</v>
      </c>
      <c r="N103" s="6">
        <f t="shared" si="8"/>
        <v>0</v>
      </c>
      <c r="O103" s="6">
        <f t="shared" si="9"/>
        <v>0</v>
      </c>
    </row>
    <row r="104" spans="1:15" ht="24.95" customHeight="1">
      <c r="A104" s="106"/>
      <c r="B104" s="106"/>
      <c r="D104" s="256" t="s">
        <v>138</v>
      </c>
      <c r="E104" s="254"/>
      <c r="F104" s="254"/>
      <c r="G104" s="255"/>
      <c r="M104" s="52"/>
      <c r="N104" s="6">
        <f t="shared" si="8"/>
        <v>0</v>
      </c>
      <c r="O104" s="6">
        <f t="shared" si="9"/>
        <v>0</v>
      </c>
    </row>
    <row r="105" spans="1:15" s="34" customFormat="1" ht="35.1" customHeight="1">
      <c r="A105" s="113"/>
      <c r="B105" s="113">
        <v>1</v>
      </c>
      <c r="C105" s="74" t="s">
        <v>1912</v>
      </c>
      <c r="D105" s="25" t="s">
        <v>208</v>
      </c>
      <c r="E105" s="281"/>
      <c r="F105" s="282"/>
      <c r="G105" s="283"/>
      <c r="J105" s="6">
        <f>IF($C105="*",IF($A105="Hide",0,$J$6),0)</f>
        <v>1</v>
      </c>
      <c r="K105" s="129">
        <f>IF(B105=1,0,1)</f>
        <v>0</v>
      </c>
      <c r="L105" s="127">
        <f>IF(A105="Hide",1,IF($J$6=1,B105,1))</f>
        <v>1</v>
      </c>
      <c r="M105" s="52" t="str">
        <f>formData!B602</f>
        <v>HEALTH_DECLARATIONS_REQUIRE_ASSISTANCE</v>
      </c>
      <c r="N105" s="6">
        <f t="shared" si="8"/>
        <v>1</v>
      </c>
      <c r="O105" s="6">
        <f t="shared" si="9"/>
        <v>0</v>
      </c>
    </row>
    <row r="106" spans="1:15" s="34" customFormat="1" ht="20.100000000000001" hidden="1" customHeight="1">
      <c r="A106" s="106" t="str">
        <f>IF($B$105=2,"Show","HIDE")</f>
        <v>HIDE</v>
      </c>
      <c r="B106" s="113">
        <v>1</v>
      </c>
      <c r="C106" s="74" t="s">
        <v>1912</v>
      </c>
      <c r="D106" s="7" t="s">
        <v>203</v>
      </c>
      <c r="E106" s="240"/>
      <c r="F106" s="241"/>
      <c r="G106" s="242"/>
      <c r="J106" s="6">
        <f>IF($C106="*",IF($A106="Hide",0,$J$6),0)</f>
        <v>0</v>
      </c>
      <c r="K106" s="130">
        <f>IF(B106=0,0,1)</f>
        <v>1</v>
      </c>
      <c r="L106" s="126">
        <f>IF(A106="Hide",1,IF($J$6=1,B106,1))</f>
        <v>1</v>
      </c>
      <c r="M106" s="52" t="str">
        <f>formData!B603</f>
        <v>HEALTH_DECLARATIONS_REQUIRE_ASSISTANCE_FULL_NAME1</v>
      </c>
      <c r="N106" s="6">
        <f t="shared" si="8"/>
        <v>0</v>
      </c>
      <c r="O106" s="6">
        <f t="shared" si="9"/>
        <v>0</v>
      </c>
    </row>
    <row r="107" spans="1:15" s="34" customFormat="1" ht="20.100000000000001" hidden="1" customHeight="1">
      <c r="A107" s="106" t="str">
        <f t="shared" ref="A107:A113" si="12">IF($B$105=2,"Show","HIDE")</f>
        <v>HIDE</v>
      </c>
      <c r="B107" s="113"/>
      <c r="D107" s="315" t="s">
        <v>131</v>
      </c>
      <c r="E107" s="287"/>
      <c r="F107" s="287"/>
      <c r="G107" s="288"/>
      <c r="M107" s="52"/>
      <c r="N107" s="6">
        <f t="shared" si="8"/>
        <v>0</v>
      </c>
      <c r="O107" s="6">
        <f t="shared" si="9"/>
        <v>0</v>
      </c>
    </row>
    <row r="108" spans="1:15" s="34" customFormat="1" ht="60" hidden="1" customHeight="1">
      <c r="A108" s="106" t="str">
        <f t="shared" si="12"/>
        <v>HIDE</v>
      </c>
      <c r="B108" s="113"/>
      <c r="C108" s="74" t="s">
        <v>1912</v>
      </c>
      <c r="D108" s="258"/>
      <c r="E108" s="259"/>
      <c r="F108" s="259"/>
      <c r="G108" s="260"/>
      <c r="J108" s="157">
        <f>IF($C108="*",IF($A108="Hide",0,$J$6),0)</f>
        <v>0</v>
      </c>
      <c r="K108" s="158">
        <f>IF(LEN(D108)=0,0,1)</f>
        <v>0</v>
      </c>
      <c r="L108" s="157">
        <f>IF(A108="Hide",0,IF($J$6=1,D108,0))</f>
        <v>0</v>
      </c>
      <c r="M108" s="52" t="str">
        <f>formData!B604</f>
        <v>HEALTH_DECLARATIONS_REQUIRE_ASSISTANCE_GIVE_DETAILS1</v>
      </c>
      <c r="N108" s="6">
        <f t="shared" si="8"/>
        <v>0</v>
      </c>
      <c r="O108" s="6">
        <f t="shared" si="9"/>
        <v>0</v>
      </c>
    </row>
    <row r="109" spans="1:15" ht="20.100000000000001" hidden="1" customHeight="1">
      <c r="A109" s="106" t="str">
        <f t="shared" si="12"/>
        <v>HIDE</v>
      </c>
      <c r="B109" s="106"/>
      <c r="M109" s="52"/>
      <c r="N109" s="6">
        <f t="shared" si="8"/>
        <v>0</v>
      </c>
      <c r="O109" s="6">
        <f t="shared" si="9"/>
        <v>0</v>
      </c>
    </row>
    <row r="110" spans="1:15" ht="24.95" hidden="1" customHeight="1">
      <c r="A110" s="106" t="str">
        <f t="shared" si="12"/>
        <v>HIDE</v>
      </c>
      <c r="B110" s="106"/>
      <c r="D110" s="256" t="s">
        <v>139</v>
      </c>
      <c r="E110" s="254"/>
      <c r="F110" s="254"/>
      <c r="G110" s="255"/>
      <c r="M110" s="52"/>
      <c r="N110" s="6">
        <f t="shared" si="8"/>
        <v>0</v>
      </c>
      <c r="O110" s="6">
        <f t="shared" si="9"/>
        <v>0</v>
      </c>
    </row>
    <row r="111" spans="1:15" s="34" customFormat="1" ht="20.100000000000001" hidden="1" customHeight="1">
      <c r="A111" s="106" t="str">
        <f t="shared" si="12"/>
        <v>HIDE</v>
      </c>
      <c r="B111" s="113">
        <v>1</v>
      </c>
      <c r="D111" s="7" t="s">
        <v>203</v>
      </c>
      <c r="E111" s="240"/>
      <c r="F111" s="241"/>
      <c r="G111" s="242"/>
      <c r="J111" s="6">
        <f>IF($C111="*",IF($A111="Hide",0,$J$6),0)</f>
        <v>0</v>
      </c>
      <c r="K111" s="130">
        <f>IF(B111=0,0,1)</f>
        <v>1</v>
      </c>
      <c r="L111" s="126">
        <f>IF(A111="Hide",1,IF($J$6=1,B111,1))</f>
        <v>1</v>
      </c>
      <c r="M111" s="52" t="str">
        <f>formData!B605</f>
        <v>HEALTH_DECLARATIONS_REQUIRE_ASSISTANCE_FULL_NAME2</v>
      </c>
      <c r="N111" s="6">
        <f t="shared" si="8"/>
        <v>0</v>
      </c>
      <c r="O111" s="6">
        <f t="shared" si="9"/>
        <v>0</v>
      </c>
    </row>
    <row r="112" spans="1:15" s="34" customFormat="1" ht="20.100000000000001" hidden="1" customHeight="1">
      <c r="A112" s="106" t="str">
        <f t="shared" si="12"/>
        <v>HIDE</v>
      </c>
      <c r="B112" s="113"/>
      <c r="D112" s="315" t="s">
        <v>131</v>
      </c>
      <c r="E112" s="287"/>
      <c r="F112" s="287"/>
      <c r="G112" s="288"/>
      <c r="M112" s="52"/>
      <c r="N112" s="6">
        <f t="shared" si="8"/>
        <v>0</v>
      </c>
      <c r="O112" s="6">
        <f t="shared" si="9"/>
        <v>0</v>
      </c>
    </row>
    <row r="113" spans="1:15" s="34" customFormat="1" ht="60" hidden="1" customHeight="1">
      <c r="A113" s="106" t="str">
        <f t="shared" si="12"/>
        <v>HIDE</v>
      </c>
      <c r="B113" s="113"/>
      <c r="D113" s="258"/>
      <c r="E113" s="259"/>
      <c r="F113" s="259"/>
      <c r="G113" s="260"/>
      <c r="J113" s="157">
        <f>IF($C113="*",IF($A113="Hide",0,$J$6),0)</f>
        <v>0</v>
      </c>
      <c r="K113" s="158">
        <f>IF(LEN(D113)=0,0,1)</f>
        <v>0</v>
      </c>
      <c r="L113" s="157">
        <f>IF(A113="Hide",0,IF($J$6=1,D113,0))</f>
        <v>0</v>
      </c>
      <c r="M113" s="52" t="str">
        <f>formData!B606</f>
        <v>HEALTH_DECLARATIONS_REQUIRE_ASSISTANCE_GIVE_DETAILS2</v>
      </c>
      <c r="N113" s="6">
        <f t="shared" si="8"/>
        <v>0</v>
      </c>
      <c r="O113" s="6">
        <f t="shared" si="9"/>
        <v>0</v>
      </c>
    </row>
    <row r="114" spans="1:15" ht="20.100000000000001" customHeight="1">
      <c r="A114" s="106"/>
      <c r="B114" s="106"/>
      <c r="M114" s="52"/>
      <c r="N114" s="6">
        <f t="shared" si="8"/>
        <v>0</v>
      </c>
      <c r="O114" s="6">
        <f t="shared" si="9"/>
        <v>0</v>
      </c>
    </row>
    <row r="115" spans="1:15" ht="24.95" customHeight="1">
      <c r="A115" s="106"/>
      <c r="B115" s="106"/>
      <c r="D115" s="256" t="s">
        <v>140</v>
      </c>
      <c r="E115" s="254"/>
      <c r="F115" s="254"/>
      <c r="G115" s="255"/>
      <c r="M115" s="52"/>
      <c r="N115" s="6">
        <f t="shared" si="8"/>
        <v>0</v>
      </c>
      <c r="O115" s="6">
        <f t="shared" si="9"/>
        <v>0</v>
      </c>
    </row>
    <row r="116" spans="1:15" s="34" customFormat="1" ht="102.75" customHeight="1">
      <c r="A116" s="113"/>
      <c r="B116" s="113">
        <v>1</v>
      </c>
      <c r="C116" s="74" t="s">
        <v>1912</v>
      </c>
      <c r="D116" s="37" t="s">
        <v>209</v>
      </c>
      <c r="E116" s="281"/>
      <c r="F116" s="282"/>
      <c r="G116" s="283"/>
      <c r="J116" s="6">
        <f>IF($C116="*",IF($A116="Hide",0,$J$6),0)</f>
        <v>1</v>
      </c>
      <c r="K116" s="129">
        <f>IF(B116=1,0,1)</f>
        <v>0</v>
      </c>
      <c r="L116" s="127">
        <f>IF(A116="Hide",1,IF($J$6=1,B116,1))</f>
        <v>1</v>
      </c>
      <c r="M116" s="52" t="str">
        <f>formData!B607</f>
        <v>HEALTH_DECLARATIONS_TUBERCULOSIS</v>
      </c>
      <c r="N116" s="6">
        <f t="shared" si="8"/>
        <v>1</v>
      </c>
      <c r="O116" s="6">
        <f t="shared" si="9"/>
        <v>0</v>
      </c>
    </row>
    <row r="117" spans="1:15" s="34" customFormat="1" ht="20.100000000000001" hidden="1" customHeight="1">
      <c r="A117" s="32" t="str">
        <f>IF($B$116=2,"Show","HIDE")</f>
        <v>HIDE</v>
      </c>
      <c r="B117" s="113">
        <v>1</v>
      </c>
      <c r="C117" s="74" t="s">
        <v>1912</v>
      </c>
      <c r="D117" s="7" t="s">
        <v>203</v>
      </c>
      <c r="E117" s="240"/>
      <c r="F117" s="241"/>
      <c r="G117" s="242"/>
      <c r="J117" s="6">
        <f>IF($C117="*",IF($A117="Hide",0,$J$6),0)</f>
        <v>0</v>
      </c>
      <c r="K117" s="130">
        <f>IF(B117=0,0,1)</f>
        <v>1</v>
      </c>
      <c r="L117" s="126">
        <f>IF(A117="Hide",1,IF($J$6=1,B117,1))</f>
        <v>1</v>
      </c>
      <c r="M117" s="52" t="str">
        <f>formData!B608</f>
        <v>HEALTH_DECLARATIONS_TUBERCULOSIS_FULL_NAME1</v>
      </c>
      <c r="N117" s="6">
        <f t="shared" si="8"/>
        <v>0</v>
      </c>
      <c r="O117" s="6">
        <f t="shared" si="9"/>
        <v>0</v>
      </c>
    </row>
    <row r="118" spans="1:15" s="34" customFormat="1" ht="20.100000000000001" hidden="1" customHeight="1">
      <c r="A118" s="32" t="str">
        <f t="shared" ref="A118:A124" si="13">IF($B$116=2,"Show","HIDE")</f>
        <v>HIDE</v>
      </c>
      <c r="B118" s="113"/>
      <c r="D118" s="315" t="s">
        <v>131</v>
      </c>
      <c r="E118" s="287"/>
      <c r="F118" s="287"/>
      <c r="G118" s="288"/>
      <c r="M118" s="52"/>
      <c r="N118" s="6">
        <f t="shared" si="8"/>
        <v>0</v>
      </c>
      <c r="O118" s="6">
        <f t="shared" si="9"/>
        <v>0</v>
      </c>
    </row>
    <row r="119" spans="1:15" s="34" customFormat="1" ht="60" hidden="1" customHeight="1">
      <c r="A119" s="32" t="str">
        <f t="shared" si="13"/>
        <v>HIDE</v>
      </c>
      <c r="B119" s="113"/>
      <c r="C119" s="74" t="s">
        <v>1912</v>
      </c>
      <c r="D119" s="258"/>
      <c r="E119" s="259"/>
      <c r="F119" s="259"/>
      <c r="G119" s="260"/>
      <c r="J119" s="157">
        <f>IF($C119="*",IF($A119="Hide",0,$J$6),0)</f>
        <v>0</v>
      </c>
      <c r="K119" s="158">
        <f>IF(LEN(D119)=0,0,1)</f>
        <v>0</v>
      </c>
      <c r="L119" s="157">
        <f>IF(A119="Hide",0,IF($J$6=1,D119,0))</f>
        <v>0</v>
      </c>
      <c r="M119" s="52" t="str">
        <f>formData!B609</f>
        <v>HEALTH_DECLARATIONS_TUBERCULOSIS_GIVE_DETAILS1</v>
      </c>
      <c r="N119" s="6">
        <f t="shared" si="8"/>
        <v>0</v>
      </c>
      <c r="O119" s="6">
        <f t="shared" si="9"/>
        <v>0</v>
      </c>
    </row>
    <row r="120" spans="1:15" ht="20.100000000000001" hidden="1" customHeight="1">
      <c r="A120" s="32" t="str">
        <f t="shared" si="13"/>
        <v>HIDE</v>
      </c>
      <c r="B120" s="106"/>
      <c r="M120" s="52"/>
      <c r="N120" s="6">
        <f t="shared" si="8"/>
        <v>0</v>
      </c>
      <c r="O120" s="6">
        <f t="shared" si="9"/>
        <v>0</v>
      </c>
    </row>
    <row r="121" spans="1:15" ht="24.95" hidden="1" customHeight="1">
      <c r="A121" s="32" t="str">
        <f t="shared" si="13"/>
        <v>HIDE</v>
      </c>
      <c r="B121" s="106"/>
      <c r="D121" s="256" t="s">
        <v>141</v>
      </c>
      <c r="E121" s="254"/>
      <c r="F121" s="254"/>
      <c r="G121" s="255"/>
      <c r="M121" s="52"/>
      <c r="N121" s="6">
        <f t="shared" si="8"/>
        <v>0</v>
      </c>
      <c r="O121" s="6">
        <f t="shared" si="9"/>
        <v>0</v>
      </c>
    </row>
    <row r="122" spans="1:15" s="34" customFormat="1" ht="20.100000000000001" hidden="1" customHeight="1">
      <c r="A122" s="32" t="str">
        <f t="shared" si="13"/>
        <v>HIDE</v>
      </c>
      <c r="B122" s="113">
        <v>1</v>
      </c>
      <c r="D122" s="7" t="s">
        <v>203</v>
      </c>
      <c r="E122" s="240"/>
      <c r="F122" s="241"/>
      <c r="G122" s="242"/>
      <c r="J122" s="6">
        <f>IF($C122="*",IF($A122="Hide",0,$J$6),0)</f>
        <v>0</v>
      </c>
      <c r="K122" s="130">
        <f>IF(B122=0,0,1)</f>
        <v>1</v>
      </c>
      <c r="L122" s="126">
        <f>IF(A122="Hide",1,IF($J$6=1,B122,1))</f>
        <v>1</v>
      </c>
      <c r="M122" s="52" t="str">
        <f>formData!B610</f>
        <v>HEALTH_DECLARATIONS_TUBERCULOSIS_FULL_NAME2</v>
      </c>
      <c r="N122" s="6">
        <f t="shared" si="8"/>
        <v>0</v>
      </c>
      <c r="O122" s="6">
        <f t="shared" si="9"/>
        <v>0</v>
      </c>
    </row>
    <row r="123" spans="1:15" s="34" customFormat="1" ht="20.100000000000001" hidden="1" customHeight="1">
      <c r="A123" s="32" t="str">
        <f t="shared" si="13"/>
        <v>HIDE</v>
      </c>
      <c r="B123" s="113"/>
      <c r="D123" s="315" t="s">
        <v>131</v>
      </c>
      <c r="E123" s="287"/>
      <c r="F123" s="287"/>
      <c r="G123" s="288"/>
      <c r="M123" s="52"/>
      <c r="N123" s="6">
        <f t="shared" si="8"/>
        <v>0</v>
      </c>
      <c r="O123" s="6">
        <f t="shared" si="9"/>
        <v>0</v>
      </c>
    </row>
    <row r="124" spans="1:15" s="34" customFormat="1" ht="60" hidden="1" customHeight="1">
      <c r="A124" s="32" t="str">
        <f t="shared" si="13"/>
        <v>HIDE</v>
      </c>
      <c r="B124" s="113"/>
      <c r="D124" s="258"/>
      <c r="E124" s="259"/>
      <c r="F124" s="259"/>
      <c r="G124" s="260"/>
      <c r="J124" s="157">
        <f>IF($C124="*",IF($A124="Hide",0,$J$6),0)</f>
        <v>0</v>
      </c>
      <c r="K124" s="158">
        <f>IF(LEN(D124)=0,0,1)</f>
        <v>0</v>
      </c>
      <c r="L124" s="157">
        <f>IF(A124="Hide",0,IF($J$6=1,D124,0))</f>
        <v>0</v>
      </c>
      <c r="M124" s="52" t="str">
        <f>formData!B611</f>
        <v>HEALTH_DECLARATIONS_TUBERCULOSIS_GIVE_DETAILS2</v>
      </c>
      <c r="N124" s="6">
        <f t="shared" si="8"/>
        <v>0</v>
      </c>
      <c r="O124" s="6">
        <f t="shared" si="9"/>
        <v>0</v>
      </c>
    </row>
    <row r="125" spans="1:15">
      <c r="B125" s="106"/>
    </row>
    <row r="128" spans="1:15">
      <c r="M128" s="52"/>
    </row>
    <row r="129" spans="13:13">
      <c r="M129" s="52"/>
    </row>
    <row r="130" spans="13:13">
      <c r="M130" s="52"/>
    </row>
    <row r="131" spans="13:13">
      <c r="M131" s="52"/>
    </row>
    <row r="132" spans="13:13">
      <c r="M132" s="52"/>
    </row>
    <row r="133" spans="13:13">
      <c r="M133" s="52"/>
    </row>
    <row r="134" spans="13:13">
      <c r="M134" s="52"/>
    </row>
    <row r="135" spans="13:13">
      <c r="M135" s="52"/>
    </row>
    <row r="136" spans="13:13">
      <c r="M136" s="52"/>
    </row>
    <row r="137" spans="13:13">
      <c r="M137" s="52"/>
    </row>
    <row r="138" spans="13:13">
      <c r="M138" s="52"/>
    </row>
    <row r="139" spans="13:13">
      <c r="M139" s="52"/>
    </row>
    <row r="140" spans="13:13">
      <c r="M140" s="52"/>
    </row>
    <row r="141" spans="13:13">
      <c r="M141" s="52"/>
    </row>
    <row r="142" spans="13:13">
      <c r="M142" s="52"/>
    </row>
    <row r="143" spans="13:13">
      <c r="M143" s="52"/>
    </row>
    <row r="144" spans="13:13">
      <c r="M144" s="52"/>
    </row>
    <row r="145" spans="13:13">
      <c r="M145" s="52"/>
    </row>
    <row r="146" spans="13:13">
      <c r="M146" s="52"/>
    </row>
    <row r="147" spans="13:13">
      <c r="M147" s="52"/>
    </row>
    <row r="148" spans="13:13">
      <c r="M148" s="52"/>
    </row>
    <row r="149" spans="13:13">
      <c r="M149" s="52"/>
    </row>
    <row r="150" spans="13:13">
      <c r="M150" s="52"/>
    </row>
    <row r="151" spans="13:13">
      <c r="M151" s="52"/>
    </row>
    <row r="152" spans="13:13">
      <c r="M152" s="52"/>
    </row>
    <row r="153" spans="13:13">
      <c r="M153" s="52"/>
    </row>
    <row r="154" spans="13:13">
      <c r="M154" s="52"/>
    </row>
    <row r="155" spans="13:13">
      <c r="M155" s="52"/>
    </row>
    <row r="156" spans="13:13">
      <c r="M156" s="52"/>
    </row>
    <row r="157" spans="13:13">
      <c r="M157" s="52"/>
    </row>
    <row r="158" spans="13:13">
      <c r="M158" s="52"/>
    </row>
    <row r="159" spans="13:13">
      <c r="M159" s="52"/>
    </row>
    <row r="160" spans="13:13">
      <c r="M160" s="52"/>
    </row>
    <row r="161" spans="13:13">
      <c r="M161" s="52"/>
    </row>
    <row r="162" spans="13:13">
      <c r="M162" s="52"/>
    </row>
    <row r="163" spans="13:13">
      <c r="M163" s="52"/>
    </row>
    <row r="164" spans="13:13">
      <c r="M164" s="52"/>
    </row>
    <row r="165" spans="13:13">
      <c r="M165" s="52"/>
    </row>
    <row r="166" spans="13:13">
      <c r="M166" s="52"/>
    </row>
    <row r="167" spans="13:13">
      <c r="M167" s="52"/>
    </row>
    <row r="168" spans="13:13">
      <c r="M168" s="52"/>
    </row>
    <row r="169" spans="13:13">
      <c r="M169" s="52"/>
    </row>
    <row r="170" spans="13:13">
      <c r="M170" s="52"/>
    </row>
    <row r="171" spans="13:13">
      <c r="M171" s="52"/>
    </row>
    <row r="172" spans="13:13">
      <c r="M172" s="52"/>
    </row>
    <row r="173" spans="13:13">
      <c r="M173" s="52"/>
    </row>
    <row r="174" spans="13:13">
      <c r="M174" s="52"/>
    </row>
    <row r="175" spans="13:13">
      <c r="M175" s="52"/>
    </row>
    <row r="176" spans="13:13">
      <c r="M176" s="52"/>
    </row>
    <row r="177" spans="13:13">
      <c r="M177" s="52"/>
    </row>
    <row r="178" spans="13:13">
      <c r="M178" s="52"/>
    </row>
    <row r="179" spans="13:13">
      <c r="M179" s="52"/>
    </row>
    <row r="180" spans="13:13">
      <c r="M180" s="34"/>
    </row>
    <row r="181" spans="13:13">
      <c r="M181" s="34"/>
    </row>
    <row r="182" spans="13:13">
      <c r="M182" s="34"/>
    </row>
    <row r="185" spans="13:13">
      <c r="M185" s="34"/>
    </row>
    <row r="186" spans="13:13">
      <c r="M186" s="34"/>
    </row>
    <row r="187" spans="13:13">
      <c r="M187" s="34"/>
    </row>
  </sheetData>
  <sheetProtection algorithmName="SHA-512" hashValue="CwKfrUb66ml3NQavgS2vm+nKJPHHziAZ5w5XxhEmu4G2V1FwV7vm8rB+5MmTOxlHT3F5kihiCXiGOCVkAM9mnw==" saltValue="ILxstzvSUGdiz6FqfkTbUA==" spinCount="100000" sheet="1" objects="1" scenarios="1"/>
  <mergeCells count="101">
    <mergeCell ref="D102:G102"/>
    <mergeCell ref="D88:G88"/>
    <mergeCell ref="D79:G79"/>
    <mergeCell ref="E105:G105"/>
    <mergeCell ref="E116:G116"/>
    <mergeCell ref="E111:G111"/>
    <mergeCell ref="D104:G104"/>
    <mergeCell ref="D95:G95"/>
    <mergeCell ref="D96:G96"/>
    <mergeCell ref="D98:G98"/>
    <mergeCell ref="E100:G100"/>
    <mergeCell ref="D101:G101"/>
    <mergeCell ref="E99:G99"/>
    <mergeCell ref="D74:G74"/>
    <mergeCell ref="E75:G75"/>
    <mergeCell ref="D77:G77"/>
    <mergeCell ref="E94:G94"/>
    <mergeCell ref="D76:G76"/>
    <mergeCell ref="D90:G90"/>
    <mergeCell ref="E93:G93"/>
    <mergeCell ref="D87:G87"/>
    <mergeCell ref="E80:G80"/>
    <mergeCell ref="E81:G81"/>
    <mergeCell ref="D82:G82"/>
    <mergeCell ref="D83:G83"/>
    <mergeCell ref="D85:G85"/>
    <mergeCell ref="E86:G86"/>
    <mergeCell ref="D124:G124"/>
    <mergeCell ref="D119:G119"/>
    <mergeCell ref="D121:G121"/>
    <mergeCell ref="E122:G122"/>
    <mergeCell ref="D123:G123"/>
    <mergeCell ref="D61:G61"/>
    <mergeCell ref="D63:G63"/>
    <mergeCell ref="E64:G64"/>
    <mergeCell ref="D66:G66"/>
    <mergeCell ref="D65:G65"/>
    <mergeCell ref="D68:G68"/>
    <mergeCell ref="E69:G69"/>
    <mergeCell ref="E70:G70"/>
    <mergeCell ref="D71:G71"/>
    <mergeCell ref="D72:G72"/>
    <mergeCell ref="D118:G118"/>
    <mergeCell ref="E106:G106"/>
    <mergeCell ref="D107:G107"/>
    <mergeCell ref="D108:G108"/>
    <mergeCell ref="D110:G110"/>
    <mergeCell ref="D112:G112"/>
    <mergeCell ref="D113:G113"/>
    <mergeCell ref="D115:G115"/>
    <mergeCell ref="E117:G117"/>
    <mergeCell ref="E36:G36"/>
    <mergeCell ref="E42:G42"/>
    <mergeCell ref="D49:G49"/>
    <mergeCell ref="E59:G59"/>
    <mergeCell ref="D60:G60"/>
    <mergeCell ref="D57:G57"/>
    <mergeCell ref="D51:G51"/>
    <mergeCell ref="E52:G52"/>
    <mergeCell ref="E53:G53"/>
    <mergeCell ref="D54:G54"/>
    <mergeCell ref="D55:G55"/>
    <mergeCell ref="E58:G58"/>
    <mergeCell ref="D2:G2"/>
    <mergeCell ref="D4:G4"/>
    <mergeCell ref="E6:G6"/>
    <mergeCell ref="D8:G8"/>
    <mergeCell ref="E16:G16"/>
    <mergeCell ref="E9:G9"/>
    <mergeCell ref="E15:G15"/>
    <mergeCell ref="D20:G20"/>
    <mergeCell ref="E17:G17"/>
    <mergeCell ref="E18:G18"/>
    <mergeCell ref="D14:G14"/>
    <mergeCell ref="E10:G10"/>
    <mergeCell ref="E11:G11"/>
    <mergeCell ref="E12:G12"/>
    <mergeCell ref="E21:G21"/>
    <mergeCell ref="E27:G27"/>
    <mergeCell ref="E33:G33"/>
    <mergeCell ref="E39:G39"/>
    <mergeCell ref="D91:D92"/>
    <mergeCell ref="E91:G92"/>
    <mergeCell ref="E28:G28"/>
    <mergeCell ref="E29:G29"/>
    <mergeCell ref="E30:G30"/>
    <mergeCell ref="E40:G40"/>
    <mergeCell ref="E41:G41"/>
    <mergeCell ref="D26:G26"/>
    <mergeCell ref="E22:G22"/>
    <mergeCell ref="E23:G23"/>
    <mergeCell ref="E24:G24"/>
    <mergeCell ref="D48:G48"/>
    <mergeCell ref="E45:G45"/>
    <mergeCell ref="D32:G32"/>
    <mergeCell ref="E46:G46"/>
    <mergeCell ref="E47:G47"/>
    <mergeCell ref="D38:G38"/>
    <mergeCell ref="D44:G44"/>
    <mergeCell ref="E34:G34"/>
    <mergeCell ref="E35:G35"/>
  </mergeCells>
  <dataValidations count="2">
    <dataValidation type="date" allowBlank="1" showInputMessage="1" showErrorMessage="1" errorTitle="Date" error="Please enter a valid date" sqref="E11:G12 E17:G18 E23:G24 E29:G30 E35:G36 E41:G42" xr:uid="{00000000-0002-0000-0F00-000000000000}">
      <formula1>1</formula1>
      <formula2>54789</formula2>
    </dataValidation>
    <dataValidation type="textLength" operator="lessThanOrEqual" allowBlank="1" showInputMessage="1" showErrorMessage="1" errorTitle="Give Details" error="The maximum length of text that you can enter is 300 characters" sqref="D49:G49 D55:G55 D61:G61 D66:G66 D83:G83 D88:G88 D96:G96 D102:G102 D108:G108 D113:G113 D119:G119 D124:G124 D77:G77 D72:G72" xr:uid="{00000000-0002-0000-0F00-000001000000}">
      <formula1>300</formula1>
    </dataValidation>
  </dataValidations>
  <hyperlinks>
    <hyperlink ref="G3" location="healthDeclarations!G3" display="SAVE" xr:uid="{00000000-0004-0000-0F00-000000000000}"/>
    <hyperlink ref="D3" location="index!C1" display="INDEX" xr:uid="{00000000-0004-0000-0F00-000001000000}"/>
  </hyperlinks>
  <pageMargins left="0.7" right="0.7" top="0.75" bottom="0.75" header="0.3" footer="0.3"/>
  <pageSetup paperSize="9" scale="8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Drop Down 1">
              <controlPr locked="0" defaultSize="0" autoLine="0" autoPict="0" macro="[0]!DropDownLast5Year_Change">
                <anchor moveWithCells="1">
                  <from>
                    <xdr:col>4</xdr:col>
                    <xdr:colOff>0</xdr:colOff>
                    <xdr:row>5</xdr:row>
                    <xdr:rowOff>304800</xdr:rowOff>
                  </from>
                  <to>
                    <xdr:col>7</xdr:col>
                    <xdr:colOff>0</xdr:colOff>
                    <xdr:row>5</xdr:row>
                    <xdr:rowOff>561975</xdr:rowOff>
                  </to>
                </anchor>
              </controlPr>
            </control>
          </mc:Choice>
        </mc:AlternateContent>
        <mc:AlternateContent xmlns:mc="http://schemas.openxmlformats.org/markup-compatibility/2006">
          <mc:Choice Requires="x14">
            <control shapeId="16386" r:id="rId5" name="Drop Down 2">
              <controlPr locked="0" defaultSize="0" autoLine="0" autoPict="0">
                <anchor moveWithCells="1">
                  <from>
                    <xdr:col>4</xdr:col>
                    <xdr:colOff>0</xdr:colOff>
                    <xdr:row>9</xdr:row>
                    <xdr:rowOff>0</xdr:rowOff>
                  </from>
                  <to>
                    <xdr:col>7</xdr:col>
                    <xdr:colOff>0</xdr:colOff>
                    <xdr:row>43</xdr:row>
                    <xdr:rowOff>257175</xdr:rowOff>
                  </to>
                </anchor>
              </controlPr>
            </control>
          </mc:Choice>
        </mc:AlternateContent>
        <mc:AlternateContent xmlns:mc="http://schemas.openxmlformats.org/markup-compatibility/2006">
          <mc:Choice Requires="x14">
            <control shapeId="16387" r:id="rId6" name="Drop Down 3">
              <controlPr locked="0" defaultSize="0" autoLine="0" autoPict="0">
                <anchor moveWithCells="1">
                  <from>
                    <xdr:col>4</xdr:col>
                    <xdr:colOff>0</xdr:colOff>
                    <xdr:row>15</xdr:row>
                    <xdr:rowOff>0</xdr:rowOff>
                  </from>
                  <to>
                    <xdr:col>7</xdr:col>
                    <xdr:colOff>0</xdr:colOff>
                    <xdr:row>43</xdr:row>
                    <xdr:rowOff>257175</xdr:rowOff>
                  </to>
                </anchor>
              </controlPr>
            </control>
          </mc:Choice>
        </mc:AlternateContent>
        <mc:AlternateContent xmlns:mc="http://schemas.openxmlformats.org/markup-compatibility/2006">
          <mc:Choice Requires="x14">
            <control shapeId="16388" r:id="rId7" name="Drop Down 4">
              <controlPr locked="0" defaultSize="0" autoLine="0" autoPict="0">
                <anchor moveWithCells="1">
                  <from>
                    <xdr:col>4</xdr:col>
                    <xdr:colOff>0</xdr:colOff>
                    <xdr:row>21</xdr:row>
                    <xdr:rowOff>0</xdr:rowOff>
                  </from>
                  <to>
                    <xdr:col>7</xdr:col>
                    <xdr:colOff>0</xdr:colOff>
                    <xdr:row>43</xdr:row>
                    <xdr:rowOff>257175</xdr:rowOff>
                  </to>
                </anchor>
              </controlPr>
            </control>
          </mc:Choice>
        </mc:AlternateContent>
        <mc:AlternateContent xmlns:mc="http://schemas.openxmlformats.org/markup-compatibility/2006">
          <mc:Choice Requires="x14">
            <control shapeId="16389" r:id="rId8" name="Drop Down 5">
              <controlPr locked="0" defaultSize="0" autoLine="0" autoPict="0">
                <anchor moveWithCells="1">
                  <from>
                    <xdr:col>4</xdr:col>
                    <xdr:colOff>0</xdr:colOff>
                    <xdr:row>27</xdr:row>
                    <xdr:rowOff>0</xdr:rowOff>
                  </from>
                  <to>
                    <xdr:col>7</xdr:col>
                    <xdr:colOff>0</xdr:colOff>
                    <xdr:row>43</xdr:row>
                    <xdr:rowOff>257175</xdr:rowOff>
                  </to>
                </anchor>
              </controlPr>
            </control>
          </mc:Choice>
        </mc:AlternateContent>
        <mc:AlternateContent xmlns:mc="http://schemas.openxmlformats.org/markup-compatibility/2006">
          <mc:Choice Requires="x14">
            <control shapeId="16390" r:id="rId9" name="Drop Down 6">
              <controlPr locked="0" defaultSize="0" autoLine="0" autoPict="0">
                <anchor moveWithCells="1">
                  <from>
                    <xdr:col>4</xdr:col>
                    <xdr:colOff>0</xdr:colOff>
                    <xdr:row>33</xdr:row>
                    <xdr:rowOff>0</xdr:rowOff>
                  </from>
                  <to>
                    <xdr:col>7</xdr:col>
                    <xdr:colOff>0</xdr:colOff>
                    <xdr:row>43</xdr:row>
                    <xdr:rowOff>257175</xdr:rowOff>
                  </to>
                </anchor>
              </controlPr>
            </control>
          </mc:Choice>
        </mc:AlternateContent>
        <mc:AlternateContent xmlns:mc="http://schemas.openxmlformats.org/markup-compatibility/2006">
          <mc:Choice Requires="x14">
            <control shapeId="16391" r:id="rId10" name="Drop Down 7">
              <controlPr locked="0" defaultSize="0" autoLine="0" autoPict="0">
                <anchor moveWithCells="1">
                  <from>
                    <xdr:col>4</xdr:col>
                    <xdr:colOff>0</xdr:colOff>
                    <xdr:row>39</xdr:row>
                    <xdr:rowOff>0</xdr:rowOff>
                  </from>
                  <to>
                    <xdr:col>7</xdr:col>
                    <xdr:colOff>0</xdr:colOff>
                    <xdr:row>43</xdr:row>
                    <xdr:rowOff>257175</xdr:rowOff>
                  </to>
                </anchor>
              </controlPr>
            </control>
          </mc:Choice>
        </mc:AlternateContent>
        <mc:AlternateContent xmlns:mc="http://schemas.openxmlformats.org/markup-compatibility/2006">
          <mc:Choice Requires="x14">
            <control shapeId="16392" r:id="rId11" name="Drop Down 8">
              <controlPr locked="0" defaultSize="0" autoLine="0" autoPict="0" macro="[0]!DropDownIntentionToEnterHealthCareFacilities_Change">
                <anchor moveWithCells="1">
                  <from>
                    <xdr:col>4</xdr:col>
                    <xdr:colOff>0</xdr:colOff>
                    <xdr:row>44</xdr:row>
                    <xdr:rowOff>152400</xdr:rowOff>
                  </from>
                  <to>
                    <xdr:col>7</xdr:col>
                    <xdr:colOff>0</xdr:colOff>
                    <xdr:row>44</xdr:row>
                    <xdr:rowOff>409575</xdr:rowOff>
                  </to>
                </anchor>
              </controlPr>
            </control>
          </mc:Choice>
        </mc:AlternateContent>
        <mc:AlternateContent xmlns:mc="http://schemas.openxmlformats.org/markup-compatibility/2006">
          <mc:Choice Requires="x14">
            <control shapeId="16393" r:id="rId12" name="Drop Down 9">
              <controlPr defaultSize="0" autoLine="0" autoPict="0">
                <anchor moveWithCells="1">
                  <from>
                    <xdr:col>4</xdr:col>
                    <xdr:colOff>0</xdr:colOff>
                    <xdr:row>46</xdr:row>
                    <xdr:rowOff>0</xdr:rowOff>
                  </from>
                  <to>
                    <xdr:col>7</xdr:col>
                    <xdr:colOff>0</xdr:colOff>
                    <xdr:row>56</xdr:row>
                    <xdr:rowOff>0</xdr:rowOff>
                  </to>
                </anchor>
              </controlPr>
            </control>
          </mc:Choice>
        </mc:AlternateContent>
        <mc:AlternateContent xmlns:mc="http://schemas.openxmlformats.org/markup-compatibility/2006">
          <mc:Choice Requires="x14">
            <control shapeId="16395" r:id="rId13" name="Drop Down 11">
              <controlPr defaultSize="0" autoLine="0" autoPict="0">
                <anchor moveWithCells="1">
                  <from>
                    <xdr:col>4</xdr:col>
                    <xdr:colOff>0</xdr:colOff>
                    <xdr:row>52</xdr:row>
                    <xdr:rowOff>0</xdr:rowOff>
                  </from>
                  <to>
                    <xdr:col>7</xdr:col>
                    <xdr:colOff>0</xdr:colOff>
                    <xdr:row>56</xdr:row>
                    <xdr:rowOff>0</xdr:rowOff>
                  </to>
                </anchor>
              </controlPr>
            </control>
          </mc:Choice>
        </mc:AlternateContent>
        <mc:AlternateContent xmlns:mc="http://schemas.openxmlformats.org/markup-compatibility/2006">
          <mc:Choice Requires="x14">
            <control shapeId="16396" r:id="rId14" name="Drop Down 12">
              <controlPr locked="0" defaultSize="0" autoLine="0" autoPict="0" macro="[0]!DropDownIntentionToWorkOrStudyInChildCare_Change">
                <anchor moveWithCells="1">
                  <from>
                    <xdr:col>4</xdr:col>
                    <xdr:colOff>0</xdr:colOff>
                    <xdr:row>57</xdr:row>
                    <xdr:rowOff>180975</xdr:rowOff>
                  </from>
                  <to>
                    <xdr:col>7</xdr:col>
                    <xdr:colOff>0</xdr:colOff>
                    <xdr:row>57</xdr:row>
                    <xdr:rowOff>428625</xdr:rowOff>
                  </to>
                </anchor>
              </controlPr>
            </control>
          </mc:Choice>
        </mc:AlternateContent>
        <mc:AlternateContent xmlns:mc="http://schemas.openxmlformats.org/markup-compatibility/2006">
          <mc:Choice Requires="x14">
            <control shapeId="16399" r:id="rId15" name="Drop Down 15">
              <controlPr locked="0" defaultSize="0" autoLine="0" autoPict="0" macro="[0]!DropDownIntentionToWorkOrTraineeInChildCare_Change">
                <anchor moveWithCells="1">
                  <from>
                    <xdr:col>4</xdr:col>
                    <xdr:colOff>0</xdr:colOff>
                    <xdr:row>68</xdr:row>
                    <xdr:rowOff>219075</xdr:rowOff>
                  </from>
                  <to>
                    <xdr:col>7</xdr:col>
                    <xdr:colOff>0</xdr:colOff>
                    <xdr:row>68</xdr:row>
                    <xdr:rowOff>466725</xdr:rowOff>
                  </to>
                </anchor>
              </controlPr>
            </control>
          </mc:Choice>
        </mc:AlternateContent>
        <mc:AlternateContent xmlns:mc="http://schemas.openxmlformats.org/markup-compatibility/2006">
          <mc:Choice Requires="x14">
            <control shapeId="16402" r:id="rId16" name="Drop Down 18">
              <controlPr locked="0" defaultSize="0" autoLine="0" autoPict="0" macro="[0]!DropDownIntentionToBeInClassRoomSituation_Change">
                <anchor moveWithCells="1">
                  <from>
                    <xdr:col>4</xdr:col>
                    <xdr:colOff>0</xdr:colOff>
                    <xdr:row>79</xdr:row>
                    <xdr:rowOff>228600</xdr:rowOff>
                  </from>
                  <to>
                    <xdr:col>7</xdr:col>
                    <xdr:colOff>0</xdr:colOff>
                    <xdr:row>79</xdr:row>
                    <xdr:rowOff>485775</xdr:rowOff>
                  </to>
                </anchor>
              </controlPr>
            </control>
          </mc:Choice>
        </mc:AlternateContent>
        <mc:AlternateContent xmlns:mc="http://schemas.openxmlformats.org/markup-compatibility/2006">
          <mc:Choice Requires="x14">
            <control shapeId="16403" r:id="rId17" name="Drop Down 19">
              <controlPr locked="0" defaultSize="0" autoLine="0" autoPict="0" macro="[0]!DropDownExpectToIncurMedCost_Change">
                <anchor moveWithCells="1">
                  <from>
                    <xdr:col>4</xdr:col>
                    <xdr:colOff>0</xdr:colOff>
                    <xdr:row>91</xdr:row>
                    <xdr:rowOff>866775</xdr:rowOff>
                  </from>
                  <to>
                    <xdr:col>7</xdr:col>
                    <xdr:colOff>0</xdr:colOff>
                    <xdr:row>91</xdr:row>
                    <xdr:rowOff>1104900</xdr:rowOff>
                  </to>
                </anchor>
              </controlPr>
            </control>
          </mc:Choice>
        </mc:AlternateContent>
        <mc:AlternateContent xmlns:mc="http://schemas.openxmlformats.org/markup-compatibility/2006">
          <mc:Choice Requires="x14">
            <control shapeId="16404" r:id="rId18" name="Drop Down 20">
              <controlPr defaultSize="0" autoLine="0" autoPict="0">
                <anchor moveWithCells="1">
                  <from>
                    <xdr:col>4</xdr:col>
                    <xdr:colOff>0</xdr:colOff>
                    <xdr:row>93</xdr:row>
                    <xdr:rowOff>0</xdr:rowOff>
                  </from>
                  <to>
                    <xdr:col>7</xdr:col>
                    <xdr:colOff>0</xdr:colOff>
                    <xdr:row>103</xdr:row>
                    <xdr:rowOff>0</xdr:rowOff>
                  </to>
                </anchor>
              </controlPr>
            </control>
          </mc:Choice>
        </mc:AlternateContent>
        <mc:AlternateContent xmlns:mc="http://schemas.openxmlformats.org/markup-compatibility/2006">
          <mc:Choice Requires="x14">
            <control shapeId="16405" r:id="rId19" name="Drop Down 21">
              <controlPr defaultSize="0" autoLine="0" autoPict="0">
                <anchor moveWithCells="1">
                  <from>
                    <xdr:col>4</xdr:col>
                    <xdr:colOff>0</xdr:colOff>
                    <xdr:row>99</xdr:row>
                    <xdr:rowOff>0</xdr:rowOff>
                  </from>
                  <to>
                    <xdr:col>7</xdr:col>
                    <xdr:colOff>0</xdr:colOff>
                    <xdr:row>103</xdr:row>
                    <xdr:rowOff>0</xdr:rowOff>
                  </to>
                </anchor>
              </controlPr>
            </control>
          </mc:Choice>
        </mc:AlternateContent>
        <mc:AlternateContent xmlns:mc="http://schemas.openxmlformats.org/markup-compatibility/2006">
          <mc:Choice Requires="x14">
            <control shapeId="16406" r:id="rId20" name="Drop Down 22">
              <controlPr locked="0" defaultSize="0" autoLine="0" autoPict="0" macro="[0]!DropDownRequireAssistanceDueToMedicalCondtions_Change">
                <anchor moveWithCells="1">
                  <from>
                    <xdr:col>4</xdr:col>
                    <xdr:colOff>0</xdr:colOff>
                    <xdr:row>104</xdr:row>
                    <xdr:rowOff>104775</xdr:rowOff>
                  </from>
                  <to>
                    <xdr:col>7</xdr:col>
                    <xdr:colOff>0</xdr:colOff>
                    <xdr:row>104</xdr:row>
                    <xdr:rowOff>342900</xdr:rowOff>
                  </to>
                </anchor>
              </controlPr>
            </control>
          </mc:Choice>
        </mc:AlternateContent>
        <mc:AlternateContent xmlns:mc="http://schemas.openxmlformats.org/markup-compatibility/2006">
          <mc:Choice Requires="x14">
            <control shapeId="16407" r:id="rId21" name="Drop Down 23">
              <controlPr locked="0" defaultSize="0" autoLine="0" autoPict="0" macro="[0]!DropDownContactWithTuberclosis_Change">
                <anchor moveWithCells="1">
                  <from>
                    <xdr:col>4</xdr:col>
                    <xdr:colOff>0</xdr:colOff>
                    <xdr:row>115</xdr:row>
                    <xdr:rowOff>523875</xdr:rowOff>
                  </from>
                  <to>
                    <xdr:col>7</xdr:col>
                    <xdr:colOff>0</xdr:colOff>
                    <xdr:row>115</xdr:row>
                    <xdr:rowOff>771525</xdr:rowOff>
                  </to>
                </anchor>
              </controlPr>
            </control>
          </mc:Choice>
        </mc:AlternateContent>
        <mc:AlternateContent xmlns:mc="http://schemas.openxmlformats.org/markup-compatibility/2006">
          <mc:Choice Requires="x14">
            <control shapeId="16413" r:id="rId22" name="Drop Down 29">
              <controlPr defaultSize="0" autoLine="0" autoPict="0">
                <anchor moveWithCells="1">
                  <from>
                    <xdr:col>4</xdr:col>
                    <xdr:colOff>0</xdr:colOff>
                    <xdr:row>8</xdr:row>
                    <xdr:rowOff>0</xdr:rowOff>
                  </from>
                  <to>
                    <xdr:col>7</xdr:col>
                    <xdr:colOff>0</xdr:colOff>
                    <xdr:row>43</xdr:row>
                    <xdr:rowOff>257175</xdr:rowOff>
                  </to>
                </anchor>
              </controlPr>
            </control>
          </mc:Choice>
        </mc:AlternateContent>
        <mc:AlternateContent xmlns:mc="http://schemas.openxmlformats.org/markup-compatibility/2006">
          <mc:Choice Requires="x14">
            <control shapeId="16414" r:id="rId23" name="Drop Down 30">
              <controlPr defaultSize="0" autoLine="0" autoPict="0">
                <anchor moveWithCells="1">
                  <from>
                    <xdr:col>4</xdr:col>
                    <xdr:colOff>0</xdr:colOff>
                    <xdr:row>14</xdr:row>
                    <xdr:rowOff>0</xdr:rowOff>
                  </from>
                  <to>
                    <xdr:col>7</xdr:col>
                    <xdr:colOff>0</xdr:colOff>
                    <xdr:row>43</xdr:row>
                    <xdr:rowOff>257175</xdr:rowOff>
                  </to>
                </anchor>
              </controlPr>
            </control>
          </mc:Choice>
        </mc:AlternateContent>
        <mc:AlternateContent xmlns:mc="http://schemas.openxmlformats.org/markup-compatibility/2006">
          <mc:Choice Requires="x14">
            <control shapeId="16415" r:id="rId24" name="Drop Down 31">
              <controlPr defaultSize="0" autoLine="0" autoPict="0">
                <anchor moveWithCells="1">
                  <from>
                    <xdr:col>4</xdr:col>
                    <xdr:colOff>0</xdr:colOff>
                    <xdr:row>20</xdr:row>
                    <xdr:rowOff>0</xdr:rowOff>
                  </from>
                  <to>
                    <xdr:col>7</xdr:col>
                    <xdr:colOff>0</xdr:colOff>
                    <xdr:row>43</xdr:row>
                    <xdr:rowOff>257175</xdr:rowOff>
                  </to>
                </anchor>
              </controlPr>
            </control>
          </mc:Choice>
        </mc:AlternateContent>
        <mc:AlternateContent xmlns:mc="http://schemas.openxmlformats.org/markup-compatibility/2006">
          <mc:Choice Requires="x14">
            <control shapeId="16416" r:id="rId25" name="Drop Down 32">
              <controlPr defaultSize="0" autoLine="0" autoPict="0">
                <anchor moveWithCells="1">
                  <from>
                    <xdr:col>4</xdr:col>
                    <xdr:colOff>0</xdr:colOff>
                    <xdr:row>26</xdr:row>
                    <xdr:rowOff>0</xdr:rowOff>
                  </from>
                  <to>
                    <xdr:col>7</xdr:col>
                    <xdr:colOff>0</xdr:colOff>
                    <xdr:row>43</xdr:row>
                    <xdr:rowOff>257175</xdr:rowOff>
                  </to>
                </anchor>
              </controlPr>
            </control>
          </mc:Choice>
        </mc:AlternateContent>
        <mc:AlternateContent xmlns:mc="http://schemas.openxmlformats.org/markup-compatibility/2006">
          <mc:Choice Requires="x14">
            <control shapeId="16417" r:id="rId26" name="Drop Down 33">
              <controlPr defaultSize="0" autoLine="0" autoPict="0">
                <anchor moveWithCells="1">
                  <from>
                    <xdr:col>4</xdr:col>
                    <xdr:colOff>0</xdr:colOff>
                    <xdr:row>32</xdr:row>
                    <xdr:rowOff>0</xdr:rowOff>
                  </from>
                  <to>
                    <xdr:col>7</xdr:col>
                    <xdr:colOff>0</xdr:colOff>
                    <xdr:row>43</xdr:row>
                    <xdr:rowOff>257175</xdr:rowOff>
                  </to>
                </anchor>
              </controlPr>
            </control>
          </mc:Choice>
        </mc:AlternateContent>
        <mc:AlternateContent xmlns:mc="http://schemas.openxmlformats.org/markup-compatibility/2006">
          <mc:Choice Requires="x14">
            <control shapeId="16418" r:id="rId27" name="Drop Down 34">
              <controlPr defaultSize="0" autoLine="0" autoPict="0">
                <anchor moveWithCells="1">
                  <from>
                    <xdr:col>4</xdr:col>
                    <xdr:colOff>0</xdr:colOff>
                    <xdr:row>38</xdr:row>
                    <xdr:rowOff>0</xdr:rowOff>
                  </from>
                  <to>
                    <xdr:col>7</xdr:col>
                    <xdr:colOff>0</xdr:colOff>
                    <xdr:row>43</xdr:row>
                    <xdr:rowOff>257175</xdr:rowOff>
                  </to>
                </anchor>
              </controlPr>
            </control>
          </mc:Choice>
        </mc:AlternateContent>
        <mc:AlternateContent xmlns:mc="http://schemas.openxmlformats.org/markup-compatibility/2006">
          <mc:Choice Requires="x14">
            <control shapeId="16419" r:id="rId28" name="Drop Down 35">
              <controlPr locked="0" defaultSize="0" autoLine="0" autoPict="0">
                <anchor moveWithCells="1">
                  <from>
                    <xdr:col>4</xdr:col>
                    <xdr:colOff>0</xdr:colOff>
                    <xdr:row>93</xdr:row>
                    <xdr:rowOff>0</xdr:rowOff>
                  </from>
                  <to>
                    <xdr:col>7</xdr:col>
                    <xdr:colOff>0</xdr:colOff>
                    <xdr:row>103</xdr:row>
                    <xdr:rowOff>0</xdr:rowOff>
                  </to>
                </anchor>
              </controlPr>
            </control>
          </mc:Choice>
        </mc:AlternateContent>
        <mc:AlternateContent xmlns:mc="http://schemas.openxmlformats.org/markup-compatibility/2006">
          <mc:Choice Requires="x14">
            <control shapeId="16421" r:id="rId29" name="Drop Down 37">
              <controlPr locked="0" defaultSize="0" autoLine="0" autoPict="0">
                <anchor moveWithCells="1">
                  <from>
                    <xdr:col>4</xdr:col>
                    <xdr:colOff>0</xdr:colOff>
                    <xdr:row>99</xdr:row>
                    <xdr:rowOff>0</xdr:rowOff>
                  </from>
                  <to>
                    <xdr:col>7</xdr:col>
                    <xdr:colOff>0</xdr:colOff>
                    <xdr:row>103</xdr:row>
                    <xdr:rowOff>0</xdr:rowOff>
                  </to>
                </anchor>
              </controlPr>
            </control>
          </mc:Choice>
        </mc:AlternateContent>
        <mc:AlternateContent xmlns:mc="http://schemas.openxmlformats.org/markup-compatibility/2006">
          <mc:Choice Requires="x14">
            <control shapeId="16422" r:id="rId30" name="Drop Down 38">
              <controlPr defaultSize="0" autoLine="0" autoPict="0">
                <anchor moveWithCells="1">
                  <from>
                    <xdr:col>4</xdr:col>
                    <xdr:colOff>0</xdr:colOff>
                    <xdr:row>51</xdr:row>
                    <xdr:rowOff>0</xdr:rowOff>
                  </from>
                  <to>
                    <xdr:col>7</xdr:col>
                    <xdr:colOff>0</xdr:colOff>
                    <xdr:row>56</xdr:row>
                    <xdr:rowOff>0</xdr:rowOff>
                  </to>
                </anchor>
              </controlPr>
            </control>
          </mc:Choice>
        </mc:AlternateContent>
        <mc:AlternateContent xmlns:mc="http://schemas.openxmlformats.org/markup-compatibility/2006">
          <mc:Choice Requires="x14">
            <control shapeId="16423" r:id="rId31" name="Drop Down 39">
              <controlPr defaultSize="0" autoLine="0" autoPict="0">
                <anchor moveWithCells="1">
                  <from>
                    <xdr:col>4</xdr:col>
                    <xdr:colOff>0</xdr:colOff>
                    <xdr:row>63</xdr:row>
                    <xdr:rowOff>0</xdr:rowOff>
                  </from>
                  <to>
                    <xdr:col>7</xdr:col>
                    <xdr:colOff>0</xdr:colOff>
                    <xdr:row>67</xdr:row>
                    <xdr:rowOff>0</xdr:rowOff>
                  </to>
                </anchor>
              </controlPr>
            </control>
          </mc:Choice>
        </mc:AlternateContent>
        <mc:AlternateContent xmlns:mc="http://schemas.openxmlformats.org/markup-compatibility/2006">
          <mc:Choice Requires="x14">
            <control shapeId="16424" r:id="rId32" name="Drop Down 40">
              <controlPr defaultSize="0" autoLine="0" autoPict="0">
                <anchor moveWithCells="1">
                  <from>
                    <xdr:col>4</xdr:col>
                    <xdr:colOff>0</xdr:colOff>
                    <xdr:row>74</xdr:row>
                    <xdr:rowOff>0</xdr:rowOff>
                  </from>
                  <to>
                    <xdr:col>7</xdr:col>
                    <xdr:colOff>0</xdr:colOff>
                    <xdr:row>78</xdr:row>
                    <xdr:rowOff>0</xdr:rowOff>
                  </to>
                </anchor>
              </controlPr>
            </control>
          </mc:Choice>
        </mc:AlternateContent>
        <mc:AlternateContent xmlns:mc="http://schemas.openxmlformats.org/markup-compatibility/2006">
          <mc:Choice Requires="x14">
            <control shapeId="16425" r:id="rId33" name="Drop Down 41">
              <controlPr defaultSize="0" autoLine="0" autoPict="0">
                <anchor moveWithCells="1">
                  <from>
                    <xdr:col>4</xdr:col>
                    <xdr:colOff>0</xdr:colOff>
                    <xdr:row>85</xdr:row>
                    <xdr:rowOff>0</xdr:rowOff>
                  </from>
                  <to>
                    <xdr:col>7</xdr:col>
                    <xdr:colOff>0</xdr:colOff>
                    <xdr:row>89</xdr:row>
                    <xdr:rowOff>0</xdr:rowOff>
                  </to>
                </anchor>
              </controlPr>
            </control>
          </mc:Choice>
        </mc:AlternateContent>
        <mc:AlternateContent xmlns:mc="http://schemas.openxmlformats.org/markup-compatibility/2006">
          <mc:Choice Requires="x14">
            <control shapeId="16426" r:id="rId34" name="Drop Down 42">
              <controlPr defaultSize="0" autoLine="0" autoPict="0">
                <anchor moveWithCells="1">
                  <from>
                    <xdr:col>4</xdr:col>
                    <xdr:colOff>0</xdr:colOff>
                    <xdr:row>92</xdr:row>
                    <xdr:rowOff>0</xdr:rowOff>
                  </from>
                  <to>
                    <xdr:col>7</xdr:col>
                    <xdr:colOff>0</xdr:colOff>
                    <xdr:row>103</xdr:row>
                    <xdr:rowOff>0</xdr:rowOff>
                  </to>
                </anchor>
              </controlPr>
            </control>
          </mc:Choice>
        </mc:AlternateContent>
        <mc:AlternateContent xmlns:mc="http://schemas.openxmlformats.org/markup-compatibility/2006">
          <mc:Choice Requires="x14">
            <control shapeId="16427" r:id="rId35" name="Drop Down 43">
              <controlPr defaultSize="0" autoLine="0" autoPict="0">
                <anchor moveWithCells="1">
                  <from>
                    <xdr:col>4</xdr:col>
                    <xdr:colOff>0</xdr:colOff>
                    <xdr:row>98</xdr:row>
                    <xdr:rowOff>0</xdr:rowOff>
                  </from>
                  <to>
                    <xdr:col>7</xdr:col>
                    <xdr:colOff>0</xdr:colOff>
                    <xdr:row>103</xdr:row>
                    <xdr:rowOff>0</xdr:rowOff>
                  </to>
                </anchor>
              </controlPr>
            </control>
          </mc:Choice>
        </mc:AlternateContent>
        <mc:AlternateContent xmlns:mc="http://schemas.openxmlformats.org/markup-compatibility/2006">
          <mc:Choice Requires="x14">
            <control shapeId="16428" r:id="rId36" name="Drop Down 44">
              <controlPr defaultSize="0" autoLine="0" autoPict="0">
                <anchor moveWithCells="1">
                  <from>
                    <xdr:col>4</xdr:col>
                    <xdr:colOff>0</xdr:colOff>
                    <xdr:row>105</xdr:row>
                    <xdr:rowOff>0</xdr:rowOff>
                  </from>
                  <to>
                    <xdr:col>7</xdr:col>
                    <xdr:colOff>0</xdr:colOff>
                    <xdr:row>114</xdr:row>
                    <xdr:rowOff>0</xdr:rowOff>
                  </to>
                </anchor>
              </controlPr>
            </control>
          </mc:Choice>
        </mc:AlternateContent>
        <mc:AlternateContent xmlns:mc="http://schemas.openxmlformats.org/markup-compatibility/2006">
          <mc:Choice Requires="x14">
            <control shapeId="16429" r:id="rId37" name="Drop Down 45">
              <controlPr defaultSize="0" autoLine="0" autoPict="0">
                <anchor moveWithCells="1">
                  <from>
                    <xdr:col>4</xdr:col>
                    <xdr:colOff>0</xdr:colOff>
                    <xdr:row>110</xdr:row>
                    <xdr:rowOff>0</xdr:rowOff>
                  </from>
                  <to>
                    <xdr:col>7</xdr:col>
                    <xdr:colOff>0</xdr:colOff>
                    <xdr:row>114</xdr:row>
                    <xdr:rowOff>0</xdr:rowOff>
                  </to>
                </anchor>
              </controlPr>
            </control>
          </mc:Choice>
        </mc:AlternateContent>
        <mc:AlternateContent xmlns:mc="http://schemas.openxmlformats.org/markup-compatibility/2006">
          <mc:Choice Requires="x14">
            <control shapeId="16431" r:id="rId38" name="dropTubeFamilyName2">
              <controlPr defaultSize="0" autoLine="0" autoPict="0">
                <anchor moveWithCells="1">
                  <from>
                    <xdr:col>4</xdr:col>
                    <xdr:colOff>0</xdr:colOff>
                    <xdr:row>121</xdr:row>
                    <xdr:rowOff>0</xdr:rowOff>
                  </from>
                  <to>
                    <xdr:col>7</xdr:col>
                    <xdr:colOff>0</xdr:colOff>
                    <xdr:row>125</xdr:row>
                    <xdr:rowOff>66675</xdr:rowOff>
                  </to>
                </anchor>
              </controlPr>
            </control>
          </mc:Choice>
        </mc:AlternateContent>
        <mc:AlternateContent xmlns:mc="http://schemas.openxmlformats.org/markup-compatibility/2006">
          <mc:Choice Requires="x14">
            <control shapeId="16432" r:id="rId39" name="dropTubeFamilyName">
              <controlPr defaultSize="0" autoLine="0" autoPict="0">
                <anchor moveWithCells="1">
                  <from>
                    <xdr:col>4</xdr:col>
                    <xdr:colOff>0</xdr:colOff>
                    <xdr:row>116</xdr:row>
                    <xdr:rowOff>0</xdr:rowOff>
                  </from>
                  <to>
                    <xdr:col>7</xdr:col>
                    <xdr:colOff>0</xdr:colOff>
                    <xdr:row>125</xdr:row>
                    <xdr:rowOff>66675</xdr:rowOff>
                  </to>
                </anchor>
              </controlPr>
            </control>
          </mc:Choice>
        </mc:AlternateContent>
        <mc:AlternateContent xmlns:mc="http://schemas.openxmlformats.org/markup-compatibility/2006">
          <mc:Choice Requires="x14">
            <control shapeId="16433" r:id="rId40" name="Drop Down 49">
              <controlPr defaultSize="0" autoLine="0" autoPict="0">
                <anchor moveWithCells="1">
                  <from>
                    <xdr:col>4</xdr:col>
                    <xdr:colOff>0</xdr:colOff>
                    <xdr:row>45</xdr:row>
                    <xdr:rowOff>0</xdr:rowOff>
                  </from>
                  <to>
                    <xdr:col>7</xdr:col>
                    <xdr:colOff>0</xdr:colOff>
                    <xdr:row>56</xdr:row>
                    <xdr:rowOff>0</xdr:rowOff>
                  </to>
                </anchor>
              </controlPr>
            </control>
          </mc:Choice>
        </mc:AlternateContent>
        <mc:AlternateContent xmlns:mc="http://schemas.openxmlformats.org/markup-compatibility/2006">
          <mc:Choice Requires="x14">
            <control shapeId="16435" r:id="rId41" name="Drop Down 51">
              <controlPr defaultSize="0" autoLine="0" autoPict="0">
                <anchor moveWithCells="1">
                  <from>
                    <xdr:col>4</xdr:col>
                    <xdr:colOff>0</xdr:colOff>
                    <xdr:row>58</xdr:row>
                    <xdr:rowOff>0</xdr:rowOff>
                  </from>
                  <to>
                    <xdr:col>7</xdr:col>
                    <xdr:colOff>0</xdr:colOff>
                    <xdr:row>67</xdr:row>
                    <xdr:rowOff>0</xdr:rowOff>
                  </to>
                </anchor>
              </controlPr>
            </control>
          </mc:Choice>
        </mc:AlternateContent>
        <mc:AlternateContent xmlns:mc="http://schemas.openxmlformats.org/markup-compatibility/2006">
          <mc:Choice Requires="x14">
            <control shapeId="16436" r:id="rId42" name="Drop Down 52">
              <controlPr defaultSize="0" autoLine="0" autoPict="0">
                <anchor moveWithCells="1">
                  <from>
                    <xdr:col>4</xdr:col>
                    <xdr:colOff>0</xdr:colOff>
                    <xdr:row>69</xdr:row>
                    <xdr:rowOff>0</xdr:rowOff>
                  </from>
                  <to>
                    <xdr:col>7</xdr:col>
                    <xdr:colOff>0</xdr:colOff>
                    <xdr:row>78</xdr:row>
                    <xdr:rowOff>0</xdr:rowOff>
                  </to>
                </anchor>
              </controlPr>
            </control>
          </mc:Choice>
        </mc:AlternateContent>
        <mc:AlternateContent xmlns:mc="http://schemas.openxmlformats.org/markup-compatibility/2006">
          <mc:Choice Requires="x14">
            <control shapeId="16437" r:id="rId43" name="Drop Down 53">
              <controlPr defaultSize="0" autoLine="0" autoPict="0">
                <anchor moveWithCells="1">
                  <from>
                    <xdr:col>4</xdr:col>
                    <xdr:colOff>0</xdr:colOff>
                    <xdr:row>80</xdr:row>
                    <xdr:rowOff>0</xdr:rowOff>
                  </from>
                  <to>
                    <xdr:col>7</xdr:col>
                    <xdr:colOff>0</xdr:colOff>
                    <xdr:row>89</xdr:row>
                    <xdr:rowOff>0</xdr:rowOff>
                  </to>
                </anchor>
              </controlPr>
            </control>
          </mc:Choice>
        </mc:AlternateContent>
        <mc:AlternateContent xmlns:mc="http://schemas.openxmlformats.org/markup-compatibility/2006">
          <mc:Choice Requires="x14">
            <control shapeId="16440" r:id="rId44" name="Drop Down 56">
              <controlPr defaultSize="0" autoLine="0" autoPict="0">
                <anchor moveWithCells="1">
                  <from>
                    <xdr:col>4</xdr:col>
                    <xdr:colOff>0</xdr:colOff>
                    <xdr:row>58</xdr:row>
                    <xdr:rowOff>0</xdr:rowOff>
                  </from>
                  <to>
                    <xdr:col>7</xdr:col>
                    <xdr:colOff>0</xdr:colOff>
                    <xdr:row>67</xdr:row>
                    <xdr:rowOff>0</xdr:rowOff>
                  </to>
                </anchor>
              </controlPr>
            </control>
          </mc:Choice>
        </mc:AlternateContent>
        <mc:AlternateContent xmlns:mc="http://schemas.openxmlformats.org/markup-compatibility/2006">
          <mc:Choice Requires="x14">
            <control shapeId="16442" r:id="rId45" name="Drop Down 58">
              <controlPr defaultSize="0" autoLine="0" autoPict="0">
                <anchor moveWithCells="1">
                  <from>
                    <xdr:col>4</xdr:col>
                    <xdr:colOff>0</xdr:colOff>
                    <xdr:row>69</xdr:row>
                    <xdr:rowOff>0</xdr:rowOff>
                  </from>
                  <to>
                    <xdr:col>7</xdr:col>
                    <xdr:colOff>0</xdr:colOff>
                    <xdr:row>78</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7">
    <tabColor theme="8" tint="0.59999389629810485"/>
    <pageSetUpPr fitToPage="1"/>
  </sheetPr>
  <dimension ref="A1:O47"/>
  <sheetViews>
    <sheetView showGridLines="0" showRowColHeaders="0" topLeftCell="C1" workbookViewId="0">
      <selection activeCell="D3" sqref="D3"/>
    </sheetView>
  </sheetViews>
  <sheetFormatPr defaultColWidth="9.33203125" defaultRowHeight="12.75"/>
  <cols>
    <col min="1" max="1" width="9.1640625" style="32" hidden="1" customWidth="1"/>
    <col min="2" max="2" width="20.1640625" style="32" hidden="1" customWidth="1"/>
    <col min="3" max="3" width="3.83203125" style="32" customWidth="1"/>
    <col min="4" max="4" width="50.83203125" style="32" customWidth="1"/>
    <col min="5" max="5" width="40.83203125" style="32" customWidth="1"/>
    <col min="6" max="7" width="10.83203125" style="32" customWidth="1"/>
    <col min="8" max="8" width="3.83203125" style="32" customWidth="1"/>
    <col min="9" max="12" width="9.33203125" style="32" hidden="1" customWidth="1"/>
    <col min="13" max="13" width="69.33203125" style="32" hidden="1" customWidth="1"/>
    <col min="14" max="15" width="9.33203125" style="32" hidden="1" customWidth="1"/>
    <col min="16" max="16" width="9.33203125" style="32" customWidth="1"/>
    <col min="17" max="16384" width="9.33203125" style="32"/>
  </cols>
  <sheetData>
    <row r="1" spans="1:15" ht="39.950000000000003" customHeight="1">
      <c r="B1" s="106"/>
      <c r="G1" s="86"/>
      <c r="J1" s="4" t="s">
        <v>1960</v>
      </c>
      <c r="K1" s="4" t="s">
        <v>1960</v>
      </c>
      <c r="L1" s="4" t="s">
        <v>1960</v>
      </c>
      <c r="M1" s="4" t="s">
        <v>1960</v>
      </c>
      <c r="N1" s="4" t="s">
        <v>1960</v>
      </c>
      <c r="O1" s="4" t="s">
        <v>1960</v>
      </c>
    </row>
    <row r="2" spans="1:15" s="78" customFormat="1" ht="39.950000000000003" customHeight="1">
      <c r="B2" s="159"/>
      <c r="D2" s="212" t="s">
        <v>8</v>
      </c>
      <c r="E2" s="212"/>
      <c r="F2" s="212"/>
      <c r="G2" s="212"/>
      <c r="J2" s="79" t="s">
        <v>1965</v>
      </c>
      <c r="K2" s="79"/>
      <c r="L2" s="79"/>
      <c r="M2" s="79"/>
      <c r="N2" s="79"/>
      <c r="O2" s="79"/>
    </row>
    <row r="3" spans="1:15" ht="30" customHeight="1">
      <c r="B3" s="106"/>
      <c r="D3" s="120" t="s">
        <v>40</v>
      </c>
      <c r="F3" s="88"/>
      <c r="G3" s="88" t="s">
        <v>1224</v>
      </c>
      <c r="J3" s="4" t="s">
        <v>1961</v>
      </c>
      <c r="K3" s="4" t="s">
        <v>1962</v>
      </c>
      <c r="L3" s="4" t="s">
        <v>1963</v>
      </c>
      <c r="M3" s="4" t="s">
        <v>1964</v>
      </c>
      <c r="N3" s="4"/>
      <c r="O3" s="4"/>
    </row>
    <row r="4" spans="1:15" ht="30" customHeight="1">
      <c r="B4" s="106"/>
      <c r="C4" s="70"/>
      <c r="D4" s="184" t="s">
        <v>103</v>
      </c>
      <c r="E4" s="184"/>
      <c r="F4" s="184"/>
      <c r="G4" s="184"/>
      <c r="H4" s="70"/>
      <c r="J4" s="4"/>
      <c r="K4" s="125">
        <f>IF(N4=O4,1,0)</f>
        <v>0</v>
      </c>
      <c r="L4" s="4"/>
      <c r="M4" s="4"/>
      <c r="N4" s="4">
        <f>SUM(N6:N96)</f>
        <v>8</v>
      </c>
      <c r="O4" s="4">
        <f>SUM(O6:O96)</f>
        <v>1</v>
      </c>
    </row>
    <row r="5" spans="1:15" ht="20.100000000000001" customHeight="1">
      <c r="B5" s="106"/>
      <c r="D5" s="5"/>
      <c r="E5" s="5"/>
      <c r="J5" s="4"/>
      <c r="K5" s="4"/>
      <c r="L5" s="4"/>
      <c r="M5" s="4"/>
      <c r="N5" s="4"/>
      <c r="O5" s="4"/>
    </row>
    <row r="6" spans="1:15" s="34" customFormat="1" ht="20.100000000000001" customHeight="1">
      <c r="A6" s="113"/>
      <c r="B6" s="113">
        <v>8</v>
      </c>
      <c r="C6" s="74" t="s">
        <v>1912</v>
      </c>
      <c r="D6" s="7" t="s">
        <v>175</v>
      </c>
      <c r="E6" s="281"/>
      <c r="F6" s="282"/>
      <c r="G6" s="283"/>
      <c r="J6" s="103">
        <v>1</v>
      </c>
      <c r="K6" s="129">
        <f>IF(B6=1,0,1)</f>
        <v>1</v>
      </c>
      <c r="L6" s="127">
        <f>IF(A6="Hide",1,IF($J$6=1,B6,1))</f>
        <v>8</v>
      </c>
      <c r="M6" s="52" t="str">
        <f>formData!B464</f>
        <v>EDUCATION_HISTORY_HIGHEST_QUALIFICATION</v>
      </c>
      <c r="N6" s="6">
        <f>IF(J6=1,1,0)</f>
        <v>1</v>
      </c>
      <c r="O6" s="6">
        <f>+J6*K6</f>
        <v>1</v>
      </c>
    </row>
    <row r="7" spans="1:15" s="34" customFormat="1" ht="45" customHeight="1">
      <c r="A7" s="113"/>
      <c r="B7" s="113">
        <v>1</v>
      </c>
      <c r="C7" s="74" t="s">
        <v>1912</v>
      </c>
      <c r="D7" s="26" t="s">
        <v>176</v>
      </c>
      <c r="E7" s="281"/>
      <c r="F7" s="282"/>
      <c r="G7" s="283"/>
      <c r="J7" s="6">
        <f>IF($C7="*",IF($A7="Hide",0,$J$6),0)</f>
        <v>1</v>
      </c>
      <c r="K7" s="129">
        <f>IF(B7=1,0,1)</f>
        <v>0</v>
      </c>
      <c r="L7" s="127">
        <f>IF(A7="Hide",1,IF($J$6=1,B7,1))</f>
        <v>1</v>
      </c>
      <c r="M7" s="52" t="str">
        <f>formData!B465</f>
        <v>EDUCATION_HISTORY_STUDIES_SECONDARY</v>
      </c>
      <c r="N7" s="6">
        <f>IF(J7=1,1,0)</f>
        <v>1</v>
      </c>
      <c r="O7" s="6">
        <f>+J7*K7</f>
        <v>0</v>
      </c>
    </row>
    <row r="8" spans="1:15" s="34" customFormat="1" ht="20.100000000000001" customHeight="1">
      <c r="A8" s="113"/>
      <c r="B8" s="113"/>
      <c r="D8" s="9"/>
      <c r="E8" s="2"/>
      <c r="J8" s="32"/>
      <c r="K8" s="32"/>
      <c r="L8" s="32"/>
      <c r="M8" s="52"/>
      <c r="N8" s="6">
        <f t="shared" ref="N8:N13" si="0">IF(J8=1,1,0)</f>
        <v>0</v>
      </c>
      <c r="O8" s="6">
        <f t="shared" ref="O8:O13" si="1">+J8*K8</f>
        <v>0</v>
      </c>
    </row>
    <row r="9" spans="1:15" ht="24.95" customHeight="1">
      <c r="A9" s="114"/>
      <c r="B9" s="106"/>
      <c r="D9" s="256" t="s">
        <v>104</v>
      </c>
      <c r="E9" s="254"/>
      <c r="F9" s="254"/>
      <c r="G9" s="255"/>
      <c r="M9" s="52"/>
      <c r="N9" s="6">
        <f t="shared" si="0"/>
        <v>0</v>
      </c>
      <c r="O9" s="6">
        <f t="shared" si="1"/>
        <v>0</v>
      </c>
    </row>
    <row r="10" spans="1:15" s="34" customFormat="1" ht="20.100000000000001" customHeight="1">
      <c r="A10" s="106"/>
      <c r="B10" s="113">
        <v>1</v>
      </c>
      <c r="C10" s="74" t="s">
        <v>1912</v>
      </c>
      <c r="D10" s="7" t="s">
        <v>177</v>
      </c>
      <c r="E10" s="240"/>
      <c r="F10" s="241"/>
      <c r="G10" s="242"/>
      <c r="J10" s="6">
        <f t="shared" ref="J10:J15" si="2">IF($C10="*",IF($A10="Hide",0,$J$6),0)</f>
        <v>1</v>
      </c>
      <c r="K10" s="129">
        <f>IF(B10=1,0,1)</f>
        <v>0</v>
      </c>
      <c r="L10" s="127">
        <f>IF(A10="Hide",1,IF($J$6=1,B10,1))</f>
        <v>1</v>
      </c>
      <c r="M10" s="52" t="str">
        <f>formData!B466</f>
        <v>EDUCATION_HISTORY_HIGHEST_QUALIFICATION1</v>
      </c>
      <c r="N10" s="6">
        <f t="shared" si="0"/>
        <v>1</v>
      </c>
      <c r="O10" s="6">
        <f t="shared" si="1"/>
        <v>0</v>
      </c>
    </row>
    <row r="11" spans="1:15" s="34" customFormat="1" ht="20.100000000000001" customHeight="1">
      <c r="A11" s="106"/>
      <c r="B11" s="113"/>
      <c r="C11" s="74" t="s">
        <v>1912</v>
      </c>
      <c r="D11" s="7" t="s">
        <v>178</v>
      </c>
      <c r="E11" s="198"/>
      <c r="F11" s="199"/>
      <c r="G11" s="200"/>
      <c r="J11" s="6">
        <f t="shared" si="2"/>
        <v>1</v>
      </c>
      <c r="K11" s="130">
        <f>IF(LEN(E11)=0,0,1)</f>
        <v>0</v>
      </c>
      <c r="L11" s="126">
        <f>IF(A11="Hide",0,IF($J$6=1,E11,0))</f>
        <v>0</v>
      </c>
      <c r="M11" s="52" t="str">
        <f>formData!B467</f>
        <v>EDUCATION_HISTORY_COURSE_NAME1</v>
      </c>
      <c r="N11" s="6">
        <f t="shared" si="0"/>
        <v>1</v>
      </c>
      <c r="O11" s="6">
        <f t="shared" si="1"/>
        <v>0</v>
      </c>
    </row>
    <row r="12" spans="1:15" s="34" customFormat="1" ht="20.100000000000001" customHeight="1">
      <c r="A12" s="106"/>
      <c r="B12" s="113"/>
      <c r="C12" s="74" t="s">
        <v>1912</v>
      </c>
      <c r="D12" s="7" t="s">
        <v>179</v>
      </c>
      <c r="E12" s="198"/>
      <c r="F12" s="199"/>
      <c r="G12" s="200"/>
      <c r="J12" s="6">
        <f t="shared" si="2"/>
        <v>1</v>
      </c>
      <c r="K12" s="130">
        <f>IF(LEN(E12)=0,0,1)</f>
        <v>0</v>
      </c>
      <c r="L12" s="126">
        <f>IF(A12="Hide",0,IF($J$6=1,E12,0))</f>
        <v>0</v>
      </c>
      <c r="M12" s="52" t="str">
        <f>formData!B468</f>
        <v>EDUCATION_HISTORY_INSTITUTION1</v>
      </c>
      <c r="N12" s="6">
        <f t="shared" si="0"/>
        <v>1</v>
      </c>
      <c r="O12" s="6">
        <f t="shared" si="1"/>
        <v>0</v>
      </c>
    </row>
    <row r="13" spans="1:15" s="34" customFormat="1" ht="20.100000000000001" customHeight="1">
      <c r="A13" s="106"/>
      <c r="B13" s="113">
        <v>1</v>
      </c>
      <c r="C13" s="74" t="s">
        <v>1912</v>
      </c>
      <c r="D13" s="7" t="s">
        <v>180</v>
      </c>
      <c r="E13" s="240"/>
      <c r="F13" s="241"/>
      <c r="G13" s="242"/>
      <c r="J13" s="6">
        <f t="shared" si="2"/>
        <v>1</v>
      </c>
      <c r="K13" s="129">
        <f>IF(B13=1,0,1)</f>
        <v>0</v>
      </c>
      <c r="L13" s="127">
        <f>IF(A13="Hide",1,IF($J$6=1,B13,1))</f>
        <v>1</v>
      </c>
      <c r="M13" s="52" t="str">
        <f>formData!B469</f>
        <v>EDUCATION_HISTORY_COUNTRY1</v>
      </c>
      <c r="N13" s="6">
        <f t="shared" si="0"/>
        <v>1</v>
      </c>
      <c r="O13" s="6">
        <f t="shared" si="1"/>
        <v>0</v>
      </c>
    </row>
    <row r="14" spans="1:15" s="34" customFormat="1" ht="20.100000000000001" customHeight="1">
      <c r="A14" s="106"/>
      <c r="B14" s="113"/>
      <c r="C14" s="74" t="s">
        <v>1912</v>
      </c>
      <c r="D14" s="31" t="s">
        <v>1978</v>
      </c>
      <c r="E14" s="219"/>
      <c r="F14" s="220"/>
      <c r="G14" s="221"/>
      <c r="J14" s="6">
        <f t="shared" si="2"/>
        <v>1</v>
      </c>
      <c r="K14" s="130">
        <f>IF(LEN(E14)=0,0,1)</f>
        <v>0</v>
      </c>
      <c r="L14" s="126">
        <f>IF(A14="Hide",0,IF($J$6=1,E14,0))</f>
        <v>0</v>
      </c>
      <c r="M14" s="52" t="str">
        <f>formData!B470</f>
        <v>EDUCATION_HISTORY_DATE_FROM1</v>
      </c>
      <c r="N14" s="6">
        <f t="shared" ref="N14:N39" si="3">IF(J14=1,1,0)</f>
        <v>1</v>
      </c>
      <c r="O14" s="6">
        <f t="shared" ref="O14:O39" si="4">+J14*K14</f>
        <v>0</v>
      </c>
    </row>
    <row r="15" spans="1:15" s="34" customFormat="1" ht="20.100000000000001" customHeight="1">
      <c r="A15" s="106"/>
      <c r="B15" s="113"/>
      <c r="C15" s="74" t="s">
        <v>1912</v>
      </c>
      <c r="D15" s="31" t="s">
        <v>1981</v>
      </c>
      <c r="E15" s="219"/>
      <c r="F15" s="220"/>
      <c r="G15" s="221"/>
      <c r="J15" s="6">
        <f t="shared" si="2"/>
        <v>1</v>
      </c>
      <c r="K15" s="130">
        <f>IF(LEN(E15)=0,0,1)</f>
        <v>0</v>
      </c>
      <c r="L15" s="126">
        <f>IF(A15="Hide",0,IF($J$6=1,E15,0))</f>
        <v>0</v>
      </c>
      <c r="M15" s="52" t="str">
        <f>formData!B471</f>
        <v>EDUCATION_HISTORY_DATE_TO1</v>
      </c>
      <c r="N15" s="6">
        <f t="shared" si="3"/>
        <v>1</v>
      </c>
      <c r="O15" s="6">
        <f t="shared" si="4"/>
        <v>0</v>
      </c>
    </row>
    <row r="16" spans="1:15" s="34" customFormat="1" ht="20.100000000000001" customHeight="1">
      <c r="A16" s="106"/>
      <c r="B16" s="113"/>
      <c r="D16" s="9"/>
      <c r="E16" s="19"/>
      <c r="F16" s="19"/>
      <c r="G16" s="19"/>
      <c r="M16" s="52"/>
      <c r="N16" s="6">
        <f t="shared" si="3"/>
        <v>0</v>
      </c>
      <c r="O16" s="6">
        <f t="shared" si="4"/>
        <v>0</v>
      </c>
    </row>
    <row r="17" spans="1:15" ht="24.95" customHeight="1">
      <c r="A17" s="106"/>
      <c r="B17" s="106"/>
      <c r="C17" s="74"/>
      <c r="D17" s="256" t="s">
        <v>105</v>
      </c>
      <c r="E17" s="254"/>
      <c r="F17" s="254"/>
      <c r="G17" s="255"/>
      <c r="M17" s="52"/>
      <c r="N17" s="6">
        <f t="shared" si="3"/>
        <v>0</v>
      </c>
      <c r="O17" s="6">
        <f t="shared" si="4"/>
        <v>0</v>
      </c>
    </row>
    <row r="18" spans="1:15" s="34" customFormat="1" ht="20.100000000000001" customHeight="1">
      <c r="A18" s="106"/>
      <c r="B18" s="113">
        <v>1</v>
      </c>
      <c r="D18" s="7" t="s">
        <v>177</v>
      </c>
      <c r="E18" s="240"/>
      <c r="F18" s="241"/>
      <c r="G18" s="242"/>
      <c r="J18" s="6">
        <f t="shared" ref="J18:J23" si="5">IF($C18="*",IF($A18="Hide",0,$J$6),0)</f>
        <v>0</v>
      </c>
      <c r="K18" s="129">
        <f>IF(B18=1,0,1)</f>
        <v>0</v>
      </c>
      <c r="L18" s="127">
        <f>IF(A18="Hide",1,IF($J$6=1,B18,1))</f>
        <v>1</v>
      </c>
      <c r="M18" s="52" t="str">
        <f>formData!B472</f>
        <v>EDUCATION_HISTORY_HIGHEST_QUALIFICATION2</v>
      </c>
      <c r="N18" s="6">
        <f t="shared" si="3"/>
        <v>0</v>
      </c>
      <c r="O18" s="6">
        <f t="shared" si="4"/>
        <v>0</v>
      </c>
    </row>
    <row r="19" spans="1:15" s="34" customFormat="1" ht="20.100000000000001" customHeight="1">
      <c r="A19" s="106"/>
      <c r="B19" s="113"/>
      <c r="D19" s="7" t="s">
        <v>178</v>
      </c>
      <c r="E19" s="198"/>
      <c r="F19" s="199"/>
      <c r="G19" s="200"/>
      <c r="J19" s="6">
        <f t="shared" si="5"/>
        <v>0</v>
      </c>
      <c r="K19" s="130">
        <f>IF(LEN(E19)=0,0,1)</f>
        <v>0</v>
      </c>
      <c r="L19" s="126">
        <f>IF(A19="Hide",0,IF($J$6=1,E19,0))</f>
        <v>0</v>
      </c>
      <c r="M19" s="52" t="str">
        <f>formData!B473</f>
        <v>EDUCATION_HISTORY_COURSE_NAME2</v>
      </c>
      <c r="N19" s="6">
        <f t="shared" si="3"/>
        <v>0</v>
      </c>
      <c r="O19" s="6">
        <f t="shared" si="4"/>
        <v>0</v>
      </c>
    </row>
    <row r="20" spans="1:15" s="34" customFormat="1" ht="20.100000000000001" customHeight="1">
      <c r="A20" s="106"/>
      <c r="B20" s="113"/>
      <c r="D20" s="7" t="s">
        <v>179</v>
      </c>
      <c r="E20" s="198"/>
      <c r="F20" s="199"/>
      <c r="G20" s="200"/>
      <c r="J20" s="6">
        <f t="shared" si="5"/>
        <v>0</v>
      </c>
      <c r="K20" s="130">
        <f>IF(LEN(E20)=0,0,1)</f>
        <v>0</v>
      </c>
      <c r="L20" s="126">
        <f>IF(A20="Hide",0,IF($J$6=1,E20,0))</f>
        <v>0</v>
      </c>
      <c r="M20" s="52" t="str">
        <f>formData!B474</f>
        <v>EDUCATION_HISTORY_INSTITUTION2</v>
      </c>
      <c r="N20" s="6">
        <f t="shared" si="3"/>
        <v>0</v>
      </c>
      <c r="O20" s="6">
        <f t="shared" si="4"/>
        <v>0</v>
      </c>
    </row>
    <row r="21" spans="1:15" s="34" customFormat="1" ht="20.100000000000001" customHeight="1">
      <c r="A21" s="106"/>
      <c r="B21" s="113">
        <v>1</v>
      </c>
      <c r="D21" s="7" t="s">
        <v>180</v>
      </c>
      <c r="E21" s="240"/>
      <c r="F21" s="241"/>
      <c r="G21" s="242"/>
      <c r="J21" s="6">
        <f t="shared" si="5"/>
        <v>0</v>
      </c>
      <c r="K21" s="129">
        <f>IF(B21=1,0,1)</f>
        <v>0</v>
      </c>
      <c r="L21" s="127">
        <f>IF(A21="Hide",1,IF($J$6=1,B21,1))</f>
        <v>1</v>
      </c>
      <c r="M21" s="52" t="str">
        <f>formData!B475</f>
        <v>EDUCATION_HISTORY_COUNTRY2</v>
      </c>
      <c r="N21" s="6">
        <f t="shared" si="3"/>
        <v>0</v>
      </c>
      <c r="O21" s="6">
        <f t="shared" si="4"/>
        <v>0</v>
      </c>
    </row>
    <row r="22" spans="1:15" s="34" customFormat="1" ht="20.100000000000001" customHeight="1">
      <c r="A22" s="106"/>
      <c r="B22" s="113"/>
      <c r="D22" s="31" t="s">
        <v>1978</v>
      </c>
      <c r="E22" s="219"/>
      <c r="F22" s="220"/>
      <c r="G22" s="221"/>
      <c r="J22" s="6">
        <f t="shared" si="5"/>
        <v>0</v>
      </c>
      <c r="K22" s="130">
        <f>IF(LEN(E22)=0,0,1)</f>
        <v>0</v>
      </c>
      <c r="L22" s="126">
        <f>IF(A22="Hide",0,IF($J$6=1,E22,0))</f>
        <v>0</v>
      </c>
      <c r="M22" s="52" t="str">
        <f>formData!B476</f>
        <v>EDUCATION_HISTORY_DATE_FROM2</v>
      </c>
      <c r="N22" s="6">
        <f t="shared" si="3"/>
        <v>0</v>
      </c>
      <c r="O22" s="6">
        <f t="shared" si="4"/>
        <v>0</v>
      </c>
    </row>
    <row r="23" spans="1:15" s="34" customFormat="1" ht="20.100000000000001" customHeight="1">
      <c r="A23" s="106"/>
      <c r="B23" s="113"/>
      <c r="D23" s="31" t="s">
        <v>1981</v>
      </c>
      <c r="E23" s="219"/>
      <c r="F23" s="220"/>
      <c r="G23" s="221"/>
      <c r="J23" s="6">
        <f t="shared" si="5"/>
        <v>0</v>
      </c>
      <c r="K23" s="130">
        <f>IF(LEN(E23)=0,0,1)</f>
        <v>0</v>
      </c>
      <c r="L23" s="126">
        <f>IF(A23="Hide",0,IF($J$6=1,E23,0))</f>
        <v>0</v>
      </c>
      <c r="M23" s="52" t="str">
        <f>formData!B477</f>
        <v>EDUCATION_HISTORY_DATE_TO2</v>
      </c>
      <c r="N23" s="6">
        <f t="shared" si="3"/>
        <v>0</v>
      </c>
      <c r="O23" s="6">
        <f t="shared" si="4"/>
        <v>0</v>
      </c>
    </row>
    <row r="24" spans="1:15" s="34" customFormat="1" ht="20.100000000000001" customHeight="1">
      <c r="A24" s="106"/>
      <c r="B24" s="113"/>
      <c r="D24" s="9"/>
      <c r="E24" s="2"/>
      <c r="M24" s="52"/>
      <c r="N24" s="6">
        <f t="shared" si="3"/>
        <v>0</v>
      </c>
      <c r="O24" s="6">
        <f t="shared" si="4"/>
        <v>0</v>
      </c>
    </row>
    <row r="25" spans="1:15" ht="24.95" customHeight="1">
      <c r="A25" s="106"/>
      <c r="B25" s="106"/>
      <c r="C25" s="74"/>
      <c r="D25" s="256" t="s">
        <v>106</v>
      </c>
      <c r="E25" s="254"/>
      <c r="F25" s="254"/>
      <c r="G25" s="255"/>
      <c r="M25" s="52"/>
      <c r="N25" s="6">
        <f t="shared" si="3"/>
        <v>0</v>
      </c>
      <c r="O25" s="6">
        <f t="shared" si="4"/>
        <v>0</v>
      </c>
    </row>
    <row r="26" spans="1:15" s="34" customFormat="1" ht="20.100000000000001" customHeight="1">
      <c r="A26" s="106"/>
      <c r="B26" s="113">
        <v>1</v>
      </c>
      <c r="D26" s="7" t="s">
        <v>177</v>
      </c>
      <c r="E26" s="240"/>
      <c r="F26" s="241"/>
      <c r="G26" s="242"/>
      <c r="J26" s="6">
        <f t="shared" ref="J26:J31" si="6">IF($C26="*",IF($A26="Hide",0,$J$6),0)</f>
        <v>0</v>
      </c>
      <c r="K26" s="129">
        <f>IF(B26=1,0,1)</f>
        <v>0</v>
      </c>
      <c r="L26" s="127">
        <f>IF(A26="Hide",1,IF($J$6=1,B26,1))</f>
        <v>1</v>
      </c>
      <c r="M26" s="52" t="str">
        <f>formData!B478</f>
        <v>EDUCATION_HISTORY_HIGHEST_QUALIFICATION3</v>
      </c>
      <c r="N26" s="6">
        <f t="shared" si="3"/>
        <v>0</v>
      </c>
      <c r="O26" s="6">
        <f t="shared" si="4"/>
        <v>0</v>
      </c>
    </row>
    <row r="27" spans="1:15" s="34" customFormat="1" ht="20.100000000000001" customHeight="1">
      <c r="A27" s="106"/>
      <c r="B27" s="113"/>
      <c r="D27" s="7" t="s">
        <v>178</v>
      </c>
      <c r="E27" s="198"/>
      <c r="F27" s="199"/>
      <c r="G27" s="200"/>
      <c r="J27" s="6">
        <f t="shared" si="6"/>
        <v>0</v>
      </c>
      <c r="K27" s="130">
        <f>IF(LEN(E27)=0,0,1)</f>
        <v>0</v>
      </c>
      <c r="L27" s="126">
        <f>IF(A27="Hide",0,IF($J$6=1,E27,0))</f>
        <v>0</v>
      </c>
      <c r="M27" s="52" t="str">
        <f>formData!B479</f>
        <v>EDUCATION_HISTORY_COURSE_NAME3</v>
      </c>
      <c r="N27" s="6">
        <f t="shared" si="3"/>
        <v>0</v>
      </c>
      <c r="O27" s="6">
        <f t="shared" si="4"/>
        <v>0</v>
      </c>
    </row>
    <row r="28" spans="1:15" s="34" customFormat="1" ht="20.100000000000001" customHeight="1">
      <c r="A28" s="106"/>
      <c r="B28" s="113"/>
      <c r="D28" s="7" t="s">
        <v>179</v>
      </c>
      <c r="E28" s="198"/>
      <c r="F28" s="199"/>
      <c r="G28" s="200"/>
      <c r="J28" s="6">
        <f t="shared" si="6"/>
        <v>0</v>
      </c>
      <c r="K28" s="130">
        <f>IF(LEN(E28)=0,0,1)</f>
        <v>0</v>
      </c>
      <c r="L28" s="126">
        <f>IF(A28="Hide",0,IF($J$6=1,E28,0))</f>
        <v>0</v>
      </c>
      <c r="M28" s="52" t="str">
        <f>formData!B480</f>
        <v>EDUCATION_HISTORY_INSTITUTION3</v>
      </c>
      <c r="N28" s="6">
        <f t="shared" si="3"/>
        <v>0</v>
      </c>
      <c r="O28" s="6">
        <f t="shared" si="4"/>
        <v>0</v>
      </c>
    </row>
    <row r="29" spans="1:15" s="34" customFormat="1" ht="20.100000000000001" customHeight="1">
      <c r="A29" s="106"/>
      <c r="B29" s="113">
        <v>1</v>
      </c>
      <c r="D29" s="7" t="s">
        <v>180</v>
      </c>
      <c r="E29" s="240"/>
      <c r="F29" s="241"/>
      <c r="G29" s="242"/>
      <c r="J29" s="6">
        <f t="shared" si="6"/>
        <v>0</v>
      </c>
      <c r="K29" s="129">
        <f>IF(B29=1,0,1)</f>
        <v>0</v>
      </c>
      <c r="L29" s="127">
        <f>IF(A29="Hide",1,IF($J$6=1,B29,1))</f>
        <v>1</v>
      </c>
      <c r="M29" s="52" t="str">
        <f>formData!B481</f>
        <v>EDUCATION_HISTORY_COUNTRY3</v>
      </c>
      <c r="N29" s="6">
        <f t="shared" si="3"/>
        <v>0</v>
      </c>
      <c r="O29" s="6">
        <f t="shared" si="4"/>
        <v>0</v>
      </c>
    </row>
    <row r="30" spans="1:15" s="34" customFormat="1" ht="20.100000000000001" customHeight="1">
      <c r="A30" s="106"/>
      <c r="B30" s="113"/>
      <c r="D30" s="31" t="s">
        <v>1978</v>
      </c>
      <c r="E30" s="219"/>
      <c r="F30" s="220"/>
      <c r="G30" s="221"/>
      <c r="J30" s="6">
        <f t="shared" si="6"/>
        <v>0</v>
      </c>
      <c r="K30" s="130">
        <f>IF(LEN(E30)=0,0,1)</f>
        <v>0</v>
      </c>
      <c r="L30" s="126">
        <f>IF(A30="Hide",0,IF($J$6=1,E30,0))</f>
        <v>0</v>
      </c>
      <c r="M30" s="52" t="str">
        <f>formData!B482</f>
        <v>EDUCATION_HISTORY_DATE_FROM3</v>
      </c>
      <c r="N30" s="6">
        <f t="shared" si="3"/>
        <v>0</v>
      </c>
      <c r="O30" s="6">
        <f t="shared" si="4"/>
        <v>0</v>
      </c>
    </row>
    <row r="31" spans="1:15" s="34" customFormat="1" ht="20.100000000000001" customHeight="1">
      <c r="A31" s="106"/>
      <c r="B31" s="113"/>
      <c r="D31" s="31" t="s">
        <v>1981</v>
      </c>
      <c r="E31" s="219"/>
      <c r="F31" s="220"/>
      <c r="G31" s="221"/>
      <c r="J31" s="6">
        <f t="shared" si="6"/>
        <v>0</v>
      </c>
      <c r="K31" s="130">
        <f>IF(LEN(E31)=0,0,1)</f>
        <v>0</v>
      </c>
      <c r="L31" s="126">
        <f>IF(A31="Hide",0,IF($J$6=1,E31,0))</f>
        <v>0</v>
      </c>
      <c r="M31" s="52" t="str">
        <f>formData!B483</f>
        <v>EDUCATION_HISTORY_DATE_TO3</v>
      </c>
      <c r="N31" s="6">
        <f t="shared" si="3"/>
        <v>0</v>
      </c>
      <c r="O31" s="6">
        <f t="shared" si="4"/>
        <v>0</v>
      </c>
    </row>
    <row r="32" spans="1:15" s="34" customFormat="1" ht="20.100000000000001" customHeight="1">
      <c r="A32" s="106"/>
      <c r="B32" s="113"/>
      <c r="D32" s="9"/>
      <c r="E32" s="2"/>
      <c r="M32" s="52"/>
      <c r="N32" s="6">
        <f t="shared" si="3"/>
        <v>0</v>
      </c>
      <c r="O32" s="6">
        <f t="shared" si="4"/>
        <v>0</v>
      </c>
    </row>
    <row r="33" spans="1:15" ht="24.95" customHeight="1">
      <c r="A33" s="106"/>
      <c r="B33" s="106"/>
      <c r="C33" s="74"/>
      <c r="D33" s="256" t="s">
        <v>107</v>
      </c>
      <c r="E33" s="254"/>
      <c r="F33" s="254"/>
      <c r="G33" s="255"/>
      <c r="M33" s="52"/>
      <c r="N33" s="6">
        <f t="shared" si="3"/>
        <v>0</v>
      </c>
      <c r="O33" s="6">
        <f t="shared" si="4"/>
        <v>0</v>
      </c>
    </row>
    <row r="34" spans="1:15" s="34" customFormat="1" ht="20.100000000000001" customHeight="1">
      <c r="A34" s="106"/>
      <c r="B34" s="113">
        <v>1</v>
      </c>
      <c r="D34" s="7" t="s">
        <v>177</v>
      </c>
      <c r="E34" s="240"/>
      <c r="F34" s="241"/>
      <c r="G34" s="242"/>
      <c r="J34" s="6">
        <f t="shared" ref="J34:J39" si="7">IF($C34="*",IF($A34="Hide",0,$J$6),0)</f>
        <v>0</v>
      </c>
      <c r="K34" s="129">
        <f>IF(B34=1,0,1)</f>
        <v>0</v>
      </c>
      <c r="L34" s="127">
        <f>IF(A34="Hide",1,IF($J$6=1,B34,1))</f>
        <v>1</v>
      </c>
      <c r="M34" s="52" t="str">
        <f>formData!B484</f>
        <v>EDUCATION_HISTORY_HIGHEST_QUALIFICATION4</v>
      </c>
      <c r="N34" s="6">
        <f t="shared" si="3"/>
        <v>0</v>
      </c>
      <c r="O34" s="6">
        <f t="shared" si="4"/>
        <v>0</v>
      </c>
    </row>
    <row r="35" spans="1:15" s="34" customFormat="1" ht="20.100000000000001" customHeight="1">
      <c r="A35" s="106"/>
      <c r="B35" s="113"/>
      <c r="D35" s="7" t="s">
        <v>178</v>
      </c>
      <c r="E35" s="198"/>
      <c r="F35" s="199"/>
      <c r="G35" s="200"/>
      <c r="J35" s="6">
        <f t="shared" si="7"/>
        <v>0</v>
      </c>
      <c r="K35" s="130">
        <f>IF(LEN(E35)=0,0,1)</f>
        <v>0</v>
      </c>
      <c r="L35" s="126">
        <f>IF(A35="Hide",0,IF($J$6=1,E35,0))</f>
        <v>0</v>
      </c>
      <c r="M35" s="52" t="str">
        <f>formData!B485</f>
        <v>EDUCATION_HISTORY_COURSE_NAME4</v>
      </c>
      <c r="N35" s="6">
        <f t="shared" si="3"/>
        <v>0</v>
      </c>
      <c r="O35" s="6">
        <f t="shared" si="4"/>
        <v>0</v>
      </c>
    </row>
    <row r="36" spans="1:15" s="34" customFormat="1" ht="20.100000000000001" customHeight="1">
      <c r="A36" s="106"/>
      <c r="B36" s="113"/>
      <c r="D36" s="7" t="s">
        <v>179</v>
      </c>
      <c r="E36" s="198"/>
      <c r="F36" s="199"/>
      <c r="G36" s="200"/>
      <c r="J36" s="6">
        <f t="shared" si="7"/>
        <v>0</v>
      </c>
      <c r="K36" s="130">
        <f>IF(LEN(E36)=0,0,1)</f>
        <v>0</v>
      </c>
      <c r="L36" s="126">
        <f>IF(A36="Hide",0,IF($J$6=1,E36,0))</f>
        <v>0</v>
      </c>
      <c r="M36" s="52" t="str">
        <f>formData!B486</f>
        <v>EDUCATION_HISTORY_INSTITUTION4</v>
      </c>
      <c r="N36" s="6">
        <f t="shared" si="3"/>
        <v>0</v>
      </c>
      <c r="O36" s="6">
        <f t="shared" si="4"/>
        <v>0</v>
      </c>
    </row>
    <row r="37" spans="1:15" s="34" customFormat="1" ht="20.100000000000001" customHeight="1">
      <c r="A37" s="106"/>
      <c r="B37" s="113">
        <v>1</v>
      </c>
      <c r="D37" s="7" t="s">
        <v>180</v>
      </c>
      <c r="E37" s="240"/>
      <c r="F37" s="241"/>
      <c r="G37" s="242"/>
      <c r="J37" s="6">
        <f t="shared" si="7"/>
        <v>0</v>
      </c>
      <c r="K37" s="129">
        <f>IF(B37=1,0,1)</f>
        <v>0</v>
      </c>
      <c r="L37" s="127">
        <f>IF(A37="Hide",1,IF($J$6=1,B37,1))</f>
        <v>1</v>
      </c>
      <c r="M37" s="52" t="str">
        <f>formData!B487</f>
        <v>EDUCATION_HISTORY_COUNTRY4</v>
      </c>
      <c r="N37" s="6">
        <f t="shared" si="3"/>
        <v>0</v>
      </c>
      <c r="O37" s="6">
        <f t="shared" si="4"/>
        <v>0</v>
      </c>
    </row>
    <row r="38" spans="1:15" s="34" customFormat="1" ht="20.100000000000001" customHeight="1">
      <c r="A38" s="106"/>
      <c r="B38" s="113"/>
      <c r="D38" s="31" t="s">
        <v>1978</v>
      </c>
      <c r="E38" s="219"/>
      <c r="F38" s="220"/>
      <c r="G38" s="221"/>
      <c r="J38" s="6">
        <f t="shared" si="7"/>
        <v>0</v>
      </c>
      <c r="K38" s="130">
        <f>IF(LEN(E38)=0,0,1)</f>
        <v>0</v>
      </c>
      <c r="L38" s="126">
        <f>IF(A38="Hide",0,IF($J$6=1,E38,0))</f>
        <v>0</v>
      </c>
      <c r="M38" s="52" t="str">
        <f>formData!B488</f>
        <v>EDUCATION_HISTORY_DATE_FROM4</v>
      </c>
      <c r="N38" s="6">
        <f t="shared" si="3"/>
        <v>0</v>
      </c>
      <c r="O38" s="6">
        <f t="shared" si="4"/>
        <v>0</v>
      </c>
    </row>
    <row r="39" spans="1:15" s="34" customFormat="1" ht="20.100000000000001" customHeight="1">
      <c r="A39" s="106"/>
      <c r="B39" s="113"/>
      <c r="D39" s="31" t="s">
        <v>1981</v>
      </c>
      <c r="E39" s="219"/>
      <c r="F39" s="220"/>
      <c r="G39" s="221"/>
      <c r="J39" s="6">
        <f t="shared" si="7"/>
        <v>0</v>
      </c>
      <c r="K39" s="130">
        <f>IF(LEN(E39)=0,0,1)</f>
        <v>0</v>
      </c>
      <c r="L39" s="126">
        <f>IF(A39="Hide",0,IF($J$6=1,E39,0))</f>
        <v>0</v>
      </c>
      <c r="M39" s="52" t="str">
        <f>formData!B489</f>
        <v>EDUCATION_HISTORY_DATE_TO4</v>
      </c>
      <c r="N39" s="6">
        <f t="shared" si="3"/>
        <v>0</v>
      </c>
      <c r="O39" s="6">
        <f t="shared" si="4"/>
        <v>0</v>
      </c>
    </row>
    <row r="40" spans="1:15" ht="20.100000000000001" customHeight="1">
      <c r="B40" s="106"/>
      <c r="M40" s="34"/>
    </row>
    <row r="42" spans="1:15">
      <c r="M42" s="34"/>
    </row>
    <row r="43" spans="1:15">
      <c r="M43" s="34"/>
    </row>
    <row r="44" spans="1:15">
      <c r="M44" s="34"/>
    </row>
    <row r="45" spans="1:15">
      <c r="M45" s="34"/>
    </row>
    <row r="46" spans="1:15">
      <c r="M46" s="34"/>
    </row>
    <row r="47" spans="1:15">
      <c r="M47" s="34"/>
    </row>
  </sheetData>
  <sheetProtection algorithmName="SHA-512" hashValue="FL/yUWDgwWRHgcydS/Oc01j0mO40RbS4eyNV2wjyd4R7jCPUuAkdTru40hkkRIwON8cSQPVgi1PqdrGmKnUcfA==" saltValue="6MjBAdRpFJDfw5XfH4JmOw==" spinCount="100000" sheet="1" objects="1" scenarios="1"/>
  <mergeCells count="32">
    <mergeCell ref="E35:G35"/>
    <mergeCell ref="E36:G36"/>
    <mergeCell ref="E37:G37"/>
    <mergeCell ref="E38:G38"/>
    <mergeCell ref="E39:G39"/>
    <mergeCell ref="E34:G34"/>
    <mergeCell ref="D17:G17"/>
    <mergeCell ref="E18:G18"/>
    <mergeCell ref="D25:G25"/>
    <mergeCell ref="E26:G26"/>
    <mergeCell ref="E19:G19"/>
    <mergeCell ref="E20:G20"/>
    <mergeCell ref="E21:G21"/>
    <mergeCell ref="E22:G22"/>
    <mergeCell ref="E23:G23"/>
    <mergeCell ref="E27:G27"/>
    <mergeCell ref="E28:G28"/>
    <mergeCell ref="E29:G29"/>
    <mergeCell ref="E30:G30"/>
    <mergeCell ref="E31:G31"/>
    <mergeCell ref="D2:G2"/>
    <mergeCell ref="D4:G4"/>
    <mergeCell ref="D9:G9"/>
    <mergeCell ref="E10:G10"/>
    <mergeCell ref="D33:G33"/>
    <mergeCell ref="E6:G6"/>
    <mergeCell ref="E7:G7"/>
    <mergeCell ref="E11:G11"/>
    <mergeCell ref="E12:G12"/>
    <mergeCell ref="E13:G13"/>
    <mergeCell ref="E14:G14"/>
    <mergeCell ref="E15:G15"/>
  </mergeCells>
  <dataValidations count="1">
    <dataValidation type="date" allowBlank="1" showInputMessage="1" showErrorMessage="1" errorTitle="Date" error="Please enter a valid date" sqref="E14:G15 E22:G23 E30:G31 E38:G39" xr:uid="{00000000-0002-0000-1000-000000000000}">
      <formula1>1</formula1>
      <formula2>54789</formula2>
    </dataValidation>
  </dataValidations>
  <hyperlinks>
    <hyperlink ref="G3" location="educationHistoryPrimarApplic!G3" display="SAVE" xr:uid="{00000000-0004-0000-1000-000000000000}"/>
    <hyperlink ref="D3" location="index!C1" display="INDEX" xr:uid="{00000000-0004-0000-1000-000001000000}"/>
  </hyperlinks>
  <pageMargins left="0.7" right="0.7" top="0.75" bottom="0.75" header="0.3" footer="0.3"/>
  <pageSetup paperSize="9" scale="8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Drop Down 1">
              <controlPr locked="0" defaultSize="0" autoLine="0" autoPict="0">
                <anchor moveWithCells="1">
                  <from>
                    <xdr:col>4</xdr:col>
                    <xdr:colOff>0</xdr:colOff>
                    <xdr:row>5</xdr:row>
                    <xdr:rowOff>0</xdr:rowOff>
                  </from>
                  <to>
                    <xdr:col>7</xdr:col>
                    <xdr:colOff>0</xdr:colOff>
                    <xdr:row>6</xdr:row>
                    <xdr:rowOff>0</xdr:rowOff>
                  </to>
                </anchor>
              </controlPr>
            </control>
          </mc:Choice>
        </mc:AlternateContent>
        <mc:AlternateContent xmlns:mc="http://schemas.openxmlformats.org/markup-compatibility/2006">
          <mc:Choice Requires="x14">
            <control shapeId="12290" r:id="rId5" name="Drop Down 2">
              <controlPr locked="0" defaultSize="0" autoLine="0" autoPict="0">
                <anchor moveWithCells="1">
                  <from>
                    <xdr:col>4</xdr:col>
                    <xdr:colOff>0</xdr:colOff>
                    <xdr:row>6</xdr:row>
                    <xdr:rowOff>152400</xdr:rowOff>
                  </from>
                  <to>
                    <xdr:col>7</xdr:col>
                    <xdr:colOff>0</xdr:colOff>
                    <xdr:row>6</xdr:row>
                    <xdr:rowOff>409575</xdr:rowOff>
                  </to>
                </anchor>
              </controlPr>
            </control>
          </mc:Choice>
        </mc:AlternateContent>
        <mc:AlternateContent xmlns:mc="http://schemas.openxmlformats.org/markup-compatibility/2006">
          <mc:Choice Requires="x14">
            <control shapeId="12291" r:id="rId6" name="Drop Down 3">
              <controlPr locked="0" defaultSize="0" autoLine="0" autoPict="0">
                <anchor moveWithCells="1">
                  <from>
                    <xdr:col>4</xdr:col>
                    <xdr:colOff>0</xdr:colOff>
                    <xdr:row>9</xdr:row>
                    <xdr:rowOff>0</xdr:rowOff>
                  </from>
                  <to>
                    <xdr:col>7</xdr:col>
                    <xdr:colOff>0</xdr:colOff>
                    <xdr:row>10</xdr:row>
                    <xdr:rowOff>0</xdr:rowOff>
                  </to>
                </anchor>
              </controlPr>
            </control>
          </mc:Choice>
        </mc:AlternateContent>
        <mc:AlternateContent xmlns:mc="http://schemas.openxmlformats.org/markup-compatibility/2006">
          <mc:Choice Requires="x14">
            <control shapeId="12292" r:id="rId7" name="Drop Down 4">
              <controlPr locked="0" defaultSize="0" autoLine="0" autoPict="0">
                <anchor moveWithCells="1">
                  <from>
                    <xdr:col>4</xdr:col>
                    <xdr:colOff>0</xdr:colOff>
                    <xdr:row>17</xdr:row>
                    <xdr:rowOff>0</xdr:rowOff>
                  </from>
                  <to>
                    <xdr:col>7</xdr:col>
                    <xdr:colOff>0</xdr:colOff>
                    <xdr:row>18</xdr:row>
                    <xdr:rowOff>0</xdr:rowOff>
                  </to>
                </anchor>
              </controlPr>
            </control>
          </mc:Choice>
        </mc:AlternateContent>
        <mc:AlternateContent xmlns:mc="http://schemas.openxmlformats.org/markup-compatibility/2006">
          <mc:Choice Requires="x14">
            <control shapeId="12293" r:id="rId8" name="Drop Down 5">
              <controlPr locked="0" defaultSize="0" autoLine="0" autoPict="0">
                <anchor moveWithCells="1">
                  <from>
                    <xdr:col>4</xdr:col>
                    <xdr:colOff>0</xdr:colOff>
                    <xdr:row>25</xdr:row>
                    <xdr:rowOff>0</xdr:rowOff>
                  </from>
                  <to>
                    <xdr:col>7</xdr:col>
                    <xdr:colOff>0</xdr:colOff>
                    <xdr:row>26</xdr:row>
                    <xdr:rowOff>0</xdr:rowOff>
                  </to>
                </anchor>
              </controlPr>
            </control>
          </mc:Choice>
        </mc:AlternateContent>
        <mc:AlternateContent xmlns:mc="http://schemas.openxmlformats.org/markup-compatibility/2006">
          <mc:Choice Requires="x14">
            <control shapeId="12294" r:id="rId9" name="Drop Down 6">
              <controlPr locked="0" defaultSize="0" autoLine="0" autoPict="0">
                <anchor moveWithCells="1">
                  <from>
                    <xdr:col>4</xdr:col>
                    <xdr:colOff>0</xdr:colOff>
                    <xdr:row>33</xdr:row>
                    <xdr:rowOff>0</xdr:rowOff>
                  </from>
                  <to>
                    <xdr:col>7</xdr:col>
                    <xdr:colOff>0</xdr:colOff>
                    <xdr:row>34</xdr:row>
                    <xdr:rowOff>0</xdr:rowOff>
                  </to>
                </anchor>
              </controlPr>
            </control>
          </mc:Choice>
        </mc:AlternateContent>
        <mc:AlternateContent xmlns:mc="http://schemas.openxmlformats.org/markup-compatibility/2006">
          <mc:Choice Requires="x14">
            <control shapeId="12295" r:id="rId10" name="Drop Down 7">
              <controlPr locked="0" defaultSize="0" autoLine="0" autoPict="0">
                <anchor moveWithCells="1">
                  <from>
                    <xdr:col>4</xdr:col>
                    <xdr:colOff>0</xdr:colOff>
                    <xdr:row>12</xdr:row>
                    <xdr:rowOff>0</xdr:rowOff>
                  </from>
                  <to>
                    <xdr:col>7</xdr:col>
                    <xdr:colOff>0</xdr:colOff>
                    <xdr:row>13</xdr:row>
                    <xdr:rowOff>0</xdr:rowOff>
                  </to>
                </anchor>
              </controlPr>
            </control>
          </mc:Choice>
        </mc:AlternateContent>
        <mc:AlternateContent xmlns:mc="http://schemas.openxmlformats.org/markup-compatibility/2006">
          <mc:Choice Requires="x14">
            <control shapeId="12296" r:id="rId11" name="Drop Down 8">
              <controlPr locked="0" defaultSize="0" autoLine="0" autoPict="0">
                <anchor moveWithCells="1">
                  <from>
                    <xdr:col>4</xdr:col>
                    <xdr:colOff>0</xdr:colOff>
                    <xdr:row>20</xdr:row>
                    <xdr:rowOff>0</xdr:rowOff>
                  </from>
                  <to>
                    <xdr:col>7</xdr:col>
                    <xdr:colOff>0</xdr:colOff>
                    <xdr:row>21</xdr:row>
                    <xdr:rowOff>0</xdr:rowOff>
                  </to>
                </anchor>
              </controlPr>
            </control>
          </mc:Choice>
        </mc:AlternateContent>
        <mc:AlternateContent xmlns:mc="http://schemas.openxmlformats.org/markup-compatibility/2006">
          <mc:Choice Requires="x14">
            <control shapeId="12297" r:id="rId12" name="Drop Down 9">
              <controlPr locked="0" defaultSize="0" autoLine="0" autoPict="0">
                <anchor moveWithCells="1">
                  <from>
                    <xdr:col>4</xdr:col>
                    <xdr:colOff>0</xdr:colOff>
                    <xdr:row>28</xdr:row>
                    <xdr:rowOff>0</xdr:rowOff>
                  </from>
                  <to>
                    <xdr:col>7</xdr:col>
                    <xdr:colOff>0</xdr:colOff>
                    <xdr:row>29</xdr:row>
                    <xdr:rowOff>0</xdr:rowOff>
                  </to>
                </anchor>
              </controlPr>
            </control>
          </mc:Choice>
        </mc:AlternateContent>
        <mc:AlternateContent xmlns:mc="http://schemas.openxmlformats.org/markup-compatibility/2006">
          <mc:Choice Requires="x14">
            <control shapeId="12298" r:id="rId13" name="Drop Down 10">
              <controlPr locked="0" defaultSize="0" autoLine="0" autoPict="0">
                <anchor moveWithCells="1">
                  <from>
                    <xdr:col>4</xdr:col>
                    <xdr:colOff>0</xdr:colOff>
                    <xdr:row>36</xdr:row>
                    <xdr:rowOff>0</xdr:rowOff>
                  </from>
                  <to>
                    <xdr:col>7</xdr:col>
                    <xdr:colOff>0</xdr:colOff>
                    <xdr:row>37</xdr:row>
                    <xdr:rowOff>0</xdr:rowOff>
                  </to>
                </anchor>
              </controlPr>
            </control>
          </mc:Choice>
        </mc:AlternateContent>
        <mc:AlternateContent xmlns:mc="http://schemas.openxmlformats.org/markup-compatibility/2006">
          <mc:Choice Requires="x14">
            <control shapeId="12299" r:id="rId14" name="Drop Down 11">
              <controlPr locked="0" defaultSize="0" autoLine="0" autoPict="0">
                <anchor moveWithCells="1">
                  <from>
                    <xdr:col>4</xdr:col>
                    <xdr:colOff>0</xdr:colOff>
                    <xdr:row>9</xdr:row>
                    <xdr:rowOff>0</xdr:rowOff>
                  </from>
                  <to>
                    <xdr:col>7</xdr:col>
                    <xdr:colOff>0</xdr:colOff>
                    <xdr:row>10</xdr:row>
                    <xdr:rowOff>0</xdr:rowOff>
                  </to>
                </anchor>
              </controlPr>
            </control>
          </mc:Choice>
        </mc:AlternateContent>
        <mc:AlternateContent xmlns:mc="http://schemas.openxmlformats.org/markup-compatibility/2006">
          <mc:Choice Requires="x14">
            <control shapeId="12300" r:id="rId15" name="Drop Down 12">
              <controlPr locked="0" defaultSize="0" autoLine="0" autoPict="0">
                <anchor moveWithCells="1">
                  <from>
                    <xdr:col>4</xdr:col>
                    <xdr:colOff>0</xdr:colOff>
                    <xdr:row>12</xdr:row>
                    <xdr:rowOff>0</xdr:rowOff>
                  </from>
                  <to>
                    <xdr:col>7</xdr:col>
                    <xdr:colOff>0</xdr:colOff>
                    <xdr:row>13</xdr:row>
                    <xdr:rowOff>0</xdr:rowOff>
                  </to>
                </anchor>
              </controlPr>
            </control>
          </mc:Choice>
        </mc:AlternateContent>
        <mc:AlternateContent xmlns:mc="http://schemas.openxmlformats.org/markup-compatibility/2006">
          <mc:Choice Requires="x14">
            <control shapeId="12301" r:id="rId16" name="Drop Down 13">
              <controlPr locked="0" defaultSize="0" autoLine="0" autoPict="0">
                <anchor moveWithCells="1">
                  <from>
                    <xdr:col>4</xdr:col>
                    <xdr:colOff>0</xdr:colOff>
                    <xdr:row>17</xdr:row>
                    <xdr:rowOff>0</xdr:rowOff>
                  </from>
                  <to>
                    <xdr:col>7</xdr:col>
                    <xdr:colOff>0</xdr:colOff>
                    <xdr:row>18</xdr:row>
                    <xdr:rowOff>0</xdr:rowOff>
                  </to>
                </anchor>
              </controlPr>
            </control>
          </mc:Choice>
        </mc:AlternateContent>
        <mc:AlternateContent xmlns:mc="http://schemas.openxmlformats.org/markup-compatibility/2006">
          <mc:Choice Requires="x14">
            <control shapeId="12302" r:id="rId17" name="Drop Down 14">
              <controlPr locked="0" defaultSize="0" autoLine="0" autoPict="0">
                <anchor moveWithCells="1">
                  <from>
                    <xdr:col>4</xdr:col>
                    <xdr:colOff>0</xdr:colOff>
                    <xdr:row>20</xdr:row>
                    <xdr:rowOff>0</xdr:rowOff>
                  </from>
                  <to>
                    <xdr:col>7</xdr:col>
                    <xdr:colOff>0</xdr:colOff>
                    <xdr:row>21</xdr:row>
                    <xdr:rowOff>0</xdr:rowOff>
                  </to>
                </anchor>
              </controlPr>
            </control>
          </mc:Choice>
        </mc:AlternateContent>
        <mc:AlternateContent xmlns:mc="http://schemas.openxmlformats.org/markup-compatibility/2006">
          <mc:Choice Requires="x14">
            <control shapeId="12303" r:id="rId18" name="Drop Down 15">
              <controlPr locked="0" defaultSize="0" autoLine="0" autoPict="0">
                <anchor moveWithCells="1">
                  <from>
                    <xdr:col>4</xdr:col>
                    <xdr:colOff>0</xdr:colOff>
                    <xdr:row>25</xdr:row>
                    <xdr:rowOff>0</xdr:rowOff>
                  </from>
                  <to>
                    <xdr:col>7</xdr:col>
                    <xdr:colOff>0</xdr:colOff>
                    <xdr:row>26</xdr:row>
                    <xdr:rowOff>0</xdr:rowOff>
                  </to>
                </anchor>
              </controlPr>
            </control>
          </mc:Choice>
        </mc:AlternateContent>
        <mc:AlternateContent xmlns:mc="http://schemas.openxmlformats.org/markup-compatibility/2006">
          <mc:Choice Requires="x14">
            <control shapeId="12304" r:id="rId19" name="Drop Down 16">
              <controlPr locked="0" defaultSize="0" autoLine="0" autoPict="0">
                <anchor moveWithCells="1">
                  <from>
                    <xdr:col>4</xdr:col>
                    <xdr:colOff>0</xdr:colOff>
                    <xdr:row>28</xdr:row>
                    <xdr:rowOff>0</xdr:rowOff>
                  </from>
                  <to>
                    <xdr:col>7</xdr:col>
                    <xdr:colOff>0</xdr:colOff>
                    <xdr:row>29</xdr:row>
                    <xdr:rowOff>0</xdr:rowOff>
                  </to>
                </anchor>
              </controlPr>
            </control>
          </mc:Choice>
        </mc:AlternateContent>
        <mc:AlternateContent xmlns:mc="http://schemas.openxmlformats.org/markup-compatibility/2006">
          <mc:Choice Requires="x14">
            <control shapeId="12305" r:id="rId20" name="Drop Down 17">
              <controlPr locked="0" defaultSize="0" autoLine="0" autoPict="0">
                <anchor moveWithCells="1">
                  <from>
                    <xdr:col>4</xdr:col>
                    <xdr:colOff>0</xdr:colOff>
                    <xdr:row>33</xdr:row>
                    <xdr:rowOff>0</xdr:rowOff>
                  </from>
                  <to>
                    <xdr:col>7</xdr:col>
                    <xdr:colOff>0</xdr:colOff>
                    <xdr:row>34</xdr:row>
                    <xdr:rowOff>0</xdr:rowOff>
                  </to>
                </anchor>
              </controlPr>
            </control>
          </mc:Choice>
        </mc:AlternateContent>
        <mc:AlternateContent xmlns:mc="http://schemas.openxmlformats.org/markup-compatibility/2006">
          <mc:Choice Requires="x14">
            <control shapeId="12306" r:id="rId21" name="Drop Down 18">
              <controlPr locked="0" defaultSize="0" autoLine="0" autoPict="0">
                <anchor moveWithCells="1">
                  <from>
                    <xdr:col>4</xdr:col>
                    <xdr:colOff>0</xdr:colOff>
                    <xdr:row>36</xdr:row>
                    <xdr:rowOff>0</xdr:rowOff>
                  </from>
                  <to>
                    <xdr:col>7</xdr:col>
                    <xdr:colOff>0</xdr:colOff>
                    <xdr:row>37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tabColor theme="8" tint="0.59999389629810485"/>
    <pageSetUpPr fitToPage="1"/>
  </sheetPr>
  <dimension ref="A1:O33"/>
  <sheetViews>
    <sheetView showGridLines="0" showRowColHeaders="0" topLeftCell="C1" workbookViewId="0">
      <selection activeCell="D3" sqref="D3"/>
    </sheetView>
  </sheetViews>
  <sheetFormatPr defaultColWidth="9.33203125" defaultRowHeight="12.75"/>
  <cols>
    <col min="1" max="1" width="9.6640625" style="32" hidden="1" customWidth="1"/>
    <col min="2" max="2" width="8.1640625" style="32" hidden="1" customWidth="1"/>
    <col min="3" max="3" width="3.83203125" style="32" customWidth="1"/>
    <col min="4" max="4" width="50.83203125" style="32" customWidth="1"/>
    <col min="5" max="5" width="40.83203125" style="32" customWidth="1"/>
    <col min="6" max="7" width="10.83203125" style="32" customWidth="1"/>
    <col min="8" max="8" width="3.83203125" style="32" customWidth="1"/>
    <col min="9" max="9" width="9.33203125" style="32" customWidth="1"/>
    <col min="10" max="12" width="9.33203125" style="32" hidden="1" customWidth="1"/>
    <col min="13" max="13" width="62.33203125" style="32" hidden="1" customWidth="1"/>
    <col min="14" max="15" width="9.33203125" style="32" hidden="1" customWidth="1"/>
    <col min="16" max="16" width="9.33203125" style="32" customWidth="1"/>
    <col min="17" max="16384" width="9.33203125" style="32"/>
  </cols>
  <sheetData>
    <row r="1" spans="1:15" ht="39.950000000000003" customHeight="1">
      <c r="B1" s="106"/>
      <c r="G1" s="86"/>
      <c r="J1" s="4" t="s">
        <v>1960</v>
      </c>
      <c r="K1" s="4" t="s">
        <v>1960</v>
      </c>
      <c r="L1" s="4" t="s">
        <v>1960</v>
      </c>
      <c r="M1" s="4" t="s">
        <v>1960</v>
      </c>
      <c r="N1" s="4" t="s">
        <v>1960</v>
      </c>
      <c r="O1" s="4" t="s">
        <v>1960</v>
      </c>
    </row>
    <row r="2" spans="1:15" s="78" customFormat="1" ht="39.950000000000003" customHeight="1">
      <c r="B2" s="159"/>
      <c r="D2" s="212" t="s">
        <v>8</v>
      </c>
      <c r="E2" s="212"/>
      <c r="F2" s="212"/>
      <c r="G2" s="212"/>
      <c r="J2" s="79" t="s">
        <v>1965</v>
      </c>
      <c r="K2" s="79"/>
      <c r="L2" s="79"/>
      <c r="M2" s="79"/>
      <c r="N2" s="79"/>
      <c r="O2" s="79"/>
    </row>
    <row r="3" spans="1:15" ht="30" customHeight="1">
      <c r="B3" s="106"/>
      <c r="D3" s="120" t="s">
        <v>40</v>
      </c>
      <c r="F3" s="88"/>
      <c r="G3" s="88" t="s">
        <v>1224</v>
      </c>
      <c r="J3" s="4" t="s">
        <v>1961</v>
      </c>
      <c r="K3" s="4" t="s">
        <v>1962</v>
      </c>
      <c r="L3" s="4" t="s">
        <v>1963</v>
      </c>
      <c r="M3" s="4" t="s">
        <v>1964</v>
      </c>
      <c r="N3" s="4"/>
      <c r="O3" s="4"/>
    </row>
    <row r="4" spans="1:15" ht="30" customHeight="1">
      <c r="B4" s="106"/>
      <c r="C4" s="70"/>
      <c r="D4" s="184" t="s">
        <v>109</v>
      </c>
      <c r="E4" s="184"/>
      <c r="F4" s="184"/>
      <c r="G4" s="184"/>
      <c r="H4" s="70"/>
      <c r="J4" s="4"/>
      <c r="K4" s="125">
        <f>IF(N4=O4,1,0)</f>
        <v>0</v>
      </c>
      <c r="L4" s="4"/>
      <c r="M4" s="4"/>
      <c r="N4" s="4">
        <f>SUM(N6:N96)</f>
        <v>3</v>
      </c>
      <c r="O4" s="4">
        <f>SUM(O6:O96)</f>
        <v>0</v>
      </c>
    </row>
    <row r="5" spans="1:15" ht="18">
      <c r="B5" s="106"/>
      <c r="D5" s="5"/>
      <c r="E5" s="5"/>
      <c r="J5" s="4"/>
      <c r="K5" s="4"/>
      <c r="L5" s="4"/>
      <c r="M5" s="4"/>
      <c r="N5" s="4"/>
      <c r="O5" s="4"/>
    </row>
    <row r="6" spans="1:15" ht="24.95" customHeight="1">
      <c r="B6" s="106"/>
      <c r="C6" s="74"/>
      <c r="D6" s="256" t="s">
        <v>110</v>
      </c>
      <c r="E6" s="254"/>
      <c r="F6" s="254"/>
      <c r="G6" s="255"/>
      <c r="J6" s="103">
        <v>1</v>
      </c>
      <c r="K6" s="4"/>
      <c r="L6" s="4"/>
      <c r="M6" s="52"/>
      <c r="N6" s="6"/>
      <c r="O6" s="6"/>
    </row>
    <row r="7" spans="1:15" s="34" customFormat="1" ht="20.100000000000001" customHeight="1">
      <c r="A7" s="113"/>
      <c r="B7" s="113">
        <v>1</v>
      </c>
      <c r="C7" s="74" t="s">
        <v>1912</v>
      </c>
      <c r="D7" s="7" t="s">
        <v>187</v>
      </c>
      <c r="E7" s="240"/>
      <c r="F7" s="241"/>
      <c r="G7" s="242"/>
      <c r="I7" s="119"/>
      <c r="J7" s="6">
        <f>IF($C7="*",IF($A7="Hide",0,$J$6),0)</f>
        <v>1</v>
      </c>
      <c r="K7" s="129">
        <f>IF(B7=1,0,1)</f>
        <v>0</v>
      </c>
      <c r="L7" s="127">
        <f>IF(A7="Hide",1,IF($J$6=1,B7,1))</f>
        <v>1</v>
      </c>
      <c r="M7" s="52" t="str">
        <f>formData!B490</f>
        <v>LANGUAGE_SKILLS_FIRST_LANGUAGE</v>
      </c>
      <c r="N7" s="6">
        <f t="shared" ref="N7:N25" si="0">IF(J7=1,1,0)</f>
        <v>1</v>
      </c>
      <c r="O7" s="6">
        <f t="shared" ref="O7:O25" si="1">+J7*K7</f>
        <v>0</v>
      </c>
    </row>
    <row r="8" spans="1:15" s="34" customFormat="1" ht="20.100000000000001" customHeight="1">
      <c r="A8" s="123"/>
      <c r="B8" s="113">
        <v>1</v>
      </c>
      <c r="C8" s="74" t="str">
        <f>IF(B7=3,"*"," ")</f>
        <v xml:space="preserve"> </v>
      </c>
      <c r="D8" s="7" t="s">
        <v>188</v>
      </c>
      <c r="E8" s="281"/>
      <c r="F8" s="282"/>
      <c r="G8" s="283"/>
      <c r="I8" s="119"/>
      <c r="J8" s="6">
        <f>IF($C8="*",IF($A8="Hide",0,$J$6),0)</f>
        <v>0</v>
      </c>
      <c r="K8" s="129">
        <f>IF(B8=1,0,1)</f>
        <v>0</v>
      </c>
      <c r="L8" s="127">
        <f>IF(A8="Hide",1,IF($J$6=1,B8,1))</f>
        <v>1</v>
      </c>
      <c r="M8" s="52" t="str">
        <f>formData!B491</f>
        <v>LANGUAGE_SKILLS_MAIN_LANGUAGE</v>
      </c>
      <c r="N8" s="6">
        <f t="shared" si="0"/>
        <v>0</v>
      </c>
      <c r="O8" s="6">
        <f t="shared" si="1"/>
        <v>0</v>
      </c>
    </row>
    <row r="9" spans="1:15" s="34" customFormat="1" ht="20.100000000000001" customHeight="1">
      <c r="A9" s="106"/>
      <c r="B9" s="113"/>
      <c r="D9" s="9"/>
      <c r="E9" s="2"/>
      <c r="M9" s="52"/>
      <c r="N9" s="6">
        <f t="shared" si="0"/>
        <v>0</v>
      </c>
      <c r="O9" s="6">
        <f t="shared" si="1"/>
        <v>0</v>
      </c>
    </row>
    <row r="10" spans="1:15" ht="24.95" customHeight="1">
      <c r="A10" s="106"/>
      <c r="B10" s="106"/>
      <c r="C10" s="74"/>
      <c r="D10" s="256" t="s">
        <v>111</v>
      </c>
      <c r="E10" s="254"/>
      <c r="F10" s="254"/>
      <c r="G10" s="255"/>
      <c r="K10" s="106"/>
      <c r="M10" s="52"/>
      <c r="N10" s="6">
        <f t="shared" si="0"/>
        <v>0</v>
      </c>
      <c r="O10" s="6">
        <f t="shared" si="1"/>
        <v>0</v>
      </c>
    </row>
    <row r="11" spans="1:15" s="34" customFormat="1" ht="30" customHeight="1">
      <c r="A11" s="106"/>
      <c r="B11" s="113">
        <v>1</v>
      </c>
      <c r="C11" s="74" t="s">
        <v>1912</v>
      </c>
      <c r="D11" s="7" t="s">
        <v>189</v>
      </c>
      <c r="E11" s="240"/>
      <c r="F11" s="241"/>
      <c r="G11" s="242"/>
      <c r="J11" s="6">
        <f>IF($C11="*",IF($A11="Hide",0,$J$6),0)</f>
        <v>1</v>
      </c>
      <c r="K11" s="129">
        <f>IF(B11=1,0,1)</f>
        <v>0</v>
      </c>
      <c r="L11" s="127">
        <f>IF(A11="Hide",1,IF($J$6=1,B11,1))</f>
        <v>1</v>
      </c>
      <c r="M11" s="52" t="str">
        <f>formData!B492</f>
        <v>LANGUAGE_SKILLS_SECONDARY LANGUAGE</v>
      </c>
      <c r="N11" s="6">
        <f t="shared" si="0"/>
        <v>1</v>
      </c>
      <c r="O11" s="6">
        <f t="shared" si="1"/>
        <v>0</v>
      </c>
    </row>
    <row r="12" spans="1:15" s="34" customFormat="1" ht="20.100000000000001" customHeight="1">
      <c r="A12" s="106"/>
      <c r="B12" s="113"/>
      <c r="D12" s="323" t="s">
        <v>186</v>
      </c>
      <c r="E12" s="324"/>
      <c r="F12" s="324"/>
      <c r="G12" s="325"/>
      <c r="M12" s="52"/>
      <c r="N12" s="6">
        <f t="shared" si="0"/>
        <v>0</v>
      </c>
      <c r="O12" s="6">
        <f t="shared" si="1"/>
        <v>0</v>
      </c>
    </row>
    <row r="13" spans="1:15" s="34" customFormat="1" ht="50.1" customHeight="1">
      <c r="A13" s="106"/>
      <c r="B13" s="113"/>
      <c r="D13" s="258"/>
      <c r="E13" s="259"/>
      <c r="F13" s="259"/>
      <c r="G13" s="260"/>
      <c r="J13" s="157">
        <f>IF($C13="*",IF($A13="Hide",0,$J$6),0)</f>
        <v>0</v>
      </c>
      <c r="K13" s="158">
        <f>IF(LEN(D13)=0,0,1)</f>
        <v>0</v>
      </c>
      <c r="L13" s="157">
        <f>IF(A13="Hide",0,IF($J$6=1,D13,0))</f>
        <v>0</v>
      </c>
      <c r="M13" s="52" t="str">
        <f>formData!B493</f>
        <v>LANGUAGE_SKILLS_GIVE_DETAILS</v>
      </c>
      <c r="N13" s="6">
        <f t="shared" si="0"/>
        <v>0</v>
      </c>
      <c r="O13" s="6">
        <f t="shared" si="1"/>
        <v>0</v>
      </c>
    </row>
    <row r="14" spans="1:15" s="34" customFormat="1" ht="30" customHeight="1">
      <c r="A14" s="106"/>
      <c r="B14" s="113">
        <v>1</v>
      </c>
      <c r="C14" s="74" t="s">
        <v>1912</v>
      </c>
      <c r="D14" s="59" t="s">
        <v>1239</v>
      </c>
      <c r="E14" s="320"/>
      <c r="F14" s="321"/>
      <c r="G14" s="322"/>
      <c r="J14" s="6">
        <f>IF($C14="*",IF($A14="Hide",0,$J$6),0)</f>
        <v>1</v>
      </c>
      <c r="K14" s="129">
        <f>IF(B14=1,0,1)</f>
        <v>0</v>
      </c>
      <c r="L14" s="127">
        <f>IF(A14="Hide",1,IF($J$6=1,B14,1))</f>
        <v>1</v>
      </c>
      <c r="M14" s="52" t="str">
        <f>formData!B494</f>
        <v>LANGUAGE_SKILLS_ENGLISH_TEST</v>
      </c>
      <c r="N14" s="6">
        <f t="shared" si="0"/>
        <v>1</v>
      </c>
      <c r="O14" s="6">
        <f t="shared" si="1"/>
        <v>0</v>
      </c>
    </row>
    <row r="15" spans="1:15" s="34" customFormat="1" ht="18" customHeight="1">
      <c r="A15" s="106"/>
      <c r="B15" s="113"/>
      <c r="D15" s="9"/>
      <c r="E15" s="19"/>
      <c r="F15" s="19"/>
      <c r="G15" s="19"/>
      <c r="M15" s="52"/>
      <c r="N15" s="6">
        <f t="shared" si="0"/>
        <v>0</v>
      </c>
      <c r="O15" s="6">
        <f t="shared" si="1"/>
        <v>0</v>
      </c>
    </row>
    <row r="16" spans="1:15" s="34" customFormat="1" ht="24.95" customHeight="1">
      <c r="A16" s="106" t="str">
        <f>IF($B$14=2,"Show","HIDE")</f>
        <v>HIDE</v>
      </c>
      <c r="B16" s="113"/>
      <c r="C16" s="74"/>
      <c r="D16" s="256" t="s">
        <v>112</v>
      </c>
      <c r="E16" s="254"/>
      <c r="F16" s="254"/>
      <c r="G16" s="255"/>
      <c r="M16" s="52"/>
      <c r="N16" s="6">
        <f t="shared" si="0"/>
        <v>0</v>
      </c>
      <c r="O16" s="6">
        <f t="shared" si="1"/>
        <v>0</v>
      </c>
    </row>
    <row r="17" spans="1:15" s="34" customFormat="1" ht="20.100000000000001" customHeight="1">
      <c r="A17" s="106" t="str">
        <f>A16</f>
        <v>HIDE</v>
      </c>
      <c r="B17" s="113">
        <v>1</v>
      </c>
      <c r="C17" s="74" t="s">
        <v>1912</v>
      </c>
      <c r="D17" s="7" t="s">
        <v>190</v>
      </c>
      <c r="E17" s="281"/>
      <c r="F17" s="282"/>
      <c r="G17" s="283"/>
      <c r="J17" s="6">
        <f>IF($C17="*",IF($A17="Hide",0,$J$6),0)</f>
        <v>0</v>
      </c>
      <c r="K17" s="129">
        <f>IF(B17=1,0,1)</f>
        <v>0</v>
      </c>
      <c r="L17" s="127">
        <f>IF(A17="Hide",1,IF($J$6=1,B17,1))</f>
        <v>1</v>
      </c>
      <c r="M17" s="52" t="str">
        <f>formData!B495</f>
        <v>LANGUAGE_SKILLS_ENGLISH_TEST_NAME_OF_TEST</v>
      </c>
      <c r="N17" s="6">
        <f t="shared" si="0"/>
        <v>0</v>
      </c>
      <c r="O17" s="6">
        <f t="shared" si="1"/>
        <v>0</v>
      </c>
    </row>
    <row r="18" spans="1:15" s="34" customFormat="1" ht="20.100000000000001" customHeight="1">
      <c r="A18" s="106" t="str">
        <f t="shared" ref="A18:A25" si="2">A17</f>
        <v>HIDE</v>
      </c>
      <c r="B18" s="113"/>
      <c r="C18" s="74" t="s">
        <v>1912</v>
      </c>
      <c r="D18" s="31" t="s">
        <v>1982</v>
      </c>
      <c r="E18" s="219"/>
      <c r="F18" s="220"/>
      <c r="G18" s="221"/>
      <c r="J18" s="6">
        <f t="shared" ref="J18:J25" si="3">IF($C18="*",IF($A18="Hide",0,$J$6),0)</f>
        <v>0</v>
      </c>
      <c r="K18" s="130">
        <f t="shared" ref="K18:K25" si="4">IF(LEN(E18)=0,0,1)</f>
        <v>0</v>
      </c>
      <c r="L18" s="126">
        <f t="shared" ref="L18:L25" si="5">IF(A18="Hide",0,IF($J$6=1,E18,0))</f>
        <v>0</v>
      </c>
      <c r="M18" s="52" t="str">
        <f>formData!B496</f>
        <v>LANGUAGE_SKILLS_ENGLISH_TEST_DATE_OF_TEST</v>
      </c>
      <c r="N18" s="6">
        <f t="shared" si="0"/>
        <v>0</v>
      </c>
      <c r="O18" s="6">
        <f t="shared" si="1"/>
        <v>0</v>
      </c>
    </row>
    <row r="19" spans="1:15" s="34" customFormat="1" ht="20.100000000000001" customHeight="1">
      <c r="A19" s="106" t="str">
        <f t="shared" si="2"/>
        <v>HIDE</v>
      </c>
      <c r="B19" s="113"/>
      <c r="C19" s="74" t="s">
        <v>1912</v>
      </c>
      <c r="D19" s="7" t="s">
        <v>191</v>
      </c>
      <c r="E19" s="234"/>
      <c r="F19" s="235"/>
      <c r="G19" s="236"/>
      <c r="J19" s="6">
        <f t="shared" si="3"/>
        <v>0</v>
      </c>
      <c r="K19" s="130">
        <f t="shared" si="4"/>
        <v>0</v>
      </c>
      <c r="L19" s="126">
        <f t="shared" si="5"/>
        <v>0</v>
      </c>
      <c r="M19" s="52" t="str">
        <f>formData!B497</f>
        <v>LANGUAGE_SKILLS_ENGLISH_TEST_REFERENCE_NUMBER</v>
      </c>
      <c r="N19" s="6">
        <f t="shared" si="0"/>
        <v>0</v>
      </c>
      <c r="O19" s="6">
        <f t="shared" si="1"/>
        <v>0</v>
      </c>
    </row>
    <row r="20" spans="1:15" s="34" customFormat="1" ht="20.100000000000001" customHeight="1">
      <c r="A20" s="106" t="str">
        <f t="shared" si="2"/>
        <v>HIDE</v>
      </c>
      <c r="B20" s="113">
        <v>1</v>
      </c>
      <c r="C20" s="74" t="s">
        <v>1912</v>
      </c>
      <c r="D20" s="7" t="s">
        <v>192</v>
      </c>
      <c r="E20" s="240"/>
      <c r="F20" s="241"/>
      <c r="G20" s="242"/>
      <c r="J20" s="6">
        <f>IF($C20="*",IF($A20="Hide",0,$J$6),0)</f>
        <v>0</v>
      </c>
      <c r="K20" s="129">
        <f>IF(B20=1,0,1)</f>
        <v>0</v>
      </c>
      <c r="L20" s="127">
        <f>IF(A20="Hide",1,IF($J$6=1,B20,1))</f>
        <v>1</v>
      </c>
      <c r="M20" s="52" t="str">
        <f>formData!B498</f>
        <v>LANGUAGE_SKILLS_ENGLISH_TEST_COUNTRY</v>
      </c>
      <c r="N20" s="6">
        <f t="shared" si="0"/>
        <v>0</v>
      </c>
      <c r="O20" s="6">
        <f t="shared" si="1"/>
        <v>0</v>
      </c>
    </row>
    <row r="21" spans="1:15" s="34" customFormat="1" ht="20.100000000000001" customHeight="1">
      <c r="A21" s="106" t="str">
        <f t="shared" si="2"/>
        <v>HIDE</v>
      </c>
      <c r="B21" s="113"/>
      <c r="C21" s="74" t="s">
        <v>1912</v>
      </c>
      <c r="D21" s="7" t="s">
        <v>193</v>
      </c>
      <c r="E21" s="198"/>
      <c r="F21" s="199"/>
      <c r="G21" s="200"/>
      <c r="J21" s="6">
        <f t="shared" si="3"/>
        <v>0</v>
      </c>
      <c r="K21" s="130">
        <f t="shared" si="4"/>
        <v>0</v>
      </c>
      <c r="L21" s="126">
        <f t="shared" si="5"/>
        <v>0</v>
      </c>
      <c r="M21" s="52" t="str">
        <f>formData!B499</f>
        <v>LANGUAGE_SKILLS_ENGLISH_TEST_LISTENING_SCORE</v>
      </c>
      <c r="N21" s="6">
        <f t="shared" si="0"/>
        <v>0</v>
      </c>
      <c r="O21" s="6">
        <f t="shared" si="1"/>
        <v>0</v>
      </c>
    </row>
    <row r="22" spans="1:15" s="34" customFormat="1" ht="20.100000000000001" customHeight="1">
      <c r="A22" s="106" t="str">
        <f t="shared" si="2"/>
        <v>HIDE</v>
      </c>
      <c r="B22" s="113"/>
      <c r="C22" s="74" t="s">
        <v>1912</v>
      </c>
      <c r="D22" s="7" t="s">
        <v>194</v>
      </c>
      <c r="E22" s="198"/>
      <c r="F22" s="199"/>
      <c r="G22" s="200"/>
      <c r="J22" s="6">
        <f t="shared" si="3"/>
        <v>0</v>
      </c>
      <c r="K22" s="130">
        <f t="shared" si="4"/>
        <v>0</v>
      </c>
      <c r="L22" s="126">
        <f t="shared" si="5"/>
        <v>0</v>
      </c>
      <c r="M22" s="52" t="str">
        <f>formData!B500</f>
        <v>LANGUAGE_SKILLS_ENGLISH_TEST_READING_SCORE</v>
      </c>
      <c r="N22" s="6">
        <f t="shared" si="0"/>
        <v>0</v>
      </c>
      <c r="O22" s="6">
        <f t="shared" si="1"/>
        <v>0</v>
      </c>
    </row>
    <row r="23" spans="1:15" s="34" customFormat="1" ht="20.100000000000001" customHeight="1">
      <c r="A23" s="106" t="str">
        <f t="shared" si="2"/>
        <v>HIDE</v>
      </c>
      <c r="B23" s="113"/>
      <c r="C23" s="74" t="s">
        <v>1912</v>
      </c>
      <c r="D23" s="7" t="s">
        <v>195</v>
      </c>
      <c r="E23" s="198"/>
      <c r="F23" s="199"/>
      <c r="G23" s="200"/>
      <c r="J23" s="6">
        <f t="shared" si="3"/>
        <v>0</v>
      </c>
      <c r="K23" s="130">
        <f t="shared" si="4"/>
        <v>0</v>
      </c>
      <c r="L23" s="126">
        <f t="shared" si="5"/>
        <v>0</v>
      </c>
      <c r="M23" s="52" t="str">
        <f>formData!B501</f>
        <v>LANGUAGE_SKILLS_ENGLISH_TEST_WRITING_SCORE</v>
      </c>
      <c r="N23" s="6">
        <f t="shared" si="0"/>
        <v>0</v>
      </c>
      <c r="O23" s="6">
        <f t="shared" si="1"/>
        <v>0</v>
      </c>
    </row>
    <row r="24" spans="1:15" s="34" customFormat="1" ht="20.100000000000001" customHeight="1">
      <c r="A24" s="106" t="str">
        <f t="shared" si="2"/>
        <v>HIDE</v>
      </c>
      <c r="B24" s="113"/>
      <c r="C24" s="74" t="s">
        <v>1912</v>
      </c>
      <c r="D24" s="7" t="s">
        <v>196</v>
      </c>
      <c r="E24" s="198"/>
      <c r="F24" s="199"/>
      <c r="G24" s="200"/>
      <c r="J24" s="6">
        <f t="shared" si="3"/>
        <v>0</v>
      </c>
      <c r="K24" s="130">
        <f t="shared" si="4"/>
        <v>0</v>
      </c>
      <c r="L24" s="126">
        <f t="shared" si="5"/>
        <v>0</v>
      </c>
      <c r="M24" s="52" t="str">
        <f>formData!B502</f>
        <v>LANGUAGE_SKILLS_ENGLISH_TEST_SPEAKING_SCORE</v>
      </c>
      <c r="N24" s="6">
        <f t="shared" si="0"/>
        <v>0</v>
      </c>
      <c r="O24" s="6">
        <f t="shared" si="1"/>
        <v>0</v>
      </c>
    </row>
    <row r="25" spans="1:15" s="34" customFormat="1" ht="20.100000000000001" customHeight="1">
      <c r="A25" s="106" t="str">
        <f t="shared" si="2"/>
        <v>HIDE</v>
      </c>
      <c r="B25" s="113"/>
      <c r="C25" s="74" t="s">
        <v>1912</v>
      </c>
      <c r="D25" s="31" t="s">
        <v>1985</v>
      </c>
      <c r="E25" s="198"/>
      <c r="F25" s="199"/>
      <c r="G25" s="200"/>
      <c r="J25" s="6">
        <f t="shared" si="3"/>
        <v>0</v>
      </c>
      <c r="K25" s="130">
        <f t="shared" si="4"/>
        <v>0</v>
      </c>
      <c r="L25" s="126">
        <f t="shared" si="5"/>
        <v>0</v>
      </c>
      <c r="M25" s="52" t="str">
        <f>formData!B503</f>
        <v>LANGUAGE_SKILLS_ENGLISH_TEST_OVERALL_BAND_SCORE</v>
      </c>
      <c r="N25" s="6">
        <f t="shared" si="0"/>
        <v>0</v>
      </c>
      <c r="O25" s="6">
        <f t="shared" si="1"/>
        <v>0</v>
      </c>
    </row>
    <row r="26" spans="1:15" ht="18" customHeight="1">
      <c r="B26" s="106"/>
      <c r="M26" s="34"/>
    </row>
    <row r="27" spans="1:15" ht="18" customHeight="1">
      <c r="M27" s="34"/>
    </row>
    <row r="28" spans="1:15" ht="18" customHeight="1">
      <c r="M28" s="34"/>
    </row>
    <row r="29" spans="1:15" ht="18" customHeight="1">
      <c r="M29" s="34"/>
    </row>
    <row r="30" spans="1:15" ht="18" customHeight="1">
      <c r="M30" s="34"/>
    </row>
    <row r="31" spans="1:15" ht="18" customHeight="1"/>
    <row r="32" spans="1:15" ht="18" customHeight="1"/>
    <row r="33" ht="18" customHeight="1"/>
  </sheetData>
  <sheetProtection algorithmName="SHA-512" hashValue="4UHPqhbGI58Trh10ii1oUgHbNv0vuvunoKVINovYsNUW9ma/uFqqjLNyTwsPaeNFpnYRGL+RhapFA0nT3WRAuA==" saltValue="hdOS5oUV0v/9i8RWFy76/A==" spinCount="100000" sheet="1" objects="1" scenarios="1"/>
  <mergeCells count="20">
    <mergeCell ref="E25:G25"/>
    <mergeCell ref="E19:G19"/>
    <mergeCell ref="E20:G20"/>
    <mergeCell ref="E21:G21"/>
    <mergeCell ref="E22:G22"/>
    <mergeCell ref="E23:G23"/>
    <mergeCell ref="E24:G24"/>
    <mergeCell ref="E11:G11"/>
    <mergeCell ref="D16:G16"/>
    <mergeCell ref="E17:G17"/>
    <mergeCell ref="E18:G18"/>
    <mergeCell ref="D2:G2"/>
    <mergeCell ref="D4:G4"/>
    <mergeCell ref="D6:G6"/>
    <mergeCell ref="E7:G7"/>
    <mergeCell ref="D10:G10"/>
    <mergeCell ref="E8:G8"/>
    <mergeCell ref="E14:G14"/>
    <mergeCell ref="D12:G12"/>
    <mergeCell ref="D13:G13"/>
  </mergeCells>
  <dataValidations count="2">
    <dataValidation type="date" allowBlank="1" showInputMessage="1" showErrorMessage="1" errorTitle="Date" error="Please enter a valid date" sqref="E18:G18" xr:uid="{00000000-0002-0000-1100-000000000000}">
      <formula1>1</formula1>
      <formula2>54789</formula2>
    </dataValidation>
    <dataValidation type="textLength" operator="lessThanOrEqual" allowBlank="1" showInputMessage="1" showErrorMessage="1" errorTitle="Give Details" error="The maximum length of text that you can enter is 300 characters" sqref="D13:G13" xr:uid="{00000000-0002-0000-1100-000001000000}">
      <formula1>300</formula1>
    </dataValidation>
  </dataValidations>
  <hyperlinks>
    <hyperlink ref="G3" location="languageSkills!G3" display="SAVE" xr:uid="{00000000-0004-0000-1100-000000000000}"/>
    <hyperlink ref="D3" location="index!C1" display="INDEX" xr:uid="{00000000-0004-0000-1100-000001000000}"/>
  </hyperlinks>
  <pageMargins left="0.7" right="0.7" top="0.75" bottom="0.75" header="0.3" footer="0.3"/>
  <pageSetup paperSize="9" scale="8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Drop Down 1">
              <controlPr locked="0" defaultSize="0" autoLine="0" autoPict="0">
                <anchor moveWithCells="1">
                  <from>
                    <xdr:col>4</xdr:col>
                    <xdr:colOff>0</xdr:colOff>
                    <xdr:row>6</xdr:row>
                    <xdr:rowOff>0</xdr:rowOff>
                  </from>
                  <to>
                    <xdr:col>7</xdr:col>
                    <xdr:colOff>0</xdr:colOff>
                    <xdr:row>7</xdr:row>
                    <xdr:rowOff>0</xdr:rowOff>
                  </to>
                </anchor>
              </controlPr>
            </control>
          </mc:Choice>
        </mc:AlternateContent>
        <mc:AlternateContent xmlns:mc="http://schemas.openxmlformats.org/markup-compatibility/2006">
          <mc:Choice Requires="x14">
            <control shapeId="14338" r:id="rId5" name="Drop Down 2">
              <controlPr locked="0" defaultSize="0" autoLine="0" autoPict="0">
                <anchor moveWithCells="1">
                  <from>
                    <xdr:col>4</xdr:col>
                    <xdr:colOff>0</xdr:colOff>
                    <xdr:row>7</xdr:row>
                    <xdr:rowOff>0</xdr:rowOff>
                  </from>
                  <to>
                    <xdr:col>7</xdr:col>
                    <xdr:colOff>0</xdr:colOff>
                    <xdr:row>8</xdr:row>
                    <xdr:rowOff>9525</xdr:rowOff>
                  </to>
                </anchor>
              </controlPr>
            </control>
          </mc:Choice>
        </mc:AlternateContent>
        <mc:AlternateContent xmlns:mc="http://schemas.openxmlformats.org/markup-compatibility/2006">
          <mc:Choice Requires="x14">
            <control shapeId="14339" r:id="rId6" name="Drop Down 3">
              <controlPr locked="0" defaultSize="0" autoLine="0" autoPict="0" macro="[0]!DropDownUndertakenEnglishTest_Change">
                <anchor moveWithCells="1">
                  <from>
                    <xdr:col>4</xdr:col>
                    <xdr:colOff>0</xdr:colOff>
                    <xdr:row>13</xdr:row>
                    <xdr:rowOff>66675</xdr:rowOff>
                  </from>
                  <to>
                    <xdr:col>7</xdr:col>
                    <xdr:colOff>0</xdr:colOff>
                    <xdr:row>13</xdr:row>
                    <xdr:rowOff>323850</xdr:rowOff>
                  </to>
                </anchor>
              </controlPr>
            </control>
          </mc:Choice>
        </mc:AlternateContent>
        <mc:AlternateContent xmlns:mc="http://schemas.openxmlformats.org/markup-compatibility/2006">
          <mc:Choice Requires="x14">
            <control shapeId="14340" r:id="rId7" name="Drop Down 4">
              <controlPr locked="0" defaultSize="0" autoLine="0" autoPict="0">
                <anchor moveWithCells="1">
                  <from>
                    <xdr:col>4</xdr:col>
                    <xdr:colOff>0</xdr:colOff>
                    <xdr:row>19</xdr:row>
                    <xdr:rowOff>0</xdr:rowOff>
                  </from>
                  <to>
                    <xdr:col>7</xdr:col>
                    <xdr:colOff>0</xdr:colOff>
                    <xdr:row>20</xdr:row>
                    <xdr:rowOff>9525</xdr:rowOff>
                  </to>
                </anchor>
              </controlPr>
            </control>
          </mc:Choice>
        </mc:AlternateContent>
        <mc:AlternateContent xmlns:mc="http://schemas.openxmlformats.org/markup-compatibility/2006">
          <mc:Choice Requires="x14">
            <control shapeId="14341" r:id="rId8" name="Drop Down 5">
              <controlPr locked="0" defaultSize="0" autoLine="0" autoPict="0">
                <anchor moveWithCells="1">
                  <from>
                    <xdr:col>4</xdr:col>
                    <xdr:colOff>0</xdr:colOff>
                    <xdr:row>16</xdr:row>
                    <xdr:rowOff>0</xdr:rowOff>
                  </from>
                  <to>
                    <xdr:col>7</xdr:col>
                    <xdr:colOff>0</xdr:colOff>
                    <xdr:row>17</xdr:row>
                    <xdr:rowOff>9525</xdr:rowOff>
                  </to>
                </anchor>
              </controlPr>
            </control>
          </mc:Choice>
        </mc:AlternateContent>
        <mc:AlternateContent xmlns:mc="http://schemas.openxmlformats.org/markup-compatibility/2006">
          <mc:Choice Requires="x14">
            <control shapeId="14342" r:id="rId9" name="Drop Down 6">
              <controlPr locked="0" defaultSize="0" autoLine="0" autoPict="0">
                <anchor moveWithCells="1">
                  <from>
                    <xdr:col>4</xdr:col>
                    <xdr:colOff>0</xdr:colOff>
                    <xdr:row>10</xdr:row>
                    <xdr:rowOff>66675</xdr:rowOff>
                  </from>
                  <to>
                    <xdr:col>7</xdr:col>
                    <xdr:colOff>0</xdr:colOff>
                    <xdr:row>10</xdr:row>
                    <xdr:rowOff>323850</xdr:rowOff>
                  </to>
                </anchor>
              </controlPr>
            </control>
          </mc:Choice>
        </mc:AlternateContent>
        <mc:AlternateContent xmlns:mc="http://schemas.openxmlformats.org/markup-compatibility/2006">
          <mc:Choice Requires="x14">
            <control shapeId="14345" r:id="rId10" name="Drop Down 9">
              <controlPr locked="0" defaultSize="0" autoLine="0" autoPict="0">
                <anchor moveWithCells="1">
                  <from>
                    <xdr:col>4</xdr:col>
                    <xdr:colOff>0</xdr:colOff>
                    <xdr:row>7</xdr:row>
                    <xdr:rowOff>0</xdr:rowOff>
                  </from>
                  <to>
                    <xdr:col>7</xdr:col>
                    <xdr:colOff>0</xdr:colOff>
                    <xdr:row>8</xdr:row>
                    <xdr:rowOff>9525</xdr:rowOff>
                  </to>
                </anchor>
              </controlPr>
            </control>
          </mc:Choice>
        </mc:AlternateContent>
        <mc:AlternateContent xmlns:mc="http://schemas.openxmlformats.org/markup-compatibility/2006">
          <mc:Choice Requires="x14">
            <control shapeId="14347" r:id="rId11" name="Drop Down 11">
              <controlPr locked="0" defaultSize="0" autoLine="0" autoPict="0">
                <anchor moveWithCells="1">
                  <from>
                    <xdr:col>4</xdr:col>
                    <xdr:colOff>0</xdr:colOff>
                    <xdr:row>16</xdr:row>
                    <xdr:rowOff>0</xdr:rowOff>
                  </from>
                  <to>
                    <xdr:col>7</xdr:col>
                    <xdr:colOff>0</xdr:colOff>
                    <xdr:row>17</xdr:row>
                    <xdr:rowOff>9525</xdr:rowOff>
                  </to>
                </anchor>
              </controlPr>
            </control>
          </mc:Choice>
        </mc:AlternateContent>
        <mc:AlternateContent xmlns:mc="http://schemas.openxmlformats.org/markup-compatibility/2006">
          <mc:Choice Requires="x14">
            <control shapeId="14349" r:id="rId12" name="Drop Down 13">
              <controlPr locked="0" defaultSize="0" autoLine="0" autoPict="0">
                <anchor moveWithCells="1">
                  <from>
                    <xdr:col>4</xdr:col>
                    <xdr:colOff>0</xdr:colOff>
                    <xdr:row>19</xdr:row>
                    <xdr:rowOff>0</xdr:rowOff>
                  </from>
                  <to>
                    <xdr:col>7</xdr:col>
                    <xdr:colOff>0</xdr:colOff>
                    <xdr:row>20</xdr:row>
                    <xdr:rowOff>9525</xdr:rowOff>
                  </to>
                </anchor>
              </controlPr>
            </control>
          </mc:Choice>
        </mc:AlternateContent>
        <mc:AlternateContent xmlns:mc="http://schemas.openxmlformats.org/markup-compatibility/2006">
          <mc:Choice Requires="x14">
            <control shapeId="14350" r:id="rId13" name="Drop Down 14">
              <controlPr locked="0" defaultSize="0" autoLine="0" autoPict="0">
                <anchor moveWithCells="1">
                  <from>
                    <xdr:col>4</xdr:col>
                    <xdr:colOff>0</xdr:colOff>
                    <xdr:row>10</xdr:row>
                    <xdr:rowOff>66675</xdr:rowOff>
                  </from>
                  <to>
                    <xdr:col>7</xdr:col>
                    <xdr:colOff>0</xdr:colOff>
                    <xdr:row>10</xdr:row>
                    <xdr:rowOff>314325</xdr:rowOff>
                  </to>
                </anchor>
              </controlPr>
            </control>
          </mc:Choice>
        </mc:AlternateContent>
        <mc:AlternateContent xmlns:mc="http://schemas.openxmlformats.org/markup-compatibility/2006">
          <mc:Choice Requires="x14">
            <control shapeId="14351" r:id="rId14" name="Drop Down 15">
              <controlPr locked="0" defaultSize="0" autoLine="0" autoPict="0" macro="[0]!DropDownUndertakenEnglishTest_Change">
                <anchor moveWithCells="1">
                  <from>
                    <xdr:col>4</xdr:col>
                    <xdr:colOff>0</xdr:colOff>
                    <xdr:row>13</xdr:row>
                    <xdr:rowOff>66675</xdr:rowOff>
                  </from>
                  <to>
                    <xdr:col>7</xdr:col>
                    <xdr:colOff>0</xdr:colOff>
                    <xdr:row>13</xdr:row>
                    <xdr:rowOff>314325</xdr:rowOff>
                  </to>
                </anchor>
              </controlPr>
            </control>
          </mc:Choice>
        </mc:AlternateContent>
        <mc:AlternateContent xmlns:mc="http://schemas.openxmlformats.org/markup-compatibility/2006">
          <mc:Choice Requires="x14">
            <control shapeId="14352" r:id="rId15" name="Drop Down 16">
              <controlPr locked="0" defaultSize="0" autoLine="0" autoPict="0">
                <anchor moveWithCells="1">
                  <from>
                    <xdr:col>4</xdr:col>
                    <xdr:colOff>0</xdr:colOff>
                    <xdr:row>7</xdr:row>
                    <xdr:rowOff>0</xdr:rowOff>
                  </from>
                  <to>
                    <xdr:col>7</xdr:col>
                    <xdr:colOff>0</xdr:colOff>
                    <xdr:row>8</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2">
    <tabColor theme="8" tint="0.59999389629810485"/>
    <pageSetUpPr fitToPage="1"/>
  </sheetPr>
  <dimension ref="A1:O13"/>
  <sheetViews>
    <sheetView showGridLines="0" showRowColHeaders="0" topLeftCell="C1" workbookViewId="0">
      <selection activeCell="D3" sqref="D3"/>
    </sheetView>
  </sheetViews>
  <sheetFormatPr defaultColWidth="9.33203125" defaultRowHeight="12.75"/>
  <cols>
    <col min="1" max="1" width="9.33203125" style="4" hidden="1" customWidth="1"/>
    <col min="2" max="2" width="8" style="4" hidden="1" customWidth="1"/>
    <col min="3" max="3" width="3.83203125" style="4" customWidth="1"/>
    <col min="4" max="4" width="50.83203125" style="4" customWidth="1"/>
    <col min="5" max="5" width="40.83203125" style="4" customWidth="1"/>
    <col min="6" max="7" width="10.83203125" style="4" customWidth="1"/>
    <col min="8" max="8" width="3.83203125" style="4" customWidth="1"/>
    <col min="9" max="9" width="0" style="4" hidden="1" customWidth="1"/>
    <col min="10" max="12" width="9.33203125" style="4" hidden="1" customWidth="1"/>
    <col min="13" max="13" width="63" style="4" hidden="1" customWidth="1"/>
    <col min="14" max="15" width="9.33203125" style="4" hidden="1" customWidth="1"/>
    <col min="16" max="16" width="0" style="4" hidden="1" customWidth="1"/>
    <col min="17" max="16384" width="9.33203125" style="4"/>
  </cols>
  <sheetData>
    <row r="1" spans="1:15" ht="39.950000000000003" customHeight="1">
      <c r="B1" s="104"/>
      <c r="G1" s="86"/>
      <c r="J1" s="4" t="s">
        <v>1960</v>
      </c>
      <c r="K1" s="4" t="s">
        <v>1960</v>
      </c>
      <c r="L1" s="4" t="s">
        <v>1960</v>
      </c>
      <c r="M1" s="4" t="s">
        <v>1960</v>
      </c>
      <c r="N1" s="4" t="s">
        <v>1960</v>
      </c>
      <c r="O1" s="4" t="s">
        <v>1960</v>
      </c>
    </row>
    <row r="2" spans="1:15" s="79" customFormat="1" ht="39.950000000000003" customHeight="1">
      <c r="B2" s="161"/>
      <c r="D2" s="212" t="s">
        <v>8</v>
      </c>
      <c r="E2" s="212"/>
      <c r="F2" s="212"/>
      <c r="G2" s="212"/>
      <c r="J2" s="79" t="s">
        <v>1965</v>
      </c>
    </row>
    <row r="3" spans="1:15" ht="30" customHeight="1">
      <c r="B3" s="104"/>
      <c r="C3" s="32"/>
      <c r="D3" s="120" t="s">
        <v>40</v>
      </c>
      <c r="E3" s="32"/>
      <c r="F3" s="88"/>
      <c r="G3" s="88" t="s">
        <v>1224</v>
      </c>
      <c r="H3" s="32"/>
      <c r="J3" s="4" t="s">
        <v>1961</v>
      </c>
      <c r="K3" s="4" t="s">
        <v>1962</v>
      </c>
      <c r="L3" s="4" t="s">
        <v>1963</v>
      </c>
      <c r="M3" s="4" t="s">
        <v>1964</v>
      </c>
    </row>
    <row r="4" spans="1:15" ht="30" customHeight="1">
      <c r="B4" s="104"/>
      <c r="C4" s="68"/>
      <c r="D4" s="184" t="s">
        <v>108</v>
      </c>
      <c r="E4" s="184"/>
      <c r="F4" s="184"/>
      <c r="G4" s="184"/>
      <c r="H4" s="68"/>
      <c r="K4" s="125">
        <f>IF(N4=O4,1,0)</f>
        <v>0</v>
      </c>
      <c r="N4" s="4">
        <f>SUM(N6:N96)</f>
        <v>1</v>
      </c>
      <c r="O4" s="4">
        <f>SUM(O6:O96)</f>
        <v>0</v>
      </c>
    </row>
    <row r="5" spans="1:15" ht="20.100000000000001" customHeight="1">
      <c r="B5" s="104"/>
      <c r="D5" s="5"/>
      <c r="E5" s="5"/>
    </row>
    <row r="6" spans="1:15" s="6" customFormat="1" ht="30" customHeight="1">
      <c r="A6" s="105"/>
      <c r="B6" s="105">
        <v>1</v>
      </c>
      <c r="C6" s="74" t="s">
        <v>1912</v>
      </c>
      <c r="D6" s="7" t="s">
        <v>182</v>
      </c>
      <c r="E6" s="281"/>
      <c r="F6" s="282"/>
      <c r="G6" s="283"/>
      <c r="J6" s="103">
        <v>1</v>
      </c>
      <c r="K6" s="129">
        <f>IF(B6=1,0,1)</f>
        <v>0</v>
      </c>
      <c r="L6" s="127">
        <f>IF(A6="Hide",1,IF($J$6=1,B6,1))</f>
        <v>1</v>
      </c>
      <c r="M6" s="52" t="str">
        <f>formData!B464</f>
        <v>EDUCATION_HISTORY_HIGHEST_QUALIFICATION</v>
      </c>
      <c r="N6" s="6">
        <f>IF(J6=1,1,0)</f>
        <v>1</v>
      </c>
      <c r="O6" s="6">
        <f>+J6*K6</f>
        <v>0</v>
      </c>
    </row>
    <row r="7" spans="1:15" s="6" customFormat="1" ht="20.100000000000001" hidden="1" customHeight="1">
      <c r="A7" s="106" t="str">
        <f>IF($B$6=2,"Show","HIDE")</f>
        <v>HIDE</v>
      </c>
      <c r="B7" s="105"/>
      <c r="C7" s="74" t="s">
        <v>1912</v>
      </c>
      <c r="D7" s="7" t="s">
        <v>183</v>
      </c>
      <c r="E7" s="198"/>
      <c r="F7" s="199"/>
      <c r="G7" s="200"/>
      <c r="J7" s="6">
        <f>IF($C7="*",IF($A7="Hide",0,$J$6),0)</f>
        <v>0</v>
      </c>
      <c r="K7" s="130">
        <f>IF(LEN(E7)=0,0,1)</f>
        <v>0</v>
      </c>
      <c r="L7" s="126">
        <f>IF(A7="Hide",0,IF($J$6=1,E7,0))</f>
        <v>0</v>
      </c>
      <c r="M7" s="6" t="str">
        <f>formData!B505</f>
        <v>REGISTRATION_NAME_OF_AUTHORITY_GRANTING_LICENCE</v>
      </c>
      <c r="N7" s="6">
        <f t="shared" ref="N7:N11" si="0">IF(J7=1,1,0)</f>
        <v>0</v>
      </c>
      <c r="O7" s="6">
        <f t="shared" ref="O7:O11" si="1">+J7*K7</f>
        <v>0</v>
      </c>
    </row>
    <row r="8" spans="1:15" s="6" customFormat="1" ht="20.100000000000001" hidden="1" customHeight="1">
      <c r="A8" s="106" t="str">
        <f>IF($B$6=2,"Show","HIDE")</f>
        <v>HIDE</v>
      </c>
      <c r="B8" s="105"/>
      <c r="C8" s="74" t="s">
        <v>1912</v>
      </c>
      <c r="D8" s="7" t="s">
        <v>184</v>
      </c>
      <c r="E8" s="234"/>
      <c r="F8" s="235"/>
      <c r="G8" s="236"/>
      <c r="J8" s="6">
        <f>IF($C8="*",IF($A8="Hide",0,$J$6),0)</f>
        <v>0</v>
      </c>
      <c r="K8" s="130">
        <f>IF(LEN(E8)=0,0,1)</f>
        <v>0</v>
      </c>
      <c r="L8" s="126">
        <f>IF(A8="Hide",0,IF($J$6=1,E8,0))</f>
        <v>0</v>
      </c>
      <c r="M8" s="6" t="str">
        <f>formData!B506</f>
        <v>REGISTRATION_LICENCE_NUMBER</v>
      </c>
      <c r="N8" s="6">
        <f t="shared" si="0"/>
        <v>0</v>
      </c>
      <c r="O8" s="6">
        <f t="shared" si="1"/>
        <v>0</v>
      </c>
    </row>
    <row r="9" spans="1:15" s="6" customFormat="1" ht="42" hidden="1" customHeight="1">
      <c r="A9" s="106" t="str">
        <f>IF($B$6=2,"Show","HIDE")</f>
        <v>HIDE</v>
      </c>
      <c r="B9" s="105">
        <v>1</v>
      </c>
      <c r="C9" s="74" t="s">
        <v>1912</v>
      </c>
      <c r="D9" s="8" t="s">
        <v>185</v>
      </c>
      <c r="E9" s="281"/>
      <c r="F9" s="282"/>
      <c r="G9" s="283"/>
      <c r="J9" s="6">
        <f>IF($C9="*",IF($A9="Hide",0,$J$6),0)</f>
        <v>0</v>
      </c>
      <c r="K9" s="129">
        <f>IF(B9=1,0,1)</f>
        <v>0</v>
      </c>
      <c r="L9" s="127">
        <f>IF(A9="Hide",1,IF($J$6=1,B9,1))</f>
        <v>1</v>
      </c>
      <c r="M9" s="6" t="str">
        <f>formData!B507</f>
        <v>REGISTRATION_ENGLISH_LANGUAGE</v>
      </c>
      <c r="N9" s="6">
        <f t="shared" si="0"/>
        <v>0</v>
      </c>
      <c r="O9" s="6">
        <f t="shared" si="1"/>
        <v>0</v>
      </c>
    </row>
    <row r="10" spans="1:15" s="6" customFormat="1" ht="18" hidden="1" customHeight="1">
      <c r="A10" s="106" t="str">
        <f>IF($B$6=2,"Show","HIDE")</f>
        <v>HIDE</v>
      </c>
      <c r="B10" s="105"/>
      <c r="C10" s="74"/>
      <c r="D10" s="326" t="s">
        <v>186</v>
      </c>
      <c r="E10" s="327"/>
      <c r="F10" s="327"/>
      <c r="G10" s="328"/>
      <c r="N10" s="6">
        <f t="shared" si="0"/>
        <v>0</v>
      </c>
      <c r="O10" s="6">
        <f t="shared" si="1"/>
        <v>0</v>
      </c>
    </row>
    <row r="11" spans="1:15" s="6" customFormat="1" ht="60" hidden="1" customHeight="1">
      <c r="A11" s="106" t="str">
        <f>IF($B$6=2,"Show","HIDE")</f>
        <v>HIDE</v>
      </c>
      <c r="B11" s="105"/>
      <c r="C11" s="74"/>
      <c r="D11" s="258"/>
      <c r="E11" s="259"/>
      <c r="F11" s="259"/>
      <c r="G11" s="260"/>
      <c r="J11" s="157">
        <f>IF($C11="*",IF($A11="Hide",0,$J$6),0)</f>
        <v>0</v>
      </c>
      <c r="K11" s="158">
        <f>IF(LEN(D11)=0,0,1)</f>
        <v>0</v>
      </c>
      <c r="L11" s="157">
        <f>IF(A11="Hide",0,IF($J$6=1,D11,0))</f>
        <v>0</v>
      </c>
      <c r="M11" s="6" t="str">
        <f>formData!B508</f>
        <v>REGISTRATION_GIVE_DETAILS</v>
      </c>
      <c r="N11" s="6">
        <f t="shared" si="0"/>
        <v>0</v>
      </c>
      <c r="O11" s="6">
        <f t="shared" si="1"/>
        <v>0</v>
      </c>
    </row>
    <row r="12" spans="1:15" s="6" customFormat="1" ht="20.100000000000001" customHeight="1">
      <c r="B12" s="105"/>
      <c r="D12" s="9"/>
      <c r="E12" s="19"/>
      <c r="F12" s="19"/>
      <c r="G12" s="19"/>
    </row>
    <row r="13" spans="1:15" ht="20.100000000000001" customHeight="1"/>
  </sheetData>
  <sheetProtection algorithmName="SHA-512" hashValue="e8ClYng7S4ZEewmW92EronMA98D7pHXJ/Sh64mmLAyeucXLly3UMQ50Gw7lTU1EOVOCJUEA/55EehbiNSGKUPg==" saltValue="A4HVpjlJzj4tvsG+3OiuCw==" spinCount="100000" sheet="1" objects="1" scenarios="1"/>
  <mergeCells count="8">
    <mergeCell ref="D11:G11"/>
    <mergeCell ref="D2:G2"/>
    <mergeCell ref="D4:G4"/>
    <mergeCell ref="D10:G10"/>
    <mergeCell ref="E6:G6"/>
    <mergeCell ref="E7:G7"/>
    <mergeCell ref="E8:G8"/>
    <mergeCell ref="E9:G9"/>
  </mergeCells>
  <dataValidations count="1">
    <dataValidation type="textLength" operator="lessThanOrEqual" allowBlank="1" showInputMessage="1" showErrorMessage="1" errorTitle="Give Details" error="The maximum length of text that you can enter is 300 characters" sqref="D11:G11" xr:uid="{00000000-0002-0000-1200-000000000000}">
      <formula1>300</formula1>
    </dataValidation>
  </dataValidations>
  <hyperlinks>
    <hyperlink ref="G3" location="registrationLicensing!G3" display="SAVE" xr:uid="{00000000-0004-0000-1200-000000000000}"/>
    <hyperlink ref="D3" location="index!C1" display="INDEX" xr:uid="{00000000-0004-0000-1200-000001000000}"/>
  </hyperlinks>
  <pageMargins left="0.7" right="0.7" top="0.75" bottom="0.75" header="0.3" footer="0.3"/>
  <pageSetup paperSize="9" scale="8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Drop Down 1">
              <controlPr locked="0" defaultSize="0" autoLine="0" autoPict="0" macro="[0]!DropDownRegistrationLicensing_Change">
                <anchor moveWithCells="1">
                  <from>
                    <xdr:col>4</xdr:col>
                    <xdr:colOff>0</xdr:colOff>
                    <xdr:row>5</xdr:row>
                    <xdr:rowOff>66675</xdr:rowOff>
                  </from>
                  <to>
                    <xdr:col>7</xdr:col>
                    <xdr:colOff>0</xdr:colOff>
                    <xdr:row>5</xdr:row>
                    <xdr:rowOff>314325</xdr:rowOff>
                  </to>
                </anchor>
              </controlPr>
            </control>
          </mc:Choice>
        </mc:AlternateContent>
        <mc:AlternateContent xmlns:mc="http://schemas.openxmlformats.org/markup-compatibility/2006">
          <mc:Choice Requires="x14">
            <control shapeId="13314" r:id="rId5" name="Drop Down 2">
              <controlPr locked="0" defaultSize="0" autoLine="0" autoPict="0">
                <anchor moveWithCells="1">
                  <from>
                    <xdr:col>4</xdr:col>
                    <xdr:colOff>0</xdr:colOff>
                    <xdr:row>8</xdr:row>
                    <xdr:rowOff>142875</xdr:rowOff>
                  </from>
                  <to>
                    <xdr:col>7</xdr:col>
                    <xdr:colOff>0</xdr:colOff>
                    <xdr:row>12</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tabColor theme="8" tint="0.59999389629810485"/>
    <pageSetUpPr fitToPage="1"/>
  </sheetPr>
  <dimension ref="A1:O59"/>
  <sheetViews>
    <sheetView showGridLines="0" showRowColHeaders="0" topLeftCell="C1" workbookViewId="0">
      <selection activeCell="D3" sqref="D3"/>
    </sheetView>
  </sheetViews>
  <sheetFormatPr defaultColWidth="9.33203125" defaultRowHeight="12.75"/>
  <cols>
    <col min="1" max="1" width="6.33203125" style="32" hidden="1" customWidth="1"/>
    <col min="2" max="2" width="8.6640625" style="121" hidden="1" customWidth="1"/>
    <col min="3" max="3" width="3.83203125" style="32" customWidth="1"/>
    <col min="4" max="4" width="50.83203125" style="32" customWidth="1"/>
    <col min="5" max="5" width="40.83203125" style="32" customWidth="1"/>
    <col min="6" max="7" width="10.83203125" style="32" customWidth="1"/>
    <col min="8" max="8" width="3.83203125" style="32" customWidth="1"/>
    <col min="9" max="9" width="9.33203125" style="32" customWidth="1"/>
    <col min="10" max="12" width="9.33203125" style="32" hidden="1" customWidth="1"/>
    <col min="13" max="13" width="63" style="32" hidden="1" customWidth="1"/>
    <col min="14" max="15" width="9.33203125" style="32" hidden="1" customWidth="1"/>
    <col min="16" max="16" width="9.33203125" style="32" customWidth="1"/>
    <col min="17" max="16384" width="9.33203125" style="32"/>
  </cols>
  <sheetData>
    <row r="1" spans="1:15" s="78" customFormat="1" ht="39.950000000000003" customHeight="1">
      <c r="B1" s="160"/>
      <c r="G1" s="86"/>
      <c r="J1" s="4" t="s">
        <v>1960</v>
      </c>
      <c r="K1" s="4" t="s">
        <v>1960</v>
      </c>
      <c r="L1" s="4" t="s">
        <v>1960</v>
      </c>
      <c r="M1" s="4" t="s">
        <v>1960</v>
      </c>
      <c r="N1" s="4" t="s">
        <v>1960</v>
      </c>
      <c r="O1" s="4" t="s">
        <v>1960</v>
      </c>
    </row>
    <row r="2" spans="1:15" s="78" customFormat="1" ht="39.950000000000003" customHeight="1">
      <c r="B2" s="160"/>
      <c r="D2" s="212" t="s">
        <v>8</v>
      </c>
      <c r="E2" s="212"/>
      <c r="F2" s="212"/>
      <c r="G2" s="212"/>
      <c r="J2" s="79" t="s">
        <v>1965</v>
      </c>
      <c r="K2" s="79"/>
      <c r="L2" s="79"/>
      <c r="M2" s="79"/>
      <c r="N2" s="79"/>
      <c r="O2" s="79"/>
    </row>
    <row r="3" spans="1:15" ht="30" customHeight="1">
      <c r="B3" s="132"/>
      <c r="D3" s="120" t="s">
        <v>40</v>
      </c>
      <c r="F3" s="88"/>
      <c r="G3" s="88" t="s">
        <v>1224</v>
      </c>
      <c r="J3" s="4" t="s">
        <v>1961</v>
      </c>
      <c r="K3" s="4" t="s">
        <v>1962</v>
      </c>
      <c r="L3" s="4" t="s">
        <v>1963</v>
      </c>
      <c r="M3" s="4" t="s">
        <v>1964</v>
      </c>
      <c r="N3" s="4"/>
      <c r="O3" s="4"/>
    </row>
    <row r="4" spans="1:15" ht="30" customHeight="1">
      <c r="B4" s="132"/>
      <c r="C4" s="70"/>
      <c r="D4" s="184" t="s">
        <v>113</v>
      </c>
      <c r="E4" s="184"/>
      <c r="F4" s="184"/>
      <c r="G4" s="184"/>
      <c r="H4" s="70"/>
      <c r="J4" s="4"/>
      <c r="K4" s="125">
        <f>IF(N4=O4,1,0)</f>
        <v>0</v>
      </c>
      <c r="L4" s="4"/>
      <c r="M4" s="4"/>
      <c r="N4" s="4">
        <f>SUM(N8:N80)</f>
        <v>2</v>
      </c>
      <c r="O4" s="4">
        <f>SUM(O8:O80)</f>
        <v>1</v>
      </c>
    </row>
    <row r="5" spans="1:15" ht="18">
      <c r="B5" s="132"/>
      <c r="D5" s="5"/>
      <c r="E5" s="5"/>
      <c r="J5" s="4"/>
      <c r="K5" s="4"/>
      <c r="L5" s="4"/>
      <c r="M5" s="4"/>
      <c r="N5" s="4"/>
      <c r="O5" s="4"/>
    </row>
    <row r="6" spans="1:15" ht="24.95" customHeight="1">
      <c r="B6" s="132"/>
      <c r="C6" s="74" t="s">
        <v>1912</v>
      </c>
      <c r="D6" s="256" t="s">
        <v>114</v>
      </c>
      <c r="E6" s="254"/>
      <c r="F6" s="254"/>
      <c r="G6" s="255"/>
    </row>
    <row r="7" spans="1:15" ht="24.95" customHeight="1">
      <c r="A7" s="106"/>
      <c r="B7" s="132"/>
      <c r="C7" s="74"/>
      <c r="D7" s="329" t="s">
        <v>1987</v>
      </c>
      <c r="E7" s="330"/>
      <c r="F7" s="330"/>
      <c r="G7" s="331"/>
    </row>
    <row r="8" spans="1:15" s="34" customFormat="1" ht="30" customHeight="1">
      <c r="A8" s="113"/>
      <c r="B8" s="133">
        <v>1</v>
      </c>
      <c r="C8" s="74" t="s">
        <v>1912</v>
      </c>
      <c r="D8" s="31" t="s">
        <v>1986</v>
      </c>
      <c r="E8" s="240"/>
      <c r="F8" s="241"/>
      <c r="G8" s="242"/>
      <c r="J8" s="103">
        <v>1</v>
      </c>
      <c r="K8" s="129">
        <f>IF(B8=1,0,1)</f>
        <v>0</v>
      </c>
      <c r="L8" s="127">
        <f>IF(A8="Hide",1,IF($J$8=1,B8,1))</f>
        <v>1</v>
      </c>
      <c r="M8" s="52" t="str">
        <f>formData!B509</f>
        <v>EMPLOYMENT_HISTORY_SIMILAR_POSITION</v>
      </c>
      <c r="N8" s="6">
        <f>IF(J8=1,1,0)</f>
        <v>1</v>
      </c>
      <c r="O8" s="6">
        <f>+J8*K8</f>
        <v>0</v>
      </c>
    </row>
    <row r="9" spans="1:15" s="34" customFormat="1" ht="20.100000000000001" customHeight="1">
      <c r="A9" s="113"/>
      <c r="B9" s="133"/>
      <c r="D9" s="9"/>
      <c r="E9" s="2"/>
      <c r="N9" s="6"/>
      <c r="O9" s="6"/>
    </row>
    <row r="10" spans="1:15" ht="19.5" customHeight="1">
      <c r="A10" s="106" t="str">
        <f>IF($B$8=1,"HIDE","Show")</f>
        <v>HIDE</v>
      </c>
      <c r="B10" s="132"/>
      <c r="C10" s="74"/>
      <c r="D10" s="256" t="s">
        <v>115</v>
      </c>
      <c r="E10" s="254"/>
      <c r="F10" s="254"/>
      <c r="G10" s="255"/>
      <c r="M10" s="6"/>
      <c r="N10" s="6"/>
      <c r="O10" s="6"/>
    </row>
    <row r="11" spans="1:15" s="34" customFormat="1" ht="20.100000000000001" customHeight="1">
      <c r="A11" s="106" t="str">
        <f t="shared" ref="A11:A21" si="0">IF($B$8=1,"HIDE","Show")</f>
        <v>HIDE</v>
      </c>
      <c r="B11" s="133">
        <v>3</v>
      </c>
      <c r="C11" s="74" t="s">
        <v>1912</v>
      </c>
      <c r="D11" s="35" t="s">
        <v>197</v>
      </c>
      <c r="E11" s="29"/>
      <c r="F11" s="27"/>
      <c r="G11" s="28"/>
      <c r="J11" s="6">
        <f t="shared" ref="J11:J18" si="1">IF($C11="*",IF($A11="Hide",0,$J$8),0)</f>
        <v>0</v>
      </c>
      <c r="K11" s="129">
        <f>IF(B11=1,0,1)</f>
        <v>1</v>
      </c>
      <c r="L11" s="127">
        <f>IF(A11="Hide",1,IF($J$8=1,B11,1))</f>
        <v>1</v>
      </c>
      <c r="M11" s="52" t="str">
        <f>formData!B510</f>
        <v>EMPLOYMENT_HISTORY_IS_CURRENT1</v>
      </c>
      <c r="N11" s="6">
        <f t="shared" ref="N11:N13" si="2">IF(J11=1,1,0)</f>
        <v>0</v>
      </c>
      <c r="O11" s="6">
        <f t="shared" ref="O11:O13" si="3">+J11*K11</f>
        <v>0</v>
      </c>
    </row>
    <row r="12" spans="1:15" s="34" customFormat="1" ht="20.100000000000001" customHeight="1">
      <c r="A12" s="106" t="str">
        <f t="shared" si="0"/>
        <v>HIDE</v>
      </c>
      <c r="B12" s="133"/>
      <c r="C12" s="74" t="s">
        <v>1912</v>
      </c>
      <c r="D12" s="35" t="s">
        <v>198</v>
      </c>
      <c r="E12" s="198"/>
      <c r="F12" s="199"/>
      <c r="G12" s="200"/>
      <c r="J12" s="6">
        <f t="shared" si="1"/>
        <v>0</v>
      </c>
      <c r="K12" s="130">
        <f>IF(LEN(E12)=0,0,1)</f>
        <v>0</v>
      </c>
      <c r="L12" s="126">
        <f>IF(A12="Hide",0,IF($J$8=1,E12,0))</f>
        <v>0</v>
      </c>
      <c r="M12" s="52" t="str">
        <f>formData!B511</f>
        <v>EMPLOYMENT_HISTORY_POSITION1</v>
      </c>
      <c r="N12" s="6">
        <f t="shared" si="2"/>
        <v>0</v>
      </c>
      <c r="O12" s="6">
        <f t="shared" si="3"/>
        <v>0</v>
      </c>
    </row>
    <row r="13" spans="1:15" s="34" customFormat="1" ht="20.100000000000001" customHeight="1">
      <c r="A13" s="106" t="str">
        <f t="shared" si="0"/>
        <v>HIDE</v>
      </c>
      <c r="B13" s="133">
        <v>1</v>
      </c>
      <c r="C13" s="74" t="s">
        <v>1912</v>
      </c>
      <c r="D13" s="35" t="s">
        <v>199</v>
      </c>
      <c r="E13" s="240"/>
      <c r="F13" s="241"/>
      <c r="G13" s="242"/>
      <c r="J13" s="6">
        <f t="shared" si="1"/>
        <v>0</v>
      </c>
      <c r="K13" s="129">
        <f>IF(B13=1,0,1)</f>
        <v>0</v>
      </c>
      <c r="L13" s="127">
        <f>IF(A13="Hide",1,IF($J$8=1,B13,1))</f>
        <v>1</v>
      </c>
      <c r="M13" s="52" t="str">
        <f>formData!B512</f>
        <v>EMPLOYMENT_HISTORY_POSITION_TYPE1</v>
      </c>
      <c r="N13" s="6">
        <f t="shared" si="2"/>
        <v>0</v>
      </c>
      <c r="O13" s="6">
        <f t="shared" si="3"/>
        <v>0</v>
      </c>
    </row>
    <row r="14" spans="1:15" s="34" customFormat="1" ht="20.100000000000001" customHeight="1">
      <c r="A14" s="106" t="str">
        <f t="shared" si="0"/>
        <v>HIDE</v>
      </c>
      <c r="B14" s="133"/>
      <c r="C14" s="74" t="s">
        <v>1912</v>
      </c>
      <c r="D14" s="35" t="s">
        <v>200</v>
      </c>
      <c r="E14" s="198"/>
      <c r="F14" s="199"/>
      <c r="G14" s="200"/>
      <c r="J14" s="6">
        <f t="shared" si="1"/>
        <v>0</v>
      </c>
      <c r="K14" s="130">
        <f>IF(LEN(E14)=0,0,1)</f>
        <v>0</v>
      </c>
      <c r="L14" s="126">
        <f>IF(A14="Hide",0,IF($J$8=1,E14,0))</f>
        <v>0</v>
      </c>
      <c r="M14" s="52" t="str">
        <f>formData!B513</f>
        <v>EMPLOYMENT_HISTORY_EMPLOYER_NAME1</v>
      </c>
      <c r="N14" s="6">
        <f t="shared" ref="N14:N19" si="4">IF(J14=1,1,0)</f>
        <v>0</v>
      </c>
      <c r="O14" s="6">
        <f t="shared" ref="O14:O19" si="5">+J14*K14</f>
        <v>0</v>
      </c>
    </row>
    <row r="15" spans="1:15" s="34" customFormat="1" ht="20.100000000000001" customHeight="1">
      <c r="A15" s="106" t="str">
        <f t="shared" si="0"/>
        <v>HIDE</v>
      </c>
      <c r="B15" s="133">
        <v>1</v>
      </c>
      <c r="C15" s="74" t="s">
        <v>1912</v>
      </c>
      <c r="D15" s="35" t="s">
        <v>143</v>
      </c>
      <c r="E15" s="240"/>
      <c r="F15" s="241"/>
      <c r="G15" s="242"/>
      <c r="J15" s="6">
        <f t="shared" si="1"/>
        <v>0</v>
      </c>
      <c r="K15" s="129">
        <f>IF(B15=1,0,1)</f>
        <v>0</v>
      </c>
      <c r="L15" s="127">
        <f>IF(A15="Hide",1,IF($J$8=1,B15,1))</f>
        <v>1</v>
      </c>
      <c r="M15" s="52" t="str">
        <f>formData!B514</f>
        <v>EMPLOYMENT_HISTORY_COUNTRY1</v>
      </c>
      <c r="N15" s="6">
        <f t="shared" si="4"/>
        <v>0</v>
      </c>
      <c r="O15" s="6">
        <f t="shared" si="5"/>
        <v>0</v>
      </c>
    </row>
    <row r="16" spans="1:15" s="34" customFormat="1" ht="20.100000000000001" customHeight="1">
      <c r="A16" s="106" t="str">
        <f t="shared" si="0"/>
        <v>HIDE</v>
      </c>
      <c r="B16" s="133"/>
      <c r="C16" s="74" t="s">
        <v>1912</v>
      </c>
      <c r="D16" s="31" t="s">
        <v>1978</v>
      </c>
      <c r="E16" s="219"/>
      <c r="F16" s="220"/>
      <c r="G16" s="221"/>
      <c r="J16" s="6">
        <f t="shared" si="1"/>
        <v>0</v>
      </c>
      <c r="K16" s="130">
        <f>IF(LEN(E16)=0,0,1)</f>
        <v>0</v>
      </c>
      <c r="L16" s="126">
        <f>IF(A16="Hide",0,IF($J$8=1,E16,0))</f>
        <v>0</v>
      </c>
      <c r="M16" s="52" t="str">
        <f>formData!B515</f>
        <v>EMPLOYMENT_HISTORY_DATE_FROM1</v>
      </c>
      <c r="N16" s="6">
        <f t="shared" si="4"/>
        <v>0</v>
      </c>
      <c r="O16" s="6">
        <f t="shared" si="5"/>
        <v>0</v>
      </c>
    </row>
    <row r="17" spans="1:15" s="34" customFormat="1" ht="20.100000000000001" customHeight="1">
      <c r="A17" s="106" t="str">
        <f t="shared" si="0"/>
        <v>HIDE</v>
      </c>
      <c r="B17" s="133"/>
      <c r="C17" s="74"/>
      <c r="D17" s="31" t="s">
        <v>1981</v>
      </c>
      <c r="E17" s="219"/>
      <c r="F17" s="220"/>
      <c r="G17" s="221"/>
      <c r="J17" s="6">
        <f t="shared" si="1"/>
        <v>0</v>
      </c>
      <c r="K17" s="130">
        <f>IF(LEN(E17)=0,0,1)</f>
        <v>0</v>
      </c>
      <c r="L17" s="126">
        <f>IF(A17="Hide",0,IF($J$8=1,E17,0))</f>
        <v>0</v>
      </c>
      <c r="M17" s="52" t="str">
        <f>formData!B516</f>
        <v>EMPLOYMENT_HISTORY_DATE_TO1</v>
      </c>
      <c r="N17" s="6">
        <f t="shared" si="4"/>
        <v>0</v>
      </c>
      <c r="O17" s="6">
        <f t="shared" si="5"/>
        <v>0</v>
      </c>
    </row>
    <row r="18" spans="1:15" s="34" customFormat="1" ht="20.100000000000001" customHeight="1">
      <c r="A18" s="106" t="str">
        <f t="shared" si="0"/>
        <v>HIDE</v>
      </c>
      <c r="B18" s="133"/>
      <c r="C18" s="74" t="s">
        <v>1912</v>
      </c>
      <c r="D18" s="31" t="s">
        <v>116</v>
      </c>
      <c r="E18" s="332" t="s">
        <v>2088</v>
      </c>
      <c r="F18" s="333"/>
      <c r="G18" s="334"/>
      <c r="J18" s="6">
        <f t="shared" si="1"/>
        <v>0</v>
      </c>
      <c r="K18" s="130">
        <f>IF(LEN(E18)=0,0,1)</f>
        <v>1</v>
      </c>
      <c r="L18" s="126">
        <f>IF(A18="Hide",0,IF($J$8=1,E18,0))</f>
        <v>0</v>
      </c>
      <c r="M18" s="52" t="str">
        <f>formData!B517</f>
        <v>EMPLOYMENT_HISTORY_DESCRIPTION_OF_DUTIES1</v>
      </c>
      <c r="N18" s="6">
        <f t="shared" ref="N18" si="6">IF(J18=1,1,0)</f>
        <v>0</v>
      </c>
      <c r="O18" s="6">
        <f t="shared" ref="O18" si="7">+J18*K18</f>
        <v>0</v>
      </c>
    </row>
    <row r="19" spans="1:15" s="34" customFormat="1" ht="27.75" customHeight="1">
      <c r="A19" s="106" t="str">
        <f t="shared" si="0"/>
        <v>HIDE</v>
      </c>
      <c r="B19" s="133">
        <v>1</v>
      </c>
      <c r="C19" s="74" t="s">
        <v>1912</v>
      </c>
      <c r="D19" s="76" t="s">
        <v>1918</v>
      </c>
      <c r="E19" s="317"/>
      <c r="F19" s="318"/>
      <c r="G19" s="319"/>
      <c r="J19" s="6">
        <f>IF($C19="*",IF($A19="Hide",0,$J$8),0)</f>
        <v>0</v>
      </c>
      <c r="K19" s="129">
        <f>IF(B19=1,0,1)</f>
        <v>0</v>
      </c>
      <c r="L19" s="127">
        <f>IF(A19="Hide",1,IF($J$8=1,B19,1))</f>
        <v>1</v>
      </c>
      <c r="M19" s="52" t="str">
        <f>formData!B518</f>
        <v>EMPLOYMENT_HISTORY_EMPLOYMENT_RELATED1</v>
      </c>
      <c r="N19" s="6">
        <f t="shared" si="4"/>
        <v>0</v>
      </c>
      <c r="O19" s="6">
        <f t="shared" si="5"/>
        <v>0</v>
      </c>
    </row>
    <row r="20" spans="1:15" s="34" customFormat="1" ht="20.100000000000001" customHeight="1">
      <c r="A20" s="106" t="str">
        <f t="shared" si="0"/>
        <v>HIDE</v>
      </c>
      <c r="B20" s="133">
        <v>1</v>
      </c>
      <c r="D20" s="38" t="s">
        <v>1917</v>
      </c>
      <c r="E20" s="281"/>
      <c r="F20" s="282"/>
      <c r="G20" s="283"/>
      <c r="N20" s="6">
        <f t="shared" ref="N20:N58" si="8">IF(J20=1,1,0)</f>
        <v>0</v>
      </c>
      <c r="O20" s="6">
        <f t="shared" ref="O20:O58" si="9">+J20*K20</f>
        <v>0</v>
      </c>
    </row>
    <row r="21" spans="1:15" ht="20.25" customHeight="1">
      <c r="A21" s="106" t="str">
        <f t="shared" si="0"/>
        <v>HIDE</v>
      </c>
      <c r="B21" s="132">
        <v>1</v>
      </c>
      <c r="N21" s="6">
        <f t="shared" si="8"/>
        <v>0</v>
      </c>
      <c r="O21" s="6">
        <f t="shared" si="9"/>
        <v>0</v>
      </c>
    </row>
    <row r="22" spans="1:15" ht="29.25" hidden="1" customHeight="1">
      <c r="A22" s="106" t="str">
        <f>IF($B$20=2,$A$16,"HIDE")</f>
        <v>HIDE</v>
      </c>
      <c r="B22" s="132"/>
      <c r="C22" s="74"/>
      <c r="D22" s="256" t="s">
        <v>117</v>
      </c>
      <c r="E22" s="254"/>
      <c r="F22" s="254"/>
      <c r="G22" s="255"/>
      <c r="N22" s="6">
        <f t="shared" si="8"/>
        <v>0</v>
      </c>
      <c r="O22" s="6">
        <f t="shared" si="9"/>
        <v>0</v>
      </c>
    </row>
    <row r="23" spans="1:15" s="34" customFormat="1" ht="20.100000000000001" customHeight="1">
      <c r="A23" s="106" t="str">
        <f>A22</f>
        <v>HIDE</v>
      </c>
      <c r="B23" s="133">
        <v>1</v>
      </c>
      <c r="D23" s="35" t="s">
        <v>197</v>
      </c>
      <c r="E23" s="29"/>
      <c r="F23" s="27"/>
      <c r="G23" s="28"/>
      <c r="J23" s="6">
        <f t="shared" ref="J23:J30" si="10">IF($C23="*",IF($A23="Hide",0,$J$8),0)</f>
        <v>0</v>
      </c>
      <c r="K23" s="129">
        <f>IF(B23=1,0,1)</f>
        <v>0</v>
      </c>
      <c r="L23" s="127">
        <f>IF(A23="Hide",1,IF($J$8=1,B23,1))</f>
        <v>1</v>
      </c>
      <c r="M23" s="52" t="str">
        <f>formData!B519</f>
        <v>EMPLOYMENT_HISTORY_IS_CURRENT2</v>
      </c>
      <c r="N23" s="6">
        <f t="shared" si="8"/>
        <v>0</v>
      </c>
      <c r="O23" s="6">
        <f t="shared" si="9"/>
        <v>0</v>
      </c>
    </row>
    <row r="24" spans="1:15" s="34" customFormat="1" ht="20.100000000000001" customHeight="1">
      <c r="A24" s="106" t="str">
        <f t="shared" ref="A24:A54" si="11">A23</f>
        <v>HIDE</v>
      </c>
      <c r="B24" s="133"/>
      <c r="D24" s="35" t="s">
        <v>198</v>
      </c>
      <c r="E24" s="198"/>
      <c r="F24" s="199"/>
      <c r="G24" s="200"/>
      <c r="J24" s="6">
        <f t="shared" si="10"/>
        <v>0</v>
      </c>
      <c r="K24" s="130">
        <f>IF(LEN(E24)=0,0,1)</f>
        <v>0</v>
      </c>
      <c r="L24" s="126">
        <f>IF(A24="Hide",0,IF($J$8=1,E24,0))</f>
        <v>0</v>
      </c>
      <c r="M24" s="52" t="str">
        <f>formData!B520</f>
        <v>EMPLOYMENT_HISTORY_POSITION2</v>
      </c>
      <c r="N24" s="6">
        <f t="shared" si="8"/>
        <v>0</v>
      </c>
      <c r="O24" s="6">
        <f t="shared" si="9"/>
        <v>0</v>
      </c>
    </row>
    <row r="25" spans="1:15" s="34" customFormat="1" ht="20.100000000000001" customHeight="1">
      <c r="A25" s="106" t="str">
        <f t="shared" si="11"/>
        <v>HIDE</v>
      </c>
      <c r="B25" s="133">
        <v>1</v>
      </c>
      <c r="D25" s="35" t="s">
        <v>199</v>
      </c>
      <c r="E25" s="240"/>
      <c r="F25" s="241"/>
      <c r="G25" s="242"/>
      <c r="J25" s="6">
        <f t="shared" si="10"/>
        <v>0</v>
      </c>
      <c r="K25" s="129">
        <f>IF(B25=1,0,1)</f>
        <v>0</v>
      </c>
      <c r="L25" s="127">
        <f>IF(A25="Hide",1,IF($J$8=1,B25,1))</f>
        <v>1</v>
      </c>
      <c r="M25" s="52" t="str">
        <f>formData!B521</f>
        <v>EMPLOYMENT_HISTORY_POSITION_TYPE2</v>
      </c>
      <c r="N25" s="6">
        <f t="shared" si="8"/>
        <v>0</v>
      </c>
      <c r="O25" s="6">
        <f t="shared" si="9"/>
        <v>0</v>
      </c>
    </row>
    <row r="26" spans="1:15" s="34" customFormat="1" ht="20.100000000000001" customHeight="1">
      <c r="A26" s="106" t="str">
        <f t="shared" si="11"/>
        <v>HIDE</v>
      </c>
      <c r="B26" s="133"/>
      <c r="D26" s="35" t="s">
        <v>200</v>
      </c>
      <c r="E26" s="198"/>
      <c r="F26" s="199"/>
      <c r="G26" s="200"/>
      <c r="J26" s="6">
        <f t="shared" si="10"/>
        <v>0</v>
      </c>
      <c r="K26" s="130">
        <f>IF(LEN(E26)=0,0,1)</f>
        <v>0</v>
      </c>
      <c r="L26" s="126">
        <f>IF(A26="Hide",0,IF($J$8=1,E26,0))</f>
        <v>0</v>
      </c>
      <c r="M26" s="52" t="str">
        <f>formData!B522</f>
        <v>EMPLOYMENT_HISTORY_EMPLOYER_NAME2</v>
      </c>
      <c r="N26" s="6">
        <f t="shared" si="8"/>
        <v>0</v>
      </c>
      <c r="O26" s="6">
        <f t="shared" si="9"/>
        <v>0</v>
      </c>
    </row>
    <row r="27" spans="1:15" s="34" customFormat="1" ht="20.100000000000001" customHeight="1">
      <c r="A27" s="106" t="str">
        <f t="shared" si="11"/>
        <v>HIDE</v>
      </c>
      <c r="B27" s="133">
        <v>1</v>
      </c>
      <c r="D27" s="35" t="s">
        <v>143</v>
      </c>
      <c r="E27" s="240"/>
      <c r="F27" s="241"/>
      <c r="G27" s="242"/>
      <c r="J27" s="6">
        <f t="shared" si="10"/>
        <v>0</v>
      </c>
      <c r="K27" s="129">
        <f>IF(B27=1,0,1)</f>
        <v>0</v>
      </c>
      <c r="L27" s="127">
        <f>IF(A27="Hide",1,IF($J$8=1,B27,1))</f>
        <v>1</v>
      </c>
      <c r="M27" s="52" t="str">
        <f>formData!B523</f>
        <v>EMPLOYMENT_HISTORY_COUNTRY2</v>
      </c>
      <c r="N27" s="6">
        <f t="shared" si="8"/>
        <v>0</v>
      </c>
      <c r="O27" s="6">
        <f t="shared" si="9"/>
        <v>0</v>
      </c>
    </row>
    <row r="28" spans="1:15" s="34" customFormat="1" ht="20.100000000000001" customHeight="1">
      <c r="A28" s="106" t="str">
        <f t="shared" si="11"/>
        <v>HIDE</v>
      </c>
      <c r="B28" s="133"/>
      <c r="D28" s="31" t="s">
        <v>1978</v>
      </c>
      <c r="E28" s="219"/>
      <c r="F28" s="220"/>
      <c r="G28" s="221"/>
      <c r="J28" s="6">
        <f t="shared" si="10"/>
        <v>0</v>
      </c>
      <c r="K28" s="130">
        <f>IF(LEN(E28)=0,0,1)</f>
        <v>0</v>
      </c>
      <c r="L28" s="126">
        <f>IF(A28="Hide",0,IF($J$8=1,E28,0))</f>
        <v>0</v>
      </c>
      <c r="M28" s="52" t="str">
        <f>formData!B524</f>
        <v>EMPLOYMENT_HISTORY_DATE_FROM2</v>
      </c>
      <c r="N28" s="6">
        <f t="shared" si="8"/>
        <v>0</v>
      </c>
      <c r="O28" s="6">
        <f t="shared" si="9"/>
        <v>0</v>
      </c>
    </row>
    <row r="29" spans="1:15" s="34" customFormat="1" ht="20.100000000000001" customHeight="1">
      <c r="A29" s="106" t="str">
        <f t="shared" si="11"/>
        <v>HIDE</v>
      </c>
      <c r="B29" s="133"/>
      <c r="D29" s="31" t="s">
        <v>1981</v>
      </c>
      <c r="E29" s="219"/>
      <c r="F29" s="220"/>
      <c r="G29" s="221"/>
      <c r="J29" s="6">
        <f t="shared" si="10"/>
        <v>0</v>
      </c>
      <c r="K29" s="130">
        <f>IF(LEN(E29)=0,0,1)</f>
        <v>0</v>
      </c>
      <c r="L29" s="126">
        <f>IF(A29="Hide",0,IF($J$8=1,E29,0))</f>
        <v>0</v>
      </c>
      <c r="M29" s="52" t="str">
        <f>formData!B525</f>
        <v>EMPLOYMENT_HISTORY_DATE_TO2</v>
      </c>
      <c r="N29" s="6">
        <f t="shared" si="8"/>
        <v>0</v>
      </c>
      <c r="O29" s="6">
        <f t="shared" si="9"/>
        <v>0</v>
      </c>
    </row>
    <row r="30" spans="1:15" s="34" customFormat="1" ht="20.100000000000001" customHeight="1">
      <c r="A30" s="106" t="str">
        <f t="shared" si="11"/>
        <v>HIDE</v>
      </c>
      <c r="B30" s="133"/>
      <c r="D30" s="31" t="s">
        <v>116</v>
      </c>
      <c r="E30" s="332" t="s">
        <v>2088</v>
      </c>
      <c r="F30" s="333"/>
      <c r="G30" s="334"/>
      <c r="J30" s="6">
        <f t="shared" si="10"/>
        <v>0</v>
      </c>
      <c r="K30" s="130">
        <f>IF(LEN(E30)=0,0,1)</f>
        <v>1</v>
      </c>
      <c r="L30" s="126">
        <f>IF(A30="Hide",0,IF($J$8=1,E30,0))</f>
        <v>0</v>
      </c>
      <c r="M30" s="52" t="str">
        <f>formData!B526</f>
        <v>EMPLOYMENT_HISTORY_DESCRIPTION_OF_DUTIES2</v>
      </c>
      <c r="N30" s="6">
        <f t="shared" si="8"/>
        <v>0</v>
      </c>
      <c r="O30" s="6">
        <f t="shared" si="9"/>
        <v>0</v>
      </c>
    </row>
    <row r="31" spans="1:15" s="34" customFormat="1" ht="33.75" customHeight="1">
      <c r="A31" s="106" t="str">
        <f>A30</f>
        <v>HIDE</v>
      </c>
      <c r="B31" s="133">
        <v>1</v>
      </c>
      <c r="D31" s="36" t="s">
        <v>201</v>
      </c>
      <c r="E31" s="317"/>
      <c r="F31" s="318"/>
      <c r="G31" s="319"/>
      <c r="J31" s="6">
        <f>IF($C31="*",IF($A31="Hide",0,$J$8),0)</f>
        <v>0</v>
      </c>
      <c r="K31" s="129">
        <f>IF(B31=1,0,1)</f>
        <v>0</v>
      </c>
      <c r="L31" s="127">
        <f>IF(A31="Hide",1,IF($J$8=1,B31,1))</f>
        <v>1</v>
      </c>
      <c r="M31" s="52" t="str">
        <f>formData!B527</f>
        <v>EMPLOYMENT_HISTORY_RELATED2</v>
      </c>
      <c r="N31" s="6">
        <f t="shared" si="8"/>
        <v>0</v>
      </c>
      <c r="O31" s="6">
        <f t="shared" si="9"/>
        <v>0</v>
      </c>
    </row>
    <row r="32" spans="1:15" ht="20.100000000000001" customHeight="1">
      <c r="A32" s="106" t="str">
        <f t="shared" si="11"/>
        <v>HIDE</v>
      </c>
      <c r="B32" s="132"/>
      <c r="N32" s="6">
        <f t="shared" si="8"/>
        <v>0</v>
      </c>
      <c r="O32" s="6">
        <f t="shared" si="9"/>
        <v>0</v>
      </c>
    </row>
    <row r="33" spans="1:15" ht="24.95" customHeight="1">
      <c r="A33" s="106" t="str">
        <f t="shared" si="11"/>
        <v>HIDE</v>
      </c>
      <c r="B33" s="132"/>
      <c r="C33" s="74"/>
      <c r="D33" s="256" t="s">
        <v>118</v>
      </c>
      <c r="E33" s="254"/>
      <c r="F33" s="254"/>
      <c r="G33" s="255"/>
      <c r="N33" s="6">
        <f t="shared" si="8"/>
        <v>0</v>
      </c>
      <c r="O33" s="6">
        <f t="shared" si="9"/>
        <v>0</v>
      </c>
    </row>
    <row r="34" spans="1:15" s="34" customFormat="1" ht="20.100000000000001" customHeight="1">
      <c r="A34" s="106" t="str">
        <f t="shared" si="11"/>
        <v>HIDE</v>
      </c>
      <c r="B34" s="133">
        <v>1</v>
      </c>
      <c r="D34" s="35" t="s">
        <v>197</v>
      </c>
      <c r="E34" s="89"/>
      <c r="F34" s="90"/>
      <c r="G34" s="91"/>
      <c r="J34" s="6">
        <f t="shared" ref="J34:J41" si="12">IF($C34="*",IF($A34="Hide",0,$J$8),0)</f>
        <v>0</v>
      </c>
      <c r="K34" s="129">
        <f>IF(B34=1,0,1)</f>
        <v>0</v>
      </c>
      <c r="L34" s="127">
        <f>IF(A34="Hide",1,IF($J$8=1,B34,1))</f>
        <v>1</v>
      </c>
      <c r="M34" s="52" t="str">
        <f>formData!B528</f>
        <v>EMPLOYMENT_HISTORY_IS_CURRENT3</v>
      </c>
      <c r="N34" s="6">
        <f t="shared" si="8"/>
        <v>0</v>
      </c>
      <c r="O34" s="6">
        <f t="shared" si="9"/>
        <v>0</v>
      </c>
    </row>
    <row r="35" spans="1:15" s="34" customFormat="1" ht="20.100000000000001" customHeight="1">
      <c r="A35" s="106" t="str">
        <f t="shared" si="11"/>
        <v>HIDE</v>
      </c>
      <c r="B35" s="133"/>
      <c r="D35" s="35" t="s">
        <v>198</v>
      </c>
      <c r="E35" s="335"/>
      <c r="F35" s="336"/>
      <c r="G35" s="337"/>
      <c r="J35" s="6">
        <f t="shared" si="12"/>
        <v>0</v>
      </c>
      <c r="K35" s="130">
        <f>IF(LEN(E35)=0,0,1)</f>
        <v>0</v>
      </c>
      <c r="L35" s="126">
        <f>IF(A35="Hide",0,IF($J$8=1,E35,0))</f>
        <v>0</v>
      </c>
      <c r="M35" s="52" t="str">
        <f>formData!B529</f>
        <v>EMPLOYMENT_HISTORY_POSITION3</v>
      </c>
      <c r="N35" s="6">
        <f t="shared" si="8"/>
        <v>0</v>
      </c>
      <c r="O35" s="6">
        <f t="shared" si="9"/>
        <v>0</v>
      </c>
    </row>
    <row r="36" spans="1:15" s="34" customFormat="1" ht="20.100000000000001" customHeight="1">
      <c r="A36" s="106" t="str">
        <f t="shared" si="11"/>
        <v>HIDE</v>
      </c>
      <c r="B36" s="133">
        <v>1</v>
      </c>
      <c r="D36" s="35" t="s">
        <v>199</v>
      </c>
      <c r="E36" s="237"/>
      <c r="F36" s="238"/>
      <c r="G36" s="239"/>
      <c r="J36" s="6">
        <f t="shared" si="12"/>
        <v>0</v>
      </c>
      <c r="K36" s="129">
        <f>IF(B36=1,0,1)</f>
        <v>0</v>
      </c>
      <c r="L36" s="127">
        <f>IF(A36="Hide",1,IF($J$8=1,B36,1))</f>
        <v>1</v>
      </c>
      <c r="M36" s="52" t="str">
        <f>formData!B530</f>
        <v>EMPLOYMENT_HISTORY_POSITION_TYPE3</v>
      </c>
      <c r="N36" s="6">
        <f t="shared" si="8"/>
        <v>0</v>
      </c>
      <c r="O36" s="6">
        <f t="shared" si="9"/>
        <v>0</v>
      </c>
    </row>
    <row r="37" spans="1:15" s="34" customFormat="1" ht="20.100000000000001" customHeight="1">
      <c r="A37" s="106" t="str">
        <f t="shared" si="11"/>
        <v>HIDE</v>
      </c>
      <c r="B37" s="133"/>
      <c r="D37" s="35" t="s">
        <v>200</v>
      </c>
      <c r="E37" s="198"/>
      <c r="F37" s="199"/>
      <c r="G37" s="200"/>
      <c r="J37" s="6">
        <f t="shared" si="12"/>
        <v>0</v>
      </c>
      <c r="K37" s="130">
        <f>IF(LEN(E37)=0,0,1)</f>
        <v>0</v>
      </c>
      <c r="L37" s="126">
        <f>IF(A37="Hide",0,IF($J$8=1,E37,0))</f>
        <v>0</v>
      </c>
      <c r="M37" s="52" t="str">
        <f>formData!B531</f>
        <v>EMPLOYMENT_HISTORY_EMPLOYER_NAME3</v>
      </c>
      <c r="N37" s="6">
        <f t="shared" si="8"/>
        <v>0</v>
      </c>
      <c r="O37" s="6">
        <f t="shared" si="9"/>
        <v>0</v>
      </c>
    </row>
    <row r="38" spans="1:15" s="34" customFormat="1" ht="20.100000000000001" customHeight="1">
      <c r="A38" s="106" t="str">
        <f t="shared" si="11"/>
        <v>HIDE</v>
      </c>
      <c r="B38" s="133">
        <v>1</v>
      </c>
      <c r="D38" s="35" t="s">
        <v>143</v>
      </c>
      <c r="E38" s="237"/>
      <c r="F38" s="238"/>
      <c r="G38" s="239"/>
      <c r="J38" s="6">
        <f t="shared" si="12"/>
        <v>0</v>
      </c>
      <c r="K38" s="129">
        <f>IF(B38=1,0,1)</f>
        <v>0</v>
      </c>
      <c r="L38" s="127">
        <f>IF(A38="Hide",1,IF($J$8=1,B38,1))</f>
        <v>1</v>
      </c>
      <c r="M38" s="52" t="str">
        <f>formData!B532</f>
        <v>EMPLOYMENT_HISTORY_COUNTRY3</v>
      </c>
      <c r="N38" s="6">
        <f t="shared" si="8"/>
        <v>0</v>
      </c>
      <c r="O38" s="6">
        <f t="shared" si="9"/>
        <v>0</v>
      </c>
    </row>
    <row r="39" spans="1:15" s="34" customFormat="1" ht="20.100000000000001" customHeight="1">
      <c r="A39" s="106" t="str">
        <f t="shared" si="11"/>
        <v>HIDE</v>
      </c>
      <c r="B39" s="133"/>
      <c r="D39" s="31" t="s">
        <v>1978</v>
      </c>
      <c r="E39" s="219"/>
      <c r="F39" s="220"/>
      <c r="G39" s="221"/>
      <c r="J39" s="6">
        <f t="shared" si="12"/>
        <v>0</v>
      </c>
      <c r="K39" s="130">
        <f>IF(LEN(E39)=0,0,1)</f>
        <v>0</v>
      </c>
      <c r="L39" s="126">
        <f>IF(A39="Hide",0,IF($J$8=1,E39,0))</f>
        <v>0</v>
      </c>
      <c r="M39" s="52" t="str">
        <f>formData!B533</f>
        <v>EMPLOYMENT_HISTORY_DATE_FROM3</v>
      </c>
      <c r="N39" s="6">
        <f t="shared" si="8"/>
        <v>0</v>
      </c>
      <c r="O39" s="6">
        <f t="shared" si="9"/>
        <v>0</v>
      </c>
    </row>
    <row r="40" spans="1:15" s="34" customFormat="1" ht="20.100000000000001" customHeight="1">
      <c r="A40" s="106" t="str">
        <f t="shared" si="11"/>
        <v>HIDE</v>
      </c>
      <c r="B40" s="133"/>
      <c r="D40" s="31" t="s">
        <v>1981</v>
      </c>
      <c r="E40" s="219"/>
      <c r="F40" s="220"/>
      <c r="G40" s="221"/>
      <c r="J40" s="6">
        <f t="shared" si="12"/>
        <v>0</v>
      </c>
      <c r="K40" s="130">
        <f>IF(LEN(E40)=0,0,1)</f>
        <v>0</v>
      </c>
      <c r="L40" s="126">
        <f>IF(A40="Hide",0,IF($J$8=1,E40,0))</f>
        <v>0</v>
      </c>
      <c r="M40" s="52" t="str">
        <f>formData!B534</f>
        <v>EMPLOYMENT_HISTORY_DATE_TO3</v>
      </c>
      <c r="N40" s="6">
        <f t="shared" si="8"/>
        <v>0</v>
      </c>
      <c r="O40" s="6">
        <f t="shared" si="9"/>
        <v>0</v>
      </c>
    </row>
    <row r="41" spans="1:15" s="34" customFormat="1" ht="20.100000000000001" customHeight="1">
      <c r="A41" s="106" t="str">
        <f t="shared" si="11"/>
        <v>HIDE</v>
      </c>
      <c r="B41" s="133"/>
      <c r="D41" s="31" t="s">
        <v>116</v>
      </c>
      <c r="E41" s="332" t="s">
        <v>2088</v>
      </c>
      <c r="F41" s="333"/>
      <c r="G41" s="334"/>
      <c r="J41" s="6">
        <f t="shared" si="12"/>
        <v>0</v>
      </c>
      <c r="K41" s="130">
        <f>IF(LEN(E41)=0,0,1)</f>
        <v>1</v>
      </c>
      <c r="L41" s="126">
        <f>IF(A41="Hide",0,IF($J$8=1,E41,0))</f>
        <v>0</v>
      </c>
      <c r="M41" s="52" t="str">
        <f>formData!B535</f>
        <v>EMPLOYMENT_HISTORY_DESCRIPTION_OF_DUTIES3</v>
      </c>
      <c r="N41" s="6">
        <f t="shared" si="8"/>
        <v>0</v>
      </c>
      <c r="O41" s="6">
        <f t="shared" si="9"/>
        <v>0</v>
      </c>
    </row>
    <row r="42" spans="1:15" s="34" customFormat="1" ht="27" customHeight="1">
      <c r="A42" s="106" t="str">
        <f>A41</f>
        <v>HIDE</v>
      </c>
      <c r="B42" s="133">
        <v>2</v>
      </c>
      <c r="D42" s="36" t="s">
        <v>201</v>
      </c>
      <c r="E42" s="317"/>
      <c r="F42" s="318"/>
      <c r="G42" s="319"/>
      <c r="J42" s="6">
        <f>IF($C42="*",IF($A42="Hide",0,$J$8),0)</f>
        <v>0</v>
      </c>
      <c r="K42" s="129">
        <f>IF(B42=1,0,1)</f>
        <v>1</v>
      </c>
      <c r="L42" s="127">
        <f>IF(A42="Hide",1,IF($J$8=1,B42,1))</f>
        <v>1</v>
      </c>
      <c r="M42" s="52" t="str">
        <f>formData!B536</f>
        <v>EMPLOYMENT_HISTORY_RELATED3</v>
      </c>
      <c r="N42" s="6">
        <f t="shared" si="8"/>
        <v>0</v>
      </c>
      <c r="O42" s="6">
        <f t="shared" si="9"/>
        <v>0</v>
      </c>
    </row>
    <row r="43" spans="1:15" ht="21.75" customHeight="1">
      <c r="A43" s="106" t="str">
        <f t="shared" si="11"/>
        <v>HIDE</v>
      </c>
      <c r="B43" s="132"/>
      <c r="N43" s="6">
        <f t="shared" si="8"/>
        <v>0</v>
      </c>
      <c r="O43" s="6">
        <f t="shared" si="9"/>
        <v>0</v>
      </c>
    </row>
    <row r="44" spans="1:15" ht="23.25" customHeight="1">
      <c r="A44" s="106" t="str">
        <f t="shared" si="11"/>
        <v>HIDE</v>
      </c>
      <c r="B44" s="132"/>
      <c r="C44" s="74"/>
      <c r="D44" s="256" t="s">
        <v>119</v>
      </c>
      <c r="E44" s="254"/>
      <c r="F44" s="254"/>
      <c r="G44" s="255"/>
      <c r="N44" s="6">
        <f t="shared" si="8"/>
        <v>0</v>
      </c>
      <c r="O44" s="6">
        <f t="shared" si="9"/>
        <v>0</v>
      </c>
    </row>
    <row r="45" spans="1:15" s="34" customFormat="1" ht="20.100000000000001" customHeight="1">
      <c r="A45" s="106" t="str">
        <f t="shared" si="11"/>
        <v>HIDE</v>
      </c>
      <c r="B45" s="133">
        <v>1</v>
      </c>
      <c r="D45" s="35" t="s">
        <v>197</v>
      </c>
      <c r="E45" s="92"/>
      <c r="F45" s="93"/>
      <c r="G45" s="94"/>
      <c r="J45" s="6">
        <f t="shared" ref="J45:J52" si="13">IF($C45="*",IF($A45="Hide",0,$J$8),0)</f>
        <v>0</v>
      </c>
      <c r="K45" s="129">
        <f>IF(B45=1,0,1)</f>
        <v>0</v>
      </c>
      <c r="L45" s="127">
        <f>IF(A45="Hide",1,IF($J$8=1,B45,1))</f>
        <v>1</v>
      </c>
      <c r="M45" s="52" t="str">
        <f>formData!B537</f>
        <v>EMPLOYMENT_HISTORY_IS_CURRENT4</v>
      </c>
      <c r="N45" s="6">
        <f t="shared" si="8"/>
        <v>0</v>
      </c>
      <c r="O45" s="6">
        <f t="shared" si="9"/>
        <v>0</v>
      </c>
    </row>
    <row r="46" spans="1:15" s="34" customFormat="1" ht="20.100000000000001" customHeight="1">
      <c r="A46" s="106" t="str">
        <f t="shared" si="11"/>
        <v>HIDE</v>
      </c>
      <c r="B46" s="133"/>
      <c r="D46" s="35" t="s">
        <v>198</v>
      </c>
      <c r="E46" s="198"/>
      <c r="F46" s="199"/>
      <c r="G46" s="200"/>
      <c r="J46" s="6">
        <f t="shared" si="13"/>
        <v>0</v>
      </c>
      <c r="K46" s="130">
        <f>IF(LEN(E46)=0,0,1)</f>
        <v>0</v>
      </c>
      <c r="L46" s="126">
        <f>IF(A46="Hide",0,IF($J$8=1,E46,0))</f>
        <v>0</v>
      </c>
      <c r="M46" s="52" t="str">
        <f>formData!B538</f>
        <v>EMPLOYMENT_HISTORY_POSITION4</v>
      </c>
      <c r="N46" s="6">
        <f t="shared" si="8"/>
        <v>0</v>
      </c>
      <c r="O46" s="6">
        <f t="shared" si="9"/>
        <v>0</v>
      </c>
    </row>
    <row r="47" spans="1:15" s="34" customFormat="1" ht="20.100000000000001" customHeight="1">
      <c r="A47" s="106" t="str">
        <f t="shared" si="11"/>
        <v>HIDE</v>
      </c>
      <c r="B47" s="133">
        <v>1</v>
      </c>
      <c r="D47" s="35" t="s">
        <v>199</v>
      </c>
      <c r="E47" s="240"/>
      <c r="F47" s="241"/>
      <c r="G47" s="242"/>
      <c r="J47" s="6">
        <f t="shared" si="13"/>
        <v>0</v>
      </c>
      <c r="K47" s="129">
        <f>IF(B47=1,0,1)</f>
        <v>0</v>
      </c>
      <c r="L47" s="127">
        <f>IF(A47="Hide",1,IF($J$8=1,B47,1))</f>
        <v>1</v>
      </c>
      <c r="M47" s="52" t="str">
        <f>formData!B539</f>
        <v>EMPLOYMENT_HISTORY_POSITION_TYPE4</v>
      </c>
      <c r="N47" s="6">
        <f t="shared" si="8"/>
        <v>0</v>
      </c>
      <c r="O47" s="6">
        <f t="shared" si="9"/>
        <v>0</v>
      </c>
    </row>
    <row r="48" spans="1:15" s="34" customFormat="1" ht="20.100000000000001" customHeight="1">
      <c r="A48" s="106" t="str">
        <f t="shared" si="11"/>
        <v>HIDE</v>
      </c>
      <c r="B48" s="133"/>
      <c r="D48" s="35" t="s">
        <v>200</v>
      </c>
      <c r="E48" s="198"/>
      <c r="F48" s="199"/>
      <c r="G48" s="200"/>
      <c r="J48" s="6">
        <f t="shared" si="13"/>
        <v>0</v>
      </c>
      <c r="K48" s="130">
        <f>IF(LEN(E48)=0,0,1)</f>
        <v>0</v>
      </c>
      <c r="L48" s="126">
        <f>IF(A48="Hide",0,IF($J$8=1,E48,0))</f>
        <v>0</v>
      </c>
      <c r="M48" s="52" t="str">
        <f>formData!B540</f>
        <v>EMPLOYMENT_HISTORY_EMPLOYER_NAME4</v>
      </c>
      <c r="N48" s="6">
        <f t="shared" si="8"/>
        <v>0</v>
      </c>
      <c r="O48" s="6">
        <f t="shared" si="9"/>
        <v>0</v>
      </c>
    </row>
    <row r="49" spans="1:15" s="34" customFormat="1" ht="20.100000000000001" customHeight="1">
      <c r="A49" s="106" t="str">
        <f t="shared" si="11"/>
        <v>HIDE</v>
      </c>
      <c r="B49" s="133">
        <v>104</v>
      </c>
      <c r="D49" s="35" t="s">
        <v>143</v>
      </c>
      <c r="E49" s="240"/>
      <c r="F49" s="241"/>
      <c r="G49" s="242"/>
      <c r="J49" s="6">
        <f t="shared" si="13"/>
        <v>0</v>
      </c>
      <c r="K49" s="129">
        <f>IF(B49=1,0,1)</f>
        <v>1</v>
      </c>
      <c r="L49" s="127">
        <f>IF(A49="Hide",1,IF($J$8=1,B49,1))</f>
        <v>1</v>
      </c>
      <c r="M49" s="52" t="str">
        <f>formData!B541</f>
        <v>EMPLOYMENT_HISTORY_COUNTRY4</v>
      </c>
      <c r="N49" s="6">
        <f t="shared" si="8"/>
        <v>0</v>
      </c>
      <c r="O49" s="6">
        <f t="shared" si="9"/>
        <v>0</v>
      </c>
    </row>
    <row r="50" spans="1:15" s="34" customFormat="1" ht="20.100000000000001" customHeight="1">
      <c r="A50" s="106" t="str">
        <f t="shared" si="11"/>
        <v>HIDE</v>
      </c>
      <c r="B50" s="133"/>
      <c r="D50" s="31" t="s">
        <v>1978</v>
      </c>
      <c r="E50" s="219"/>
      <c r="F50" s="220"/>
      <c r="G50" s="221"/>
      <c r="J50" s="6">
        <f t="shared" si="13"/>
        <v>0</v>
      </c>
      <c r="K50" s="130">
        <f>IF(LEN(E50)=0,0,1)</f>
        <v>0</v>
      </c>
      <c r="L50" s="126">
        <f>IF(A50="Hide",0,IF($J$8=1,E50,0))</f>
        <v>0</v>
      </c>
      <c r="M50" s="52" t="str">
        <f>formData!B542</f>
        <v>EMPLOYMENT_HISTORY_DATE_FROM4</v>
      </c>
      <c r="N50" s="6">
        <f t="shared" si="8"/>
        <v>0</v>
      </c>
      <c r="O50" s="6">
        <f t="shared" si="9"/>
        <v>0</v>
      </c>
    </row>
    <row r="51" spans="1:15" s="34" customFormat="1" ht="20.100000000000001" customHeight="1">
      <c r="A51" s="106" t="str">
        <f t="shared" si="11"/>
        <v>HIDE</v>
      </c>
      <c r="B51" s="133"/>
      <c r="D51" s="31" t="s">
        <v>1981</v>
      </c>
      <c r="E51" s="219"/>
      <c r="F51" s="220"/>
      <c r="G51" s="221"/>
      <c r="J51" s="6">
        <f t="shared" si="13"/>
        <v>0</v>
      </c>
      <c r="K51" s="130">
        <f>IF(LEN(E51)=0,0,1)</f>
        <v>0</v>
      </c>
      <c r="L51" s="126">
        <f>IF(A51="Hide",0,IF($J$8=1,E51,0))</f>
        <v>0</v>
      </c>
      <c r="M51" s="52" t="str">
        <f>formData!B543</f>
        <v>EMPLOYMENT_HISTORY_DATE_TO4</v>
      </c>
      <c r="N51" s="6">
        <f t="shared" si="8"/>
        <v>0</v>
      </c>
      <c r="O51" s="6">
        <f t="shared" si="9"/>
        <v>0</v>
      </c>
    </row>
    <row r="52" spans="1:15" s="34" customFormat="1" ht="20.100000000000001" customHeight="1">
      <c r="A52" s="106" t="str">
        <f t="shared" si="11"/>
        <v>HIDE</v>
      </c>
      <c r="B52" s="133"/>
      <c r="D52" s="31" t="s">
        <v>116</v>
      </c>
      <c r="E52" s="332" t="s">
        <v>2088</v>
      </c>
      <c r="F52" s="333"/>
      <c r="G52" s="334"/>
      <c r="J52" s="6">
        <f t="shared" si="13"/>
        <v>0</v>
      </c>
      <c r="K52" s="130">
        <f>IF(LEN(E52)=0,0,1)</f>
        <v>1</v>
      </c>
      <c r="L52" s="126">
        <f>IF(A52="Hide",0,IF($J$8=1,E52,0))</f>
        <v>0</v>
      </c>
      <c r="M52" s="52" t="str">
        <f>formData!B544</f>
        <v>EMPLOYMENT_HISTORY_DESCRIPTION_OF_DUTIES4</v>
      </c>
      <c r="N52" s="6">
        <f t="shared" si="8"/>
        <v>0</v>
      </c>
      <c r="O52" s="6">
        <f t="shared" si="9"/>
        <v>0</v>
      </c>
    </row>
    <row r="53" spans="1:15" s="34" customFormat="1" ht="27.75" customHeight="1">
      <c r="A53" s="106" t="str">
        <f>A52</f>
        <v>HIDE</v>
      </c>
      <c r="B53" s="133">
        <v>2</v>
      </c>
      <c r="D53" s="36" t="s">
        <v>201</v>
      </c>
      <c r="E53" s="317"/>
      <c r="F53" s="318"/>
      <c r="G53" s="319"/>
      <c r="J53" s="6">
        <f>IF($C53="*",IF($A53="Hide",0,$J$8),0)</f>
        <v>0</v>
      </c>
      <c r="K53" s="129">
        <f>IF(B53=1,0,1)</f>
        <v>1</v>
      </c>
      <c r="L53" s="127">
        <f>IF(A53="Hide",1,IF($J$8=1,B53,1))</f>
        <v>1</v>
      </c>
      <c r="M53" s="52" t="str">
        <f>formData!B545</f>
        <v>EMPLOYMENT_HISTORY_RELATED4</v>
      </c>
      <c r="N53" s="6">
        <f t="shared" si="8"/>
        <v>0</v>
      </c>
      <c r="O53" s="6">
        <f t="shared" si="9"/>
        <v>0</v>
      </c>
    </row>
    <row r="54" spans="1:15" ht="28.5" customHeight="1">
      <c r="A54" s="106" t="str">
        <f t="shared" si="11"/>
        <v>HIDE</v>
      </c>
      <c r="B54" s="132"/>
      <c r="N54" s="6">
        <f t="shared" si="8"/>
        <v>0</v>
      </c>
      <c r="O54" s="6">
        <f t="shared" si="9"/>
        <v>0</v>
      </c>
    </row>
    <row r="55" spans="1:15" ht="24.95" customHeight="1">
      <c r="B55" s="132"/>
      <c r="C55" s="74"/>
      <c r="D55" s="341" t="s">
        <v>120</v>
      </c>
      <c r="E55" s="257"/>
      <c r="F55" s="257"/>
      <c r="G55" s="257"/>
      <c r="N55" s="6">
        <f t="shared" si="8"/>
        <v>0</v>
      </c>
      <c r="O55" s="6">
        <f t="shared" si="9"/>
        <v>0</v>
      </c>
    </row>
    <row r="56" spans="1:15" s="34" customFormat="1" ht="63.75" customHeight="1">
      <c r="A56" s="32"/>
      <c r="B56" s="133">
        <v>3</v>
      </c>
      <c r="C56" s="74" t="s">
        <v>1912</v>
      </c>
      <c r="D56" s="23" t="s">
        <v>202</v>
      </c>
      <c r="E56" s="338"/>
      <c r="F56" s="338"/>
      <c r="G56" s="338"/>
      <c r="J56" s="6">
        <f>IF($C56="*",IF($A56="Hide",0,$J$8),0)</f>
        <v>1</v>
      </c>
      <c r="K56" s="129">
        <f>IF(B56=1,0,1)</f>
        <v>1</v>
      </c>
      <c r="L56" s="127">
        <f>IF(A56="Hide",1,IF($J$8=1,B56,1))</f>
        <v>3</v>
      </c>
      <c r="M56" s="34" t="str">
        <f>formData!B571</f>
        <v>PAYMENT_TO_EMPLOYER_AGREED</v>
      </c>
      <c r="N56" s="6">
        <f t="shared" si="8"/>
        <v>1</v>
      </c>
      <c r="O56" s="6">
        <f t="shared" si="9"/>
        <v>1</v>
      </c>
    </row>
    <row r="57" spans="1:15" s="34" customFormat="1" ht="20.100000000000001" customHeight="1">
      <c r="A57" s="32"/>
      <c r="B57" s="133">
        <v>1</v>
      </c>
      <c r="D57" s="340" t="s">
        <v>186</v>
      </c>
      <c r="E57" s="340"/>
      <c r="F57" s="340"/>
      <c r="G57" s="340"/>
      <c r="N57" s="6">
        <f t="shared" si="8"/>
        <v>0</v>
      </c>
      <c r="O57" s="6">
        <f t="shared" si="9"/>
        <v>0</v>
      </c>
    </row>
    <row r="58" spans="1:15" s="34" customFormat="1" ht="60" customHeight="1">
      <c r="A58" s="32"/>
      <c r="B58" s="133"/>
      <c r="D58" s="339"/>
      <c r="E58" s="339"/>
      <c r="F58" s="339"/>
      <c r="G58" s="339"/>
      <c r="J58" s="157">
        <f>IF($C58="*",IF($A58="Hide",0,$J$8),0)</f>
        <v>0</v>
      </c>
      <c r="K58" s="158">
        <f>IF(LEN(D58)=0,0,1)</f>
        <v>0</v>
      </c>
      <c r="L58" s="157">
        <f>IF(A58="Hide",0,IF($J$8=1,D58,0))</f>
        <v>0</v>
      </c>
      <c r="M58" s="34" t="str">
        <f>formData!B572</f>
        <v>PAYMENT_TO_EMPLOYER_GIVE_DETAILS</v>
      </c>
      <c r="N58" s="6">
        <f t="shared" si="8"/>
        <v>0</v>
      </c>
      <c r="O58" s="6">
        <f t="shared" si="9"/>
        <v>0</v>
      </c>
    </row>
    <row r="59" spans="1:15">
      <c r="B59" s="132"/>
    </row>
  </sheetData>
  <sheetProtection algorithmName="SHA-512" hashValue="L+mCkWAcwnE1NO/J+7M4/dKAQQ2xI+9FxbffGKWa2L9e+Fu+80yPFwEwLX86Ma88t5ZujoY/qUia00sm9wrBzQ==" saltValue="wcI+TP4N7naqJvj7MwlKPg==" spinCount="100000" sheet="1" objects="1" scenarios="1"/>
  <mergeCells count="46">
    <mergeCell ref="E52:G52"/>
    <mergeCell ref="E56:G56"/>
    <mergeCell ref="D58:G58"/>
    <mergeCell ref="D57:G57"/>
    <mergeCell ref="D55:G55"/>
    <mergeCell ref="E53:G53"/>
    <mergeCell ref="E41:G41"/>
    <mergeCell ref="E50:G50"/>
    <mergeCell ref="E51:G51"/>
    <mergeCell ref="E42:G42"/>
    <mergeCell ref="D44:G44"/>
    <mergeCell ref="E46:G46"/>
    <mergeCell ref="E47:G47"/>
    <mergeCell ref="E48:G48"/>
    <mergeCell ref="E49:G49"/>
    <mergeCell ref="E30:G30"/>
    <mergeCell ref="E39:G39"/>
    <mergeCell ref="E40:G40"/>
    <mergeCell ref="E31:G31"/>
    <mergeCell ref="D33:G33"/>
    <mergeCell ref="E35:G35"/>
    <mergeCell ref="E36:G36"/>
    <mergeCell ref="E37:G37"/>
    <mergeCell ref="E38:G38"/>
    <mergeCell ref="E28:G28"/>
    <mergeCell ref="E29:G29"/>
    <mergeCell ref="E20:G20"/>
    <mergeCell ref="D22:G22"/>
    <mergeCell ref="E24:G24"/>
    <mergeCell ref="E25:G25"/>
    <mergeCell ref="E26:G26"/>
    <mergeCell ref="E27:G27"/>
    <mergeCell ref="D2:G2"/>
    <mergeCell ref="D4:G4"/>
    <mergeCell ref="D6:G6"/>
    <mergeCell ref="E8:G8"/>
    <mergeCell ref="D10:G10"/>
    <mergeCell ref="E17:G17"/>
    <mergeCell ref="E19:G19"/>
    <mergeCell ref="D7:G7"/>
    <mergeCell ref="E12:G12"/>
    <mergeCell ref="E13:G13"/>
    <mergeCell ref="E14:G14"/>
    <mergeCell ref="E15:G15"/>
    <mergeCell ref="E16:G16"/>
    <mergeCell ref="E18:G18"/>
  </mergeCells>
  <dataValidations count="2">
    <dataValidation type="date" allowBlank="1" showInputMessage="1" showErrorMessage="1" errorTitle="Date" error="Please enter a valid date" sqref="E16:G17 E28:G29 E39:G40 E50:G51" xr:uid="{00000000-0002-0000-1300-000000000000}">
      <formula1>1</formula1>
      <formula2>54789</formula2>
    </dataValidation>
    <dataValidation type="textLength" operator="lessThanOrEqual" allowBlank="1" showInputMessage="1" showErrorMessage="1" errorTitle="Give Details" error="The maximum length of text that you can enter is 300 characters" sqref="D58:G58" xr:uid="{00000000-0002-0000-1300-000001000000}">
      <formula1>300</formula1>
    </dataValidation>
  </dataValidations>
  <hyperlinks>
    <hyperlink ref="G3" location="employmentHistory!G3" display="SAVE" xr:uid="{00000000-0004-0000-1300-000000000000}"/>
    <hyperlink ref="D3" location="index!C1" display="INDEX" xr:uid="{00000000-0004-0000-1300-000001000000}"/>
  </hyperlinks>
  <pageMargins left="0.7" right="0.7" top="0.75" bottom="0.75" header="0.3" footer="0.3"/>
  <pageSetup paperSize="9" scale="8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Drop Down 1">
              <controlPr locked="0" defaultSize="0" autoLine="0" autoPict="0" macro="[0]!DropDownEmploymentHistoryLast5Yrs_Change">
                <anchor moveWithCells="1">
                  <from>
                    <xdr:col>4</xdr:col>
                    <xdr:colOff>0</xdr:colOff>
                    <xdr:row>7</xdr:row>
                    <xdr:rowOff>66675</xdr:rowOff>
                  </from>
                  <to>
                    <xdr:col>7</xdr:col>
                    <xdr:colOff>0</xdr:colOff>
                    <xdr:row>7</xdr:row>
                    <xdr:rowOff>314325</xdr:rowOff>
                  </to>
                </anchor>
              </controlPr>
            </control>
          </mc:Choice>
        </mc:AlternateContent>
        <mc:AlternateContent xmlns:mc="http://schemas.openxmlformats.org/markup-compatibility/2006">
          <mc:Choice Requires="x14">
            <control shapeId="15362" r:id="rId5" name="Drop Down 2">
              <controlPr locked="0" defaultSize="0" autoLine="0" autoPict="0">
                <anchor moveWithCells="1">
                  <from>
                    <xdr:col>4</xdr:col>
                    <xdr:colOff>0</xdr:colOff>
                    <xdr:row>10</xdr:row>
                    <xdr:rowOff>0</xdr:rowOff>
                  </from>
                  <to>
                    <xdr:col>7</xdr:col>
                    <xdr:colOff>0</xdr:colOff>
                    <xdr:row>11</xdr:row>
                    <xdr:rowOff>9525</xdr:rowOff>
                  </to>
                </anchor>
              </controlPr>
            </control>
          </mc:Choice>
        </mc:AlternateContent>
        <mc:AlternateContent xmlns:mc="http://schemas.openxmlformats.org/markup-compatibility/2006">
          <mc:Choice Requires="x14">
            <control shapeId="15363" r:id="rId6" name="Drop Down 3">
              <controlPr locked="0" defaultSize="0" autoLine="0" autoPict="0">
                <anchor moveWithCells="1">
                  <from>
                    <xdr:col>4</xdr:col>
                    <xdr:colOff>0</xdr:colOff>
                    <xdr:row>12</xdr:row>
                    <xdr:rowOff>0</xdr:rowOff>
                  </from>
                  <to>
                    <xdr:col>7</xdr:col>
                    <xdr:colOff>0</xdr:colOff>
                    <xdr:row>13</xdr:row>
                    <xdr:rowOff>9525</xdr:rowOff>
                  </to>
                </anchor>
              </controlPr>
            </control>
          </mc:Choice>
        </mc:AlternateContent>
        <mc:AlternateContent xmlns:mc="http://schemas.openxmlformats.org/markup-compatibility/2006">
          <mc:Choice Requires="x14">
            <control shapeId="15364" r:id="rId7" name="Drop Down 4">
              <controlPr locked="0" defaultSize="0" autoLine="0" autoPict="0">
                <anchor moveWithCells="1">
                  <from>
                    <xdr:col>4</xdr:col>
                    <xdr:colOff>0</xdr:colOff>
                    <xdr:row>14</xdr:row>
                    <xdr:rowOff>0</xdr:rowOff>
                  </from>
                  <to>
                    <xdr:col>7</xdr:col>
                    <xdr:colOff>0</xdr:colOff>
                    <xdr:row>15</xdr:row>
                    <xdr:rowOff>9525</xdr:rowOff>
                  </to>
                </anchor>
              </controlPr>
            </control>
          </mc:Choice>
        </mc:AlternateContent>
        <mc:AlternateContent xmlns:mc="http://schemas.openxmlformats.org/markup-compatibility/2006">
          <mc:Choice Requires="x14">
            <control shapeId="15365" r:id="rId8" name="Drop Down 5">
              <controlPr locked="0" defaultSize="0" autoLine="0" autoPict="0">
                <anchor moveWithCells="1">
                  <from>
                    <xdr:col>4</xdr:col>
                    <xdr:colOff>0</xdr:colOff>
                    <xdr:row>18</xdr:row>
                    <xdr:rowOff>66675</xdr:rowOff>
                  </from>
                  <to>
                    <xdr:col>7</xdr:col>
                    <xdr:colOff>0</xdr:colOff>
                    <xdr:row>18</xdr:row>
                    <xdr:rowOff>323850</xdr:rowOff>
                  </to>
                </anchor>
              </controlPr>
            </control>
          </mc:Choice>
        </mc:AlternateContent>
        <mc:AlternateContent xmlns:mc="http://schemas.openxmlformats.org/markup-compatibility/2006">
          <mc:Choice Requires="x14">
            <control shapeId="15366" r:id="rId9" name="Drop Down 6">
              <controlPr locked="0" defaultSize="0" autoLine="0" autoPict="0">
                <anchor moveWithCells="1">
                  <from>
                    <xdr:col>4</xdr:col>
                    <xdr:colOff>0</xdr:colOff>
                    <xdr:row>22</xdr:row>
                    <xdr:rowOff>0</xdr:rowOff>
                  </from>
                  <to>
                    <xdr:col>7</xdr:col>
                    <xdr:colOff>0</xdr:colOff>
                    <xdr:row>23</xdr:row>
                    <xdr:rowOff>9525</xdr:rowOff>
                  </to>
                </anchor>
              </controlPr>
            </control>
          </mc:Choice>
        </mc:AlternateContent>
        <mc:AlternateContent xmlns:mc="http://schemas.openxmlformats.org/markup-compatibility/2006">
          <mc:Choice Requires="x14">
            <control shapeId="15367" r:id="rId10" name="Drop Down 7">
              <controlPr locked="0" defaultSize="0" autoLine="0" autoPict="0">
                <anchor moveWithCells="1">
                  <from>
                    <xdr:col>4</xdr:col>
                    <xdr:colOff>0</xdr:colOff>
                    <xdr:row>24</xdr:row>
                    <xdr:rowOff>0</xdr:rowOff>
                  </from>
                  <to>
                    <xdr:col>7</xdr:col>
                    <xdr:colOff>0</xdr:colOff>
                    <xdr:row>25</xdr:row>
                    <xdr:rowOff>9525</xdr:rowOff>
                  </to>
                </anchor>
              </controlPr>
            </control>
          </mc:Choice>
        </mc:AlternateContent>
        <mc:AlternateContent xmlns:mc="http://schemas.openxmlformats.org/markup-compatibility/2006">
          <mc:Choice Requires="x14">
            <control shapeId="15368" r:id="rId11" name="Drop Down 8">
              <controlPr locked="0" defaultSize="0" autoLine="0" autoPict="0">
                <anchor moveWithCells="1">
                  <from>
                    <xdr:col>4</xdr:col>
                    <xdr:colOff>0</xdr:colOff>
                    <xdr:row>26</xdr:row>
                    <xdr:rowOff>0</xdr:rowOff>
                  </from>
                  <to>
                    <xdr:col>7</xdr:col>
                    <xdr:colOff>0</xdr:colOff>
                    <xdr:row>27</xdr:row>
                    <xdr:rowOff>9525</xdr:rowOff>
                  </to>
                </anchor>
              </controlPr>
            </control>
          </mc:Choice>
        </mc:AlternateContent>
        <mc:AlternateContent xmlns:mc="http://schemas.openxmlformats.org/markup-compatibility/2006">
          <mc:Choice Requires="x14">
            <control shapeId="15369" r:id="rId12" name="Drop Down 9">
              <controlPr locked="0" defaultSize="0" autoLine="0" autoPict="0">
                <anchor moveWithCells="1">
                  <from>
                    <xdr:col>4</xdr:col>
                    <xdr:colOff>0</xdr:colOff>
                    <xdr:row>30</xdr:row>
                    <xdr:rowOff>76200</xdr:rowOff>
                  </from>
                  <to>
                    <xdr:col>7</xdr:col>
                    <xdr:colOff>0</xdr:colOff>
                    <xdr:row>30</xdr:row>
                    <xdr:rowOff>333375</xdr:rowOff>
                  </to>
                </anchor>
              </controlPr>
            </control>
          </mc:Choice>
        </mc:AlternateContent>
        <mc:AlternateContent xmlns:mc="http://schemas.openxmlformats.org/markup-compatibility/2006">
          <mc:Choice Requires="x14">
            <control shapeId="15370" r:id="rId13" name="Drop Down 10">
              <controlPr locked="0" defaultSize="0" autoLine="0" autoPict="0">
                <anchor moveWithCells="1">
                  <from>
                    <xdr:col>4</xdr:col>
                    <xdr:colOff>0</xdr:colOff>
                    <xdr:row>33</xdr:row>
                    <xdr:rowOff>0</xdr:rowOff>
                  </from>
                  <to>
                    <xdr:col>7</xdr:col>
                    <xdr:colOff>0</xdr:colOff>
                    <xdr:row>34</xdr:row>
                    <xdr:rowOff>9525</xdr:rowOff>
                  </to>
                </anchor>
              </controlPr>
            </control>
          </mc:Choice>
        </mc:AlternateContent>
        <mc:AlternateContent xmlns:mc="http://schemas.openxmlformats.org/markup-compatibility/2006">
          <mc:Choice Requires="x14">
            <control shapeId="15371" r:id="rId14" name="Drop Down 11">
              <controlPr locked="0" defaultSize="0" autoLine="0" autoPict="0">
                <anchor moveWithCells="1">
                  <from>
                    <xdr:col>4</xdr:col>
                    <xdr:colOff>0</xdr:colOff>
                    <xdr:row>35</xdr:row>
                    <xdr:rowOff>0</xdr:rowOff>
                  </from>
                  <to>
                    <xdr:col>7</xdr:col>
                    <xdr:colOff>0</xdr:colOff>
                    <xdr:row>36</xdr:row>
                    <xdr:rowOff>9525</xdr:rowOff>
                  </to>
                </anchor>
              </controlPr>
            </control>
          </mc:Choice>
        </mc:AlternateContent>
        <mc:AlternateContent xmlns:mc="http://schemas.openxmlformats.org/markup-compatibility/2006">
          <mc:Choice Requires="x14">
            <control shapeId="15372" r:id="rId15" name="Drop Down 12">
              <controlPr locked="0" defaultSize="0" autoLine="0" autoPict="0">
                <anchor moveWithCells="1">
                  <from>
                    <xdr:col>4</xdr:col>
                    <xdr:colOff>0</xdr:colOff>
                    <xdr:row>37</xdr:row>
                    <xdr:rowOff>0</xdr:rowOff>
                  </from>
                  <to>
                    <xdr:col>7</xdr:col>
                    <xdr:colOff>0</xdr:colOff>
                    <xdr:row>38</xdr:row>
                    <xdr:rowOff>9525</xdr:rowOff>
                  </to>
                </anchor>
              </controlPr>
            </control>
          </mc:Choice>
        </mc:AlternateContent>
        <mc:AlternateContent xmlns:mc="http://schemas.openxmlformats.org/markup-compatibility/2006">
          <mc:Choice Requires="x14">
            <control shapeId="15373" r:id="rId16" name="Drop Down 13">
              <controlPr locked="0" defaultSize="0" autoLine="0" autoPict="0">
                <anchor moveWithCells="1">
                  <from>
                    <xdr:col>4</xdr:col>
                    <xdr:colOff>0</xdr:colOff>
                    <xdr:row>41</xdr:row>
                    <xdr:rowOff>47625</xdr:rowOff>
                  </from>
                  <to>
                    <xdr:col>7</xdr:col>
                    <xdr:colOff>0</xdr:colOff>
                    <xdr:row>41</xdr:row>
                    <xdr:rowOff>304800</xdr:rowOff>
                  </to>
                </anchor>
              </controlPr>
            </control>
          </mc:Choice>
        </mc:AlternateContent>
        <mc:AlternateContent xmlns:mc="http://schemas.openxmlformats.org/markup-compatibility/2006">
          <mc:Choice Requires="x14">
            <control shapeId="15374" r:id="rId17" name="Drop Down 14">
              <controlPr locked="0" defaultSize="0" autoLine="0" autoPict="0">
                <anchor moveWithCells="1">
                  <from>
                    <xdr:col>4</xdr:col>
                    <xdr:colOff>0</xdr:colOff>
                    <xdr:row>44</xdr:row>
                    <xdr:rowOff>0</xdr:rowOff>
                  </from>
                  <to>
                    <xdr:col>7</xdr:col>
                    <xdr:colOff>0</xdr:colOff>
                    <xdr:row>45</xdr:row>
                    <xdr:rowOff>9525</xdr:rowOff>
                  </to>
                </anchor>
              </controlPr>
            </control>
          </mc:Choice>
        </mc:AlternateContent>
        <mc:AlternateContent xmlns:mc="http://schemas.openxmlformats.org/markup-compatibility/2006">
          <mc:Choice Requires="x14">
            <control shapeId="15375" r:id="rId18" name="Drop Down 15">
              <controlPr locked="0" defaultSize="0" autoLine="0" autoPict="0">
                <anchor moveWithCells="1">
                  <from>
                    <xdr:col>4</xdr:col>
                    <xdr:colOff>0</xdr:colOff>
                    <xdr:row>46</xdr:row>
                    <xdr:rowOff>0</xdr:rowOff>
                  </from>
                  <to>
                    <xdr:col>7</xdr:col>
                    <xdr:colOff>0</xdr:colOff>
                    <xdr:row>47</xdr:row>
                    <xdr:rowOff>9525</xdr:rowOff>
                  </to>
                </anchor>
              </controlPr>
            </control>
          </mc:Choice>
        </mc:AlternateContent>
        <mc:AlternateContent xmlns:mc="http://schemas.openxmlformats.org/markup-compatibility/2006">
          <mc:Choice Requires="x14">
            <control shapeId="15376" r:id="rId19" name="Drop Down 16">
              <controlPr locked="0" defaultSize="0" autoLine="0" autoPict="0">
                <anchor moveWithCells="1">
                  <from>
                    <xdr:col>4</xdr:col>
                    <xdr:colOff>0</xdr:colOff>
                    <xdr:row>48</xdr:row>
                    <xdr:rowOff>0</xdr:rowOff>
                  </from>
                  <to>
                    <xdr:col>7</xdr:col>
                    <xdr:colOff>0</xdr:colOff>
                    <xdr:row>49</xdr:row>
                    <xdr:rowOff>9525</xdr:rowOff>
                  </to>
                </anchor>
              </controlPr>
            </control>
          </mc:Choice>
        </mc:AlternateContent>
        <mc:AlternateContent xmlns:mc="http://schemas.openxmlformats.org/markup-compatibility/2006">
          <mc:Choice Requires="x14">
            <control shapeId="15377" r:id="rId20" name="Drop Down 17">
              <controlPr locked="0" defaultSize="0" autoLine="0" autoPict="0">
                <anchor moveWithCells="1">
                  <from>
                    <xdr:col>4</xdr:col>
                    <xdr:colOff>0</xdr:colOff>
                    <xdr:row>52</xdr:row>
                    <xdr:rowOff>47625</xdr:rowOff>
                  </from>
                  <to>
                    <xdr:col>7</xdr:col>
                    <xdr:colOff>0</xdr:colOff>
                    <xdr:row>52</xdr:row>
                    <xdr:rowOff>304800</xdr:rowOff>
                  </to>
                </anchor>
              </controlPr>
            </control>
          </mc:Choice>
        </mc:AlternateContent>
        <mc:AlternateContent xmlns:mc="http://schemas.openxmlformats.org/markup-compatibility/2006">
          <mc:Choice Requires="x14">
            <control shapeId="15378" r:id="rId21" name="Drop Down 18">
              <controlPr locked="0" defaultSize="0" autoLine="0" autoPict="0" macro="[0]!DropDownPaymentToEmployerPrmApplicant_Change">
                <anchor moveWithCells="1">
                  <from>
                    <xdr:col>4</xdr:col>
                    <xdr:colOff>0</xdr:colOff>
                    <xdr:row>55</xdr:row>
                    <xdr:rowOff>266700</xdr:rowOff>
                  </from>
                  <to>
                    <xdr:col>7</xdr:col>
                    <xdr:colOff>0</xdr:colOff>
                    <xdr:row>55</xdr:row>
                    <xdr:rowOff>561975</xdr:rowOff>
                  </to>
                </anchor>
              </controlPr>
            </control>
          </mc:Choice>
        </mc:AlternateContent>
        <mc:AlternateContent xmlns:mc="http://schemas.openxmlformats.org/markup-compatibility/2006">
          <mc:Choice Requires="x14">
            <control shapeId="15385" r:id="rId22" name="Drop Down 25">
              <controlPr locked="0" defaultSize="0" autoLine="0" autoPict="0" macro="[0]!DropDownAddMoreEmploymentHistory_Change">
                <anchor moveWithCells="1">
                  <from>
                    <xdr:col>4</xdr:col>
                    <xdr:colOff>0</xdr:colOff>
                    <xdr:row>19</xdr:row>
                    <xdr:rowOff>0</xdr:rowOff>
                  </from>
                  <to>
                    <xdr:col>7</xdr:col>
                    <xdr:colOff>0</xdr:colOff>
                    <xdr:row>20</xdr:row>
                    <xdr:rowOff>9525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6">
    <tabColor theme="8" tint="0.59999389629810485"/>
    <pageSetUpPr fitToPage="1"/>
  </sheetPr>
  <dimension ref="A1:P101"/>
  <sheetViews>
    <sheetView showGridLines="0" showRowColHeaders="0" topLeftCell="C1" workbookViewId="0">
      <selection activeCell="D3" sqref="D3"/>
    </sheetView>
  </sheetViews>
  <sheetFormatPr defaultColWidth="9.33203125" defaultRowHeight="12.75"/>
  <cols>
    <col min="1" max="1" width="6" style="32" hidden="1" customWidth="1"/>
    <col min="2" max="2" width="7.1640625" style="32" hidden="1" customWidth="1"/>
    <col min="3" max="3" width="3.83203125" style="32" customWidth="1"/>
    <col min="4" max="4" width="50.83203125" style="32" customWidth="1"/>
    <col min="5" max="5" width="40.83203125" style="32" customWidth="1"/>
    <col min="6" max="7" width="10.83203125" style="32" customWidth="1"/>
    <col min="8" max="8" width="3.83203125" style="32" customWidth="1"/>
    <col min="9" max="9" width="9.33203125" style="32" customWidth="1"/>
    <col min="10" max="12" width="9.33203125" style="32" hidden="1" customWidth="1"/>
    <col min="13" max="13" width="63" style="32" hidden="1" customWidth="1"/>
    <col min="14" max="15" width="9.33203125" style="32" hidden="1" customWidth="1"/>
    <col min="16" max="16" width="9.33203125" style="32" customWidth="1"/>
    <col min="17" max="16384" width="9.33203125" style="32"/>
  </cols>
  <sheetData>
    <row r="1" spans="1:15" ht="39.950000000000003" customHeight="1">
      <c r="B1" s="106"/>
      <c r="G1" s="86"/>
      <c r="J1" s="4" t="s">
        <v>1960</v>
      </c>
      <c r="K1" s="4" t="s">
        <v>1960</v>
      </c>
      <c r="L1" s="4" t="s">
        <v>1960</v>
      </c>
      <c r="M1" s="4" t="s">
        <v>1960</v>
      </c>
      <c r="N1" s="4" t="s">
        <v>1960</v>
      </c>
      <c r="O1" s="4" t="s">
        <v>1960</v>
      </c>
    </row>
    <row r="2" spans="1:15" s="78" customFormat="1" ht="39.950000000000003" customHeight="1">
      <c r="B2" s="159"/>
      <c r="D2" s="212" t="s">
        <v>8</v>
      </c>
      <c r="E2" s="212"/>
      <c r="F2" s="212"/>
      <c r="G2" s="212"/>
      <c r="J2" s="79" t="s">
        <v>1965</v>
      </c>
      <c r="K2" s="79"/>
      <c r="L2" s="79"/>
      <c r="M2" s="79"/>
      <c r="N2" s="79"/>
      <c r="O2" s="79"/>
    </row>
    <row r="3" spans="1:15" ht="30" customHeight="1">
      <c r="B3" s="106"/>
      <c r="D3" s="120" t="s">
        <v>40</v>
      </c>
      <c r="F3" s="88"/>
      <c r="G3" s="88" t="s">
        <v>1224</v>
      </c>
      <c r="J3" s="4" t="s">
        <v>1961</v>
      </c>
      <c r="K3" s="4" t="s">
        <v>1962</v>
      </c>
      <c r="L3" s="4" t="s">
        <v>1963</v>
      </c>
      <c r="M3" s="4" t="s">
        <v>1964</v>
      </c>
      <c r="N3" s="4"/>
      <c r="O3" s="4"/>
    </row>
    <row r="4" spans="1:15" ht="30" customHeight="1">
      <c r="B4" s="106"/>
      <c r="C4" s="70"/>
      <c r="D4" s="184" t="s">
        <v>155</v>
      </c>
      <c r="E4" s="184"/>
      <c r="F4" s="184"/>
      <c r="G4" s="184"/>
      <c r="H4" s="70"/>
      <c r="J4" s="4"/>
      <c r="K4" s="125">
        <f>IF(N4=O4,1,0)</f>
        <v>0</v>
      </c>
      <c r="L4" s="4"/>
      <c r="M4" s="4"/>
      <c r="N4" s="4">
        <f>SUM(N6:N104)</f>
        <v>18</v>
      </c>
      <c r="O4" s="4">
        <f>SUM(O6:O104)</f>
        <v>0</v>
      </c>
    </row>
    <row r="5" spans="1:15" ht="18">
      <c r="B5" s="106"/>
      <c r="D5" s="5"/>
      <c r="E5" s="5"/>
      <c r="J5" s="4"/>
      <c r="K5" s="4"/>
      <c r="L5" s="4"/>
      <c r="M5" s="4"/>
      <c r="N5" s="4"/>
      <c r="O5" s="4"/>
    </row>
    <row r="6" spans="1:15" s="34" customFormat="1" ht="50.1" customHeight="1">
      <c r="A6" s="113"/>
      <c r="B6" s="113">
        <v>1</v>
      </c>
      <c r="C6" s="74" t="s">
        <v>1912</v>
      </c>
      <c r="D6" s="37" t="s">
        <v>210</v>
      </c>
      <c r="E6" s="342"/>
      <c r="F6" s="343"/>
      <c r="G6" s="344"/>
      <c r="J6" s="103">
        <v>1</v>
      </c>
      <c r="K6" s="129">
        <f>IF(B6=1,0,1)</f>
        <v>0</v>
      </c>
      <c r="L6" s="127">
        <f>IF(A6="Hide",1,IF($J$6=1,B6,1))</f>
        <v>1</v>
      </c>
      <c r="M6" s="52" t="str">
        <f>formData!B612</f>
        <v>CHARACTER_DECLARATIONS_ANY_OFFENCE_AWAITING</v>
      </c>
      <c r="N6" s="6">
        <f>IF(J6=1,1,0)</f>
        <v>1</v>
      </c>
      <c r="O6" s="6">
        <f>+J6*K6</f>
        <v>0</v>
      </c>
    </row>
    <row r="7" spans="1:15" s="34" customFormat="1" ht="20.100000000000001" hidden="1" customHeight="1">
      <c r="A7" s="106" t="str">
        <f>IF($B$6=2,"Show","HIDE")</f>
        <v>HIDE</v>
      </c>
      <c r="B7" s="113"/>
      <c r="C7" s="74"/>
      <c r="D7" s="315" t="s">
        <v>1996</v>
      </c>
      <c r="E7" s="287"/>
      <c r="F7" s="287"/>
      <c r="G7" s="288"/>
      <c r="M7" s="52"/>
      <c r="N7" s="6">
        <f t="shared" ref="N7:N13" si="0">IF(J7=1,1,0)</f>
        <v>0</v>
      </c>
      <c r="O7" s="6">
        <f t="shared" ref="O7:O13" si="1">+J7*K7</f>
        <v>0</v>
      </c>
    </row>
    <row r="8" spans="1:15" s="34" customFormat="1" ht="20.100000000000001" hidden="1" customHeight="1">
      <c r="A8" s="113" t="str">
        <f>A7</f>
        <v>HIDE</v>
      </c>
      <c r="B8" s="113">
        <v>2</v>
      </c>
      <c r="C8" s="74" t="s">
        <v>1912</v>
      </c>
      <c r="D8" s="181" t="s">
        <v>1997</v>
      </c>
      <c r="E8" s="345"/>
      <c r="F8" s="346"/>
      <c r="G8" s="347"/>
      <c r="J8" s="6">
        <f t="shared" ref="J8:J9" si="2">IF($C8="*",IF($A8="Hide",0,$J$6),0)</f>
        <v>0</v>
      </c>
      <c r="K8" s="129">
        <f t="shared" ref="K8:K9" si="3">IF(B8=1,0,1)</f>
        <v>1</v>
      </c>
      <c r="L8" s="127">
        <f t="shared" ref="L8:L9" si="4">IF(A8="Hide",1,IF($J$6=1,B8,1))</f>
        <v>1</v>
      </c>
      <c r="M8" s="131" t="str">
        <f>formData!B613</f>
        <v>CHARACTER_DECLARATIONS_ANY_OFFENCE_AWAITING_NAME</v>
      </c>
      <c r="N8" s="6">
        <f t="shared" ref="N8:N12" si="5">IF(J8=1,1,0)</f>
        <v>0</v>
      </c>
      <c r="O8" s="6">
        <f t="shared" ref="O8:O12" si="6">+J8*K8</f>
        <v>0</v>
      </c>
    </row>
    <row r="9" spans="1:15" s="34" customFormat="1" ht="20.100000000000001" hidden="1" customHeight="1">
      <c r="A9" s="113" t="str">
        <f>A8</f>
        <v>HIDE</v>
      </c>
      <c r="B9" s="113">
        <v>1</v>
      </c>
      <c r="C9" s="74" t="s">
        <v>1912</v>
      </c>
      <c r="D9" s="181" t="s">
        <v>1998</v>
      </c>
      <c r="E9" s="345"/>
      <c r="F9" s="346"/>
      <c r="G9" s="347"/>
      <c r="J9" s="6">
        <f t="shared" si="2"/>
        <v>0</v>
      </c>
      <c r="K9" s="129">
        <f t="shared" si="3"/>
        <v>0</v>
      </c>
      <c r="L9" s="127">
        <f t="shared" si="4"/>
        <v>1</v>
      </c>
      <c r="M9" s="131" t="str">
        <f>formData!B614</f>
        <v>CHARACTER_DECLARATIONS_ANY_OFFENCE_AWAITING_OFFENCE_TYPE</v>
      </c>
      <c r="N9" s="6">
        <f t="shared" si="5"/>
        <v>0</v>
      </c>
      <c r="O9" s="6">
        <f t="shared" si="6"/>
        <v>0</v>
      </c>
    </row>
    <row r="10" spans="1:15" s="34" customFormat="1" ht="20.100000000000001" hidden="1" customHeight="1">
      <c r="A10" s="113" t="str">
        <f>A9</f>
        <v>HIDE</v>
      </c>
      <c r="B10" s="113"/>
      <c r="C10" s="74" t="s">
        <v>1912</v>
      </c>
      <c r="D10" s="181" t="s">
        <v>2024</v>
      </c>
      <c r="E10" s="219"/>
      <c r="F10" s="220"/>
      <c r="G10" s="221"/>
      <c r="H10" s="6"/>
      <c r="I10" s="6"/>
      <c r="J10" s="6">
        <f>IF($C10="*",IF($A10="Hide",0,$J$6),0)</f>
        <v>0</v>
      </c>
      <c r="K10" s="130">
        <f>IF(LEN(E10)=0,0,1)</f>
        <v>0</v>
      </c>
      <c r="L10" s="126">
        <f>IF(A10="Hide",0,IF($J$7=1,E10,0))</f>
        <v>0</v>
      </c>
      <c r="M10" s="131" t="str">
        <f>formData!B615</f>
        <v>CHARACTER_DECLARATIONS_ANY_OFFENCE_AWAITING_DATE_OF_OFFENCE</v>
      </c>
      <c r="N10" s="6">
        <f t="shared" si="5"/>
        <v>0</v>
      </c>
      <c r="O10" s="6">
        <f t="shared" si="6"/>
        <v>0</v>
      </c>
    </row>
    <row r="11" spans="1:15" s="34" customFormat="1" ht="20.100000000000001" hidden="1" customHeight="1">
      <c r="A11" s="113" t="str">
        <f>A10</f>
        <v>HIDE</v>
      </c>
      <c r="B11" s="113"/>
      <c r="C11" s="74" t="s">
        <v>1912</v>
      </c>
      <c r="D11" s="315" t="s">
        <v>1999</v>
      </c>
      <c r="E11" s="287"/>
      <c r="F11" s="287"/>
      <c r="G11" s="288"/>
      <c r="M11" s="52"/>
      <c r="N11" s="6">
        <f t="shared" si="5"/>
        <v>0</v>
      </c>
      <c r="O11" s="6">
        <f t="shared" si="6"/>
        <v>0</v>
      </c>
    </row>
    <row r="12" spans="1:15" s="34" customFormat="1" ht="60" hidden="1" customHeight="1">
      <c r="A12" s="113" t="str">
        <f>A11</f>
        <v>HIDE</v>
      </c>
      <c r="B12" s="113"/>
      <c r="D12" s="258"/>
      <c r="E12" s="259"/>
      <c r="F12" s="259"/>
      <c r="G12" s="260"/>
      <c r="J12" s="157">
        <f>IF($C11="*",IF($A12="Hide",0,$J$6),0)</f>
        <v>0</v>
      </c>
      <c r="K12" s="158">
        <f>IF(LEN(D12)=0,0,1)</f>
        <v>0</v>
      </c>
      <c r="L12" s="157">
        <f>IF(A12="Hide",0,IF($J$6=1,D12,0))</f>
        <v>0</v>
      </c>
      <c r="M12" s="52" t="str">
        <f>formData!B616</f>
        <v>CHARACTER_DECLARATIONS_ANY_OFFENCE_AWAITING_GIVE_DETAILS</v>
      </c>
      <c r="N12" s="6">
        <f t="shared" si="5"/>
        <v>0</v>
      </c>
      <c r="O12" s="6">
        <f t="shared" si="6"/>
        <v>0</v>
      </c>
    </row>
    <row r="13" spans="1:15" s="34" customFormat="1" ht="59.1" customHeight="1">
      <c r="A13" s="113"/>
      <c r="B13" s="113">
        <v>1</v>
      </c>
      <c r="C13" s="74" t="s">
        <v>1912</v>
      </c>
      <c r="D13" s="31" t="s">
        <v>156</v>
      </c>
      <c r="E13" s="342"/>
      <c r="F13" s="343"/>
      <c r="G13" s="344"/>
      <c r="J13" s="6">
        <f>IF($C13="*",IF($A13="Hide",0,$J$6),0)</f>
        <v>1</v>
      </c>
      <c r="K13" s="129">
        <f>IF(B13=1,0,1)</f>
        <v>0</v>
      </c>
      <c r="L13" s="127">
        <f>IF(A14="Hide",1,IF($J$6=1,B13,1))</f>
        <v>1</v>
      </c>
      <c r="M13" s="52" t="str">
        <f>formData!B617</f>
        <v>CHARACTER_DECLARATIONS_ANY_OFFENCE_REMOVED</v>
      </c>
      <c r="N13" s="6">
        <f t="shared" si="0"/>
        <v>1</v>
      </c>
      <c r="O13" s="6">
        <f t="shared" si="1"/>
        <v>0</v>
      </c>
    </row>
    <row r="14" spans="1:15" s="34" customFormat="1" ht="20.100000000000001" hidden="1" customHeight="1">
      <c r="A14" s="106" t="str">
        <f>IF($B$13=2,"Show","HIDE")</f>
        <v>HIDE</v>
      </c>
      <c r="B14" s="113"/>
      <c r="C14" s="74"/>
      <c r="D14" s="315" t="s">
        <v>1996</v>
      </c>
      <c r="E14" s="287"/>
      <c r="F14" s="287"/>
      <c r="G14" s="288"/>
      <c r="M14" s="52"/>
      <c r="N14" s="6">
        <f t="shared" ref="N14:N78" si="7">IF(J14=1,1,0)</f>
        <v>0</v>
      </c>
      <c r="O14" s="6">
        <f t="shared" ref="O14:O78" si="8">+J14*K14</f>
        <v>0</v>
      </c>
    </row>
    <row r="15" spans="1:15" s="34" customFormat="1" ht="20.100000000000001" hidden="1" customHeight="1">
      <c r="A15" s="106" t="str">
        <f>A14</f>
        <v>HIDE</v>
      </c>
      <c r="B15" s="113">
        <v>1</v>
      </c>
      <c r="C15" s="74" t="s">
        <v>1912</v>
      </c>
      <c r="D15" s="181" t="s">
        <v>1997</v>
      </c>
      <c r="E15" s="345"/>
      <c r="F15" s="346"/>
      <c r="G15" s="347"/>
      <c r="J15" s="6">
        <f t="shared" ref="J15:J16" si="9">IF($C15="*",IF($A15="Hide",0,$J$6),0)</f>
        <v>0</v>
      </c>
      <c r="K15" s="129">
        <f t="shared" ref="K15:K16" si="10">IF(B15=1,0,1)</f>
        <v>0</v>
      </c>
      <c r="L15" s="127">
        <f t="shared" ref="L15:L16" si="11">IF(A15="Hide",1,IF($J$6=1,B15,1))</f>
        <v>1</v>
      </c>
      <c r="M15" s="131" t="str">
        <f>formData!B618</f>
        <v>CHARACTER_DECLARATIONS_ANY_OFFENCE_REMOVED_NAME</v>
      </c>
      <c r="N15" s="6">
        <f t="shared" si="7"/>
        <v>0</v>
      </c>
      <c r="O15" s="6">
        <f t="shared" si="8"/>
        <v>0</v>
      </c>
    </row>
    <row r="16" spans="1:15" s="34" customFormat="1" ht="20.100000000000001" hidden="1" customHeight="1">
      <c r="A16" s="106" t="str">
        <f>A15</f>
        <v>HIDE</v>
      </c>
      <c r="B16" s="113">
        <v>1</v>
      </c>
      <c r="C16" s="74" t="s">
        <v>1912</v>
      </c>
      <c r="D16" s="181" t="s">
        <v>1998</v>
      </c>
      <c r="E16" s="345"/>
      <c r="F16" s="346"/>
      <c r="G16" s="347"/>
      <c r="J16" s="6">
        <f t="shared" si="9"/>
        <v>0</v>
      </c>
      <c r="K16" s="129">
        <f t="shared" si="10"/>
        <v>0</v>
      </c>
      <c r="L16" s="127">
        <f t="shared" si="11"/>
        <v>1</v>
      </c>
      <c r="M16" s="131" t="str">
        <f>formData!B619</f>
        <v>CHARACTER_DECLARATIONS_ANY_OFFENCE_REMOVED_OFFENCE_TYPE</v>
      </c>
      <c r="N16" s="6">
        <f t="shared" si="7"/>
        <v>0</v>
      </c>
      <c r="O16" s="6">
        <f t="shared" si="8"/>
        <v>0</v>
      </c>
    </row>
    <row r="17" spans="1:15" s="34" customFormat="1" ht="20.100000000000001" hidden="1" customHeight="1">
      <c r="A17" s="106" t="str">
        <f>A16</f>
        <v>HIDE</v>
      </c>
      <c r="B17" s="113"/>
      <c r="C17" s="74" t="s">
        <v>1912</v>
      </c>
      <c r="D17" s="181" t="s">
        <v>2024</v>
      </c>
      <c r="E17" s="348"/>
      <c r="F17" s="349"/>
      <c r="G17" s="350"/>
      <c r="J17" s="6">
        <f>IF($C17="*",IF($A17="Hide",0,$J$6),0)</f>
        <v>0</v>
      </c>
      <c r="K17" s="130">
        <f>IF(LEN(E17)=0,0,1)</f>
        <v>0</v>
      </c>
      <c r="L17" s="126">
        <f>IF(A17="Hide",0,IF($J$7=1,E17,0))</f>
        <v>0</v>
      </c>
      <c r="M17" s="131" t="str">
        <f>formData!B620</f>
        <v>CHARACTER_DECLARATIONS_ANY_OFFENCE_REMOVED_DATE_OF_OFFENCE</v>
      </c>
      <c r="N17" s="6">
        <f t="shared" si="7"/>
        <v>0</v>
      </c>
      <c r="O17" s="6">
        <f t="shared" si="8"/>
        <v>0</v>
      </c>
    </row>
    <row r="18" spans="1:15" s="34" customFormat="1" ht="20.100000000000001" hidden="1" customHeight="1">
      <c r="A18" s="106" t="str">
        <f>A17</f>
        <v>HIDE</v>
      </c>
      <c r="B18" s="113"/>
      <c r="C18" s="74" t="s">
        <v>1912</v>
      </c>
      <c r="D18" s="315" t="s">
        <v>1999</v>
      </c>
      <c r="E18" s="287"/>
      <c r="F18" s="287"/>
      <c r="G18" s="288"/>
      <c r="M18" s="52"/>
      <c r="N18" s="6">
        <f t="shared" si="7"/>
        <v>0</v>
      </c>
      <c r="O18" s="6">
        <f t="shared" si="8"/>
        <v>0</v>
      </c>
    </row>
    <row r="19" spans="1:15" s="34" customFormat="1" ht="60" hidden="1" customHeight="1">
      <c r="A19" s="106" t="str">
        <f>A18</f>
        <v>HIDE</v>
      </c>
      <c r="B19" s="113"/>
      <c r="D19" s="258"/>
      <c r="E19" s="259"/>
      <c r="F19" s="259"/>
      <c r="G19" s="260"/>
      <c r="J19" s="157">
        <f>IF($C18="*",IF($A19="Hide",0,$J$6),0)</f>
        <v>0</v>
      </c>
      <c r="K19" s="158">
        <f>IF(LEN(D19)=0,0,1)</f>
        <v>0</v>
      </c>
      <c r="L19" s="157">
        <f>IF(A19="Hide",0,IF($J$6=1,D19,0))</f>
        <v>0</v>
      </c>
      <c r="M19" s="52" t="str">
        <f>formData!B621</f>
        <v>CHARACTER_DECLARATIONS_ANY_OFFENCE_REMOVED_GIVE_DETAILS</v>
      </c>
      <c r="N19" s="6">
        <f t="shared" si="7"/>
        <v>0</v>
      </c>
      <c r="O19" s="6">
        <f t="shared" si="8"/>
        <v>0</v>
      </c>
    </row>
    <row r="20" spans="1:15" s="34" customFormat="1" ht="80.25" customHeight="1">
      <c r="A20" s="113"/>
      <c r="B20" s="113">
        <v>1</v>
      </c>
      <c r="C20" s="74" t="s">
        <v>1912</v>
      </c>
      <c r="D20" s="31" t="s">
        <v>2025</v>
      </c>
      <c r="E20" s="351"/>
      <c r="F20" s="352"/>
      <c r="G20" s="353"/>
      <c r="J20" s="6">
        <f>IF($C20="*",IF($A20="Hide",0,$J$6),0)</f>
        <v>1</v>
      </c>
      <c r="K20" s="129">
        <f>IF(B20=1,0,1)</f>
        <v>0</v>
      </c>
      <c r="L20" s="127">
        <f>IF(A21="Hide",1,IF($J$6=1,B20,1))</f>
        <v>1</v>
      </c>
      <c r="M20" s="52" t="str">
        <f>formData!B622</f>
        <v>CHARACTER_DECLARATIONS_ANY_DOMESTIC_VIOLENCE</v>
      </c>
      <c r="N20" s="6">
        <f t="shared" si="7"/>
        <v>1</v>
      </c>
      <c r="O20" s="6">
        <f t="shared" si="8"/>
        <v>0</v>
      </c>
    </row>
    <row r="21" spans="1:15" s="34" customFormat="1" ht="20.100000000000001" hidden="1" customHeight="1">
      <c r="A21" s="106" t="str">
        <f>IF($B$20=2,"Show","HIDE")</f>
        <v>HIDE</v>
      </c>
      <c r="B21" s="113"/>
      <c r="D21" s="315" t="s">
        <v>2026</v>
      </c>
      <c r="E21" s="287"/>
      <c r="F21" s="287"/>
      <c r="G21" s="288"/>
      <c r="N21" s="6">
        <f t="shared" si="7"/>
        <v>0</v>
      </c>
      <c r="O21" s="6">
        <f t="shared" si="8"/>
        <v>0</v>
      </c>
    </row>
    <row r="22" spans="1:15" s="34" customFormat="1" ht="20.100000000000001" hidden="1" customHeight="1">
      <c r="A22" s="106" t="str">
        <f>A21</f>
        <v>HIDE</v>
      </c>
      <c r="B22" s="113">
        <v>1</v>
      </c>
      <c r="C22" s="74" t="s">
        <v>1912</v>
      </c>
      <c r="D22" s="181" t="s">
        <v>1997</v>
      </c>
      <c r="E22" s="345"/>
      <c r="F22" s="346"/>
      <c r="G22" s="347"/>
      <c r="J22" s="6">
        <f>IF($C22="*",IF($A22="Hide",0,$J$6),0)</f>
        <v>0</v>
      </c>
      <c r="K22" s="129">
        <f t="shared" ref="K22" si="12">IF(B22=1,0,1)</f>
        <v>0</v>
      </c>
      <c r="L22" s="127">
        <f t="shared" ref="L22" si="13">IF(A22="Hide",1,IF($J$6=1,B22,1))</f>
        <v>1</v>
      </c>
      <c r="M22" s="52" t="str">
        <f>formData!B623</f>
        <v>CHARACTER_DECLARATIONS_ANY_DOMESTIC_VIOLENCE_NAME</v>
      </c>
      <c r="N22" s="6">
        <f t="shared" si="7"/>
        <v>0</v>
      </c>
      <c r="O22" s="6">
        <f t="shared" si="8"/>
        <v>0</v>
      </c>
    </row>
    <row r="23" spans="1:15" s="34" customFormat="1" ht="20.100000000000001" hidden="1" customHeight="1">
      <c r="A23" s="106" t="str">
        <f>A22</f>
        <v>HIDE</v>
      </c>
      <c r="B23" s="113"/>
      <c r="C23" s="74" t="s">
        <v>1912</v>
      </c>
      <c r="D23" s="181" t="s">
        <v>2027</v>
      </c>
      <c r="E23" s="348"/>
      <c r="F23" s="349"/>
      <c r="G23" s="350"/>
      <c r="J23" s="6">
        <f>IF($C23="*",IF($A23="Hide",0,$J$6),0)</f>
        <v>0</v>
      </c>
      <c r="K23" s="130">
        <f>IF(LEN(E23)=0,0,1)</f>
        <v>0</v>
      </c>
      <c r="L23" s="126">
        <f>IF(A23="Hide",0,IF($J$7=1,E23,0))</f>
        <v>0</v>
      </c>
      <c r="M23" s="52" t="str">
        <f>formData!B624</f>
        <v>CHARACTER_DECLARATIONS_ANY_DOMESTIC_VIOLENCE_DATE_OF_ORDER</v>
      </c>
      <c r="N23" s="6">
        <f t="shared" ref="N23:N26" si="14">IF(J23=1,1,0)</f>
        <v>0</v>
      </c>
      <c r="O23" s="6">
        <f t="shared" ref="O23:O26" si="15">+J23*K23</f>
        <v>0</v>
      </c>
    </row>
    <row r="24" spans="1:15" s="34" customFormat="1" ht="20.100000000000001" hidden="1" customHeight="1">
      <c r="A24" s="106" t="str">
        <f>A23</f>
        <v>HIDE</v>
      </c>
      <c r="B24" s="113"/>
      <c r="C24" s="74" t="s">
        <v>1912</v>
      </c>
      <c r="D24" s="315" t="s">
        <v>2028</v>
      </c>
      <c r="E24" s="287"/>
      <c r="F24" s="287"/>
      <c r="G24" s="288"/>
      <c r="N24" s="6">
        <f t="shared" si="14"/>
        <v>0</v>
      </c>
      <c r="O24" s="6">
        <f t="shared" si="15"/>
        <v>0</v>
      </c>
    </row>
    <row r="25" spans="1:15" s="34" customFormat="1" ht="60" hidden="1" customHeight="1">
      <c r="A25" s="106" t="str">
        <f>A24</f>
        <v>HIDE</v>
      </c>
      <c r="B25" s="113"/>
      <c r="C25" s="74"/>
      <c r="D25" s="258"/>
      <c r="E25" s="259"/>
      <c r="F25" s="259"/>
      <c r="G25" s="260"/>
      <c r="J25" s="157">
        <f>IF($C24="*",IF($A25="Hide",0,$J$6),0)</f>
        <v>0</v>
      </c>
      <c r="K25" s="158">
        <f>IF(LEN(D25)=0,0,1)</f>
        <v>0</v>
      </c>
      <c r="L25" s="157">
        <f>IF(A25="Hide",0,IF($J$6=1,D25,0))</f>
        <v>0</v>
      </c>
      <c r="M25" s="52" t="str">
        <f>formData!B625</f>
        <v>CHARACTER_DECLARATIONS_ANY_DOMESTIC_VIOLENCE_GIVE_DETAILS</v>
      </c>
      <c r="N25" s="6">
        <f t="shared" si="14"/>
        <v>0</v>
      </c>
      <c r="O25" s="6">
        <f t="shared" si="15"/>
        <v>0</v>
      </c>
    </row>
    <row r="26" spans="1:15" s="34" customFormat="1" ht="44.25" customHeight="1">
      <c r="A26" s="113"/>
      <c r="B26" s="113">
        <v>1</v>
      </c>
      <c r="C26" s="74" t="s">
        <v>1912</v>
      </c>
      <c r="D26" s="31" t="s">
        <v>157</v>
      </c>
      <c r="E26" s="342"/>
      <c r="F26" s="343"/>
      <c r="G26" s="344"/>
      <c r="J26" s="6">
        <f>IF($C26="*",IF($A26="Hide",0,$J$6),0)</f>
        <v>1</v>
      </c>
      <c r="K26" s="129">
        <f>IF(B26=1,0,1)</f>
        <v>0</v>
      </c>
      <c r="L26" s="127">
        <f>IF(A26="Hide",1,IF($J$6=1,B26,1))</f>
        <v>1</v>
      </c>
      <c r="M26" s="52" t="str">
        <f>formData!B626</f>
        <v>CHARACTER_DECLARATIONS_ARREST</v>
      </c>
      <c r="N26" s="6">
        <f t="shared" si="14"/>
        <v>1</v>
      </c>
      <c r="O26" s="6">
        <f t="shared" si="15"/>
        <v>0</v>
      </c>
    </row>
    <row r="27" spans="1:15" s="34" customFormat="1" ht="20.100000000000001" customHeight="1">
      <c r="A27" s="113"/>
      <c r="B27" s="113"/>
      <c r="D27" s="315" t="s">
        <v>121</v>
      </c>
      <c r="E27" s="287"/>
      <c r="F27" s="287"/>
      <c r="G27" s="288"/>
      <c r="M27" s="52"/>
      <c r="N27" s="6">
        <f t="shared" si="7"/>
        <v>0</v>
      </c>
      <c r="O27" s="6">
        <f t="shared" si="8"/>
        <v>0</v>
      </c>
    </row>
    <row r="28" spans="1:15" s="34" customFormat="1" ht="60" customHeight="1">
      <c r="A28" s="113"/>
      <c r="B28" s="113"/>
      <c r="D28" s="258"/>
      <c r="E28" s="259"/>
      <c r="F28" s="259"/>
      <c r="G28" s="260"/>
      <c r="J28" s="157">
        <f>IF($C28="*",IF($A28="Hide",0,$J$6),0)</f>
        <v>0</v>
      </c>
      <c r="K28" s="158">
        <f>IF(LEN(D28)=0,0,1)</f>
        <v>0</v>
      </c>
      <c r="L28" s="157">
        <f>IF(A28="Hide",0,IF($J$6=1,D28,0))</f>
        <v>0</v>
      </c>
      <c r="M28" s="52" t="str">
        <f>formData!B627</f>
        <v>CHARACTER_DECLARATIONS_ARREST_GIVE_DETAILS</v>
      </c>
      <c r="N28" s="6">
        <f t="shared" si="7"/>
        <v>0</v>
      </c>
      <c r="O28" s="6">
        <f t="shared" si="8"/>
        <v>0</v>
      </c>
    </row>
    <row r="29" spans="1:15" s="34" customFormat="1" ht="60" customHeight="1">
      <c r="A29" s="113"/>
      <c r="B29" s="113">
        <v>1</v>
      </c>
      <c r="C29" s="74" t="s">
        <v>1912</v>
      </c>
      <c r="D29" s="31" t="s">
        <v>158</v>
      </c>
      <c r="E29" s="342"/>
      <c r="F29" s="343"/>
      <c r="G29" s="344"/>
      <c r="J29" s="6">
        <f>IF($C29="*",IF($A29="Hide",0,$J$6),0)</f>
        <v>1</v>
      </c>
      <c r="K29" s="129">
        <f>IF(B29=1,0,1)</f>
        <v>0</v>
      </c>
      <c r="L29" s="127">
        <f>IF(A29="Hide",1,IF($J$6=1,B29,1))</f>
        <v>1</v>
      </c>
      <c r="M29" s="52" t="str">
        <f>formData!B628</f>
        <v>CHARACTER_DECLARATIONS_GUILTY_SEX_CHILD</v>
      </c>
      <c r="N29" s="6">
        <f t="shared" si="7"/>
        <v>1</v>
      </c>
      <c r="O29" s="6">
        <f t="shared" si="8"/>
        <v>0</v>
      </c>
    </row>
    <row r="30" spans="1:15" s="34" customFormat="1" ht="20.100000000000001" customHeight="1">
      <c r="A30" s="113"/>
      <c r="B30" s="113"/>
      <c r="D30" s="315" t="s">
        <v>121</v>
      </c>
      <c r="E30" s="287"/>
      <c r="F30" s="287"/>
      <c r="G30" s="288"/>
      <c r="M30" s="52"/>
      <c r="N30" s="6">
        <f t="shared" si="7"/>
        <v>0</v>
      </c>
      <c r="O30" s="6">
        <f t="shared" si="8"/>
        <v>0</v>
      </c>
    </row>
    <row r="31" spans="1:15" s="34" customFormat="1" ht="60" customHeight="1">
      <c r="A31" s="113"/>
      <c r="B31" s="113"/>
      <c r="D31" s="258"/>
      <c r="E31" s="259"/>
      <c r="F31" s="259"/>
      <c r="G31" s="260"/>
      <c r="J31" s="157">
        <f>IF($C31="*",IF($A31="Hide",0,$J$6),0)</f>
        <v>0</v>
      </c>
      <c r="K31" s="158">
        <f>IF(LEN(D31)=0,0,1)</f>
        <v>0</v>
      </c>
      <c r="L31" s="157">
        <f>IF(A31="Hide",0,IF($J$6=1,D31,0))</f>
        <v>0</v>
      </c>
      <c r="M31" s="52" t="str">
        <f>formData!B629</f>
        <v>CHARACTER_DECLARATIONS_GUILTY_SEX_CHILD_GIVE_DETAILS</v>
      </c>
      <c r="N31" s="6">
        <f t="shared" si="7"/>
        <v>0</v>
      </c>
      <c r="O31" s="6">
        <f t="shared" si="8"/>
        <v>0</v>
      </c>
    </row>
    <row r="32" spans="1:15" s="34" customFormat="1" ht="32.450000000000003" customHeight="1">
      <c r="A32" s="113"/>
      <c r="B32" s="113">
        <v>1</v>
      </c>
      <c r="C32" s="74" t="s">
        <v>1912</v>
      </c>
      <c r="D32" s="31" t="s">
        <v>159</v>
      </c>
      <c r="E32" s="342"/>
      <c r="F32" s="343"/>
      <c r="G32" s="344"/>
      <c r="J32" s="6">
        <f>IF($C32="*",IF($A32="Hide",0,$J$6),0)</f>
        <v>1</v>
      </c>
      <c r="K32" s="129">
        <f>IF(B32=1,0,1)</f>
        <v>0</v>
      </c>
      <c r="L32" s="127">
        <f>IF(A32="Hide",1,IF($J$6=1,B32,1))</f>
        <v>1</v>
      </c>
      <c r="M32" s="52" t="str">
        <f>formData!B630</f>
        <v>CHARACTER_DECLARATIONS_SEX_OFFENDER</v>
      </c>
      <c r="N32" s="6">
        <f t="shared" si="7"/>
        <v>1</v>
      </c>
      <c r="O32" s="6">
        <f t="shared" si="8"/>
        <v>0</v>
      </c>
    </row>
    <row r="33" spans="1:15" s="34" customFormat="1" ht="20.100000000000001" customHeight="1">
      <c r="A33" s="113"/>
      <c r="B33" s="113"/>
      <c r="D33" s="315" t="s">
        <v>121</v>
      </c>
      <c r="E33" s="287"/>
      <c r="F33" s="287"/>
      <c r="G33" s="288"/>
      <c r="M33" s="52"/>
      <c r="N33" s="6">
        <f t="shared" si="7"/>
        <v>0</v>
      </c>
      <c r="O33" s="6">
        <f t="shared" si="8"/>
        <v>0</v>
      </c>
    </row>
    <row r="34" spans="1:15" s="34" customFormat="1" ht="60" customHeight="1">
      <c r="A34" s="113"/>
      <c r="B34" s="113"/>
      <c r="D34" s="258"/>
      <c r="E34" s="259"/>
      <c r="F34" s="259"/>
      <c r="G34" s="260"/>
      <c r="J34" s="157">
        <f>IF($C34="*",IF($A34="Hide",0,$J$6),0)</f>
        <v>0</v>
      </c>
      <c r="K34" s="158">
        <f>IF(LEN(D34)=0,0,1)</f>
        <v>0</v>
      </c>
      <c r="L34" s="157">
        <f>IF(A34="Hide",0,IF($J$6=1,D34,0))</f>
        <v>0</v>
      </c>
      <c r="M34" s="52" t="str">
        <f>formData!B631</f>
        <v>CHARACTER_DECLARATIONS_SEX_OFFENDER_GIVE_DETAILS</v>
      </c>
      <c r="N34" s="6">
        <f t="shared" si="7"/>
        <v>0</v>
      </c>
      <c r="O34" s="6">
        <f t="shared" si="8"/>
        <v>0</v>
      </c>
    </row>
    <row r="35" spans="1:15" s="34" customFormat="1" ht="50.1" customHeight="1">
      <c r="A35" s="113"/>
      <c r="B35" s="113">
        <v>1</v>
      </c>
      <c r="C35" s="74" t="s">
        <v>1912</v>
      </c>
      <c r="D35" s="31" t="s">
        <v>160</v>
      </c>
      <c r="E35" s="342"/>
      <c r="F35" s="343"/>
      <c r="G35" s="344"/>
      <c r="J35" s="6">
        <f>IF($C35="*",IF($A35="Hide",0,$J$6),0)</f>
        <v>1</v>
      </c>
      <c r="K35" s="129">
        <f>IF(B35=1,0,1)</f>
        <v>0</v>
      </c>
      <c r="L35" s="127">
        <f>IF(A35="Hide",1,IF($J$6=1,B35,1))</f>
        <v>1</v>
      </c>
      <c r="M35" s="52" t="str">
        <f>formData!B632</f>
        <v>CHARACTER_DECLARATIONS_ANY_OFFENCE_INSANITY</v>
      </c>
      <c r="N35" s="6">
        <f t="shared" si="7"/>
        <v>1</v>
      </c>
      <c r="O35" s="6">
        <f t="shared" si="8"/>
        <v>0</v>
      </c>
    </row>
    <row r="36" spans="1:15" s="34" customFormat="1" ht="20.100000000000001" customHeight="1">
      <c r="A36" s="113"/>
      <c r="B36" s="113"/>
      <c r="D36" s="315" t="s">
        <v>121</v>
      </c>
      <c r="E36" s="287"/>
      <c r="F36" s="287"/>
      <c r="G36" s="288"/>
      <c r="M36" s="52"/>
      <c r="N36" s="6">
        <f t="shared" si="7"/>
        <v>0</v>
      </c>
      <c r="O36" s="6">
        <f t="shared" si="8"/>
        <v>0</v>
      </c>
    </row>
    <row r="37" spans="1:15" s="34" customFormat="1" ht="60" customHeight="1">
      <c r="A37" s="113"/>
      <c r="B37" s="113"/>
      <c r="D37" s="258"/>
      <c r="E37" s="259"/>
      <c r="F37" s="259"/>
      <c r="G37" s="260"/>
      <c r="J37" s="157">
        <f>IF($C37="*",IF($A37="Hide",0,$J$6),0)</f>
        <v>0</v>
      </c>
      <c r="K37" s="158">
        <f>IF(LEN(D37)=0,0,1)</f>
        <v>0</v>
      </c>
      <c r="L37" s="157">
        <f>IF(A37="Hide",0,IF($J$6=1,D37,0))</f>
        <v>0</v>
      </c>
      <c r="M37" s="52" t="str">
        <f>formData!B633</f>
        <v>CHARACTER_DECLARATIONS_ANY_OFFENCE_INSANITY_GIVE_DETAILS</v>
      </c>
      <c r="N37" s="6">
        <f t="shared" si="7"/>
        <v>0</v>
      </c>
      <c r="O37" s="6">
        <f t="shared" si="8"/>
        <v>0</v>
      </c>
    </row>
    <row r="38" spans="1:15" s="34" customFormat="1" ht="32.450000000000003" customHeight="1">
      <c r="A38" s="113"/>
      <c r="B38" s="113">
        <v>1</v>
      </c>
      <c r="C38" s="74" t="s">
        <v>1912</v>
      </c>
      <c r="D38" s="31" t="s">
        <v>161</v>
      </c>
      <c r="E38" s="342"/>
      <c r="F38" s="343"/>
      <c r="G38" s="344"/>
      <c r="J38" s="6">
        <f>IF($C38="*",IF($A38="Hide",0,$J$6),0)</f>
        <v>1</v>
      </c>
      <c r="K38" s="129">
        <f>IF(B38=1,0,1)</f>
        <v>0</v>
      </c>
      <c r="L38" s="127">
        <f>IF(A38="Hide",1,IF($J$6=1,B38,1))</f>
        <v>1</v>
      </c>
      <c r="M38" s="52" t="str">
        <f>formData!B634</f>
        <v>CHARACTER_DECLARATIONS_COURT_UNFIT</v>
      </c>
      <c r="N38" s="6">
        <f t="shared" si="7"/>
        <v>1</v>
      </c>
      <c r="O38" s="6">
        <f t="shared" si="8"/>
        <v>0</v>
      </c>
    </row>
    <row r="39" spans="1:15" s="34" customFormat="1" ht="20.100000000000001" customHeight="1">
      <c r="A39" s="113"/>
      <c r="B39" s="113"/>
      <c r="D39" s="315" t="s">
        <v>121</v>
      </c>
      <c r="E39" s="287"/>
      <c r="F39" s="287"/>
      <c r="G39" s="288"/>
      <c r="M39" s="52"/>
      <c r="N39" s="6">
        <f t="shared" si="7"/>
        <v>0</v>
      </c>
      <c r="O39" s="6">
        <f t="shared" si="8"/>
        <v>0</v>
      </c>
    </row>
    <row r="40" spans="1:15" s="34" customFormat="1" ht="60" customHeight="1">
      <c r="A40" s="113"/>
      <c r="B40" s="113"/>
      <c r="D40" s="258"/>
      <c r="E40" s="259"/>
      <c r="F40" s="259"/>
      <c r="G40" s="260"/>
      <c r="J40" s="157">
        <f>IF($C40="*",IF($A40="Hide",0,$J$6),0)</f>
        <v>0</v>
      </c>
      <c r="K40" s="158">
        <f>IF(LEN(D40)=0,0,1)</f>
        <v>0</v>
      </c>
      <c r="L40" s="157">
        <f>IF(A40="Hide",0,IF($J$6=1,D40,0))</f>
        <v>0</v>
      </c>
      <c r="M40" s="52" t="str">
        <f>formData!B635</f>
        <v>CHARACTER_DECLARATIONS_COURT_UNFIT_GIVE_DETAILS</v>
      </c>
      <c r="N40" s="6">
        <f t="shared" si="7"/>
        <v>0</v>
      </c>
      <c r="O40" s="6">
        <f t="shared" si="8"/>
        <v>0</v>
      </c>
    </row>
    <row r="41" spans="1:15" s="34" customFormat="1" ht="60" customHeight="1">
      <c r="A41" s="113"/>
      <c r="B41" s="113">
        <v>1</v>
      </c>
      <c r="C41" s="74" t="s">
        <v>1912</v>
      </c>
      <c r="D41" s="31" t="s">
        <v>162</v>
      </c>
      <c r="E41" s="342"/>
      <c r="F41" s="343"/>
      <c r="G41" s="344"/>
      <c r="J41" s="6">
        <f>IF($C41="*",IF($A41="Hide",0,$J$6),0)</f>
        <v>1</v>
      </c>
      <c r="K41" s="129">
        <f>IF(B41=1,0,1)</f>
        <v>0</v>
      </c>
      <c r="L41" s="127">
        <f>IF(A41="Hide",1,IF($J$6=1,B41,1))</f>
        <v>1</v>
      </c>
      <c r="M41" s="52" t="str">
        <f>formData!B636</f>
        <v>CHARACTER_DECLARATIONS_NAT_SECURITY_RISK</v>
      </c>
      <c r="N41" s="6">
        <f t="shared" si="7"/>
        <v>1</v>
      </c>
      <c r="O41" s="6">
        <f t="shared" si="8"/>
        <v>0</v>
      </c>
    </row>
    <row r="42" spans="1:15" s="34" customFormat="1" ht="20.100000000000001" customHeight="1">
      <c r="A42" s="113"/>
      <c r="B42" s="113"/>
      <c r="D42" s="315" t="s">
        <v>121</v>
      </c>
      <c r="E42" s="287"/>
      <c r="F42" s="287"/>
      <c r="G42" s="288"/>
      <c r="M42" s="52"/>
      <c r="N42" s="6">
        <f t="shared" si="7"/>
        <v>0</v>
      </c>
      <c r="O42" s="6">
        <f t="shared" si="8"/>
        <v>0</v>
      </c>
    </row>
    <row r="43" spans="1:15" s="34" customFormat="1" ht="60" customHeight="1">
      <c r="A43" s="113"/>
      <c r="B43" s="113"/>
      <c r="D43" s="258"/>
      <c r="E43" s="259"/>
      <c r="F43" s="259"/>
      <c r="G43" s="260"/>
      <c r="J43" s="157">
        <f>IF($C43="*",IF($A43="Hide",0,$J$6),0)</f>
        <v>0</v>
      </c>
      <c r="K43" s="158">
        <f>IF(LEN(D43)=0,0,1)</f>
        <v>0</v>
      </c>
      <c r="L43" s="157">
        <f>IF(A43="Hide",0,IF($J$6=1,D43,0))</f>
        <v>0</v>
      </c>
      <c r="M43" s="52" t="str">
        <f>formData!B637</f>
        <v>CHARACTER_DECLARATIONS_NAT_SECURITY_RISK_GIVE_DETAILS</v>
      </c>
      <c r="N43" s="6">
        <f t="shared" si="7"/>
        <v>0</v>
      </c>
      <c r="O43" s="6">
        <f t="shared" si="8"/>
        <v>0</v>
      </c>
    </row>
    <row r="44" spans="1:15" s="34" customFormat="1" ht="84" customHeight="1">
      <c r="A44" s="113"/>
      <c r="B44" s="113">
        <v>1</v>
      </c>
      <c r="C44" s="74" t="s">
        <v>1912</v>
      </c>
      <c r="D44" s="31" t="s">
        <v>163</v>
      </c>
      <c r="E44" s="342"/>
      <c r="F44" s="343"/>
      <c r="G44" s="344"/>
      <c r="J44" s="6">
        <f>IF($C44="*",IF($A44="Hide",0,$J$6),0)</f>
        <v>1</v>
      </c>
      <c r="K44" s="129">
        <f>IF(B44=1,0,1)</f>
        <v>0</v>
      </c>
      <c r="L44" s="127">
        <f>IF(A44="Hide",1,IF($J$6=1,B44,1))</f>
        <v>1</v>
      </c>
      <c r="M44" s="52" t="str">
        <f>formData!B638</f>
        <v>CHARACTER_DECLARATIONS_INTERNATIONAL_CRIME</v>
      </c>
      <c r="N44" s="6">
        <f t="shared" si="7"/>
        <v>1</v>
      </c>
      <c r="O44" s="6">
        <f t="shared" si="8"/>
        <v>0</v>
      </c>
    </row>
    <row r="45" spans="1:15" s="34" customFormat="1" ht="20.100000000000001" customHeight="1">
      <c r="A45" s="113"/>
      <c r="B45" s="113"/>
      <c r="D45" s="315" t="s">
        <v>121</v>
      </c>
      <c r="E45" s="287"/>
      <c r="F45" s="287"/>
      <c r="G45" s="288"/>
      <c r="M45" s="52"/>
      <c r="N45" s="6">
        <f t="shared" si="7"/>
        <v>0</v>
      </c>
      <c r="O45" s="6">
        <f t="shared" si="8"/>
        <v>0</v>
      </c>
    </row>
    <row r="46" spans="1:15" s="34" customFormat="1" ht="60" customHeight="1">
      <c r="A46" s="113"/>
      <c r="B46" s="113"/>
      <c r="D46" s="258"/>
      <c r="E46" s="259"/>
      <c r="F46" s="259"/>
      <c r="G46" s="260"/>
      <c r="J46" s="157">
        <f>IF($C46="*",IF($A46="Hide",0,$J$6),0)</f>
        <v>0</v>
      </c>
      <c r="K46" s="158">
        <f>IF(LEN(D46)=0,0,1)</f>
        <v>0</v>
      </c>
      <c r="L46" s="157">
        <f>IF(A46="Hide",0,IF($J$6=1,D46,0))</f>
        <v>0</v>
      </c>
      <c r="M46" s="52" t="str">
        <f>formData!B639</f>
        <v>CHARACTER_DECLARATIONS_INTERNATIONAL_CRIME_GIVE_DETAILS</v>
      </c>
      <c r="N46" s="6">
        <f t="shared" si="7"/>
        <v>0</v>
      </c>
      <c r="O46" s="6">
        <f t="shared" si="8"/>
        <v>0</v>
      </c>
    </row>
    <row r="47" spans="1:15" s="34" customFormat="1" ht="59.25" customHeight="1">
      <c r="A47" s="113"/>
      <c r="B47" s="113">
        <v>1</v>
      </c>
      <c r="C47" s="74" t="s">
        <v>1912</v>
      </c>
      <c r="D47" s="31" t="s">
        <v>164</v>
      </c>
      <c r="E47" s="342"/>
      <c r="F47" s="343"/>
      <c r="G47" s="344"/>
      <c r="J47" s="6">
        <f>IF($C47="*",IF($A47="Hide",0,$J$6),0)</f>
        <v>1</v>
      </c>
      <c r="K47" s="129">
        <f>IF(B47=1,0,1)</f>
        <v>0</v>
      </c>
      <c r="L47" s="127">
        <f>IF(A47="Hide",1,IF($J$6=1,B47,1))</f>
        <v>1</v>
      </c>
      <c r="M47" s="52" t="str">
        <f>formData!B640</f>
        <v>CHARACTER_DECLARATIONS_CRIMINAL_CONDUCT</v>
      </c>
      <c r="N47" s="6">
        <f t="shared" si="7"/>
        <v>1</v>
      </c>
      <c r="O47" s="6">
        <f t="shared" si="8"/>
        <v>0</v>
      </c>
    </row>
    <row r="48" spans="1:15" s="34" customFormat="1" ht="20.100000000000001" customHeight="1">
      <c r="A48" s="113"/>
      <c r="B48" s="113"/>
      <c r="D48" s="315" t="s">
        <v>121</v>
      </c>
      <c r="E48" s="287"/>
      <c r="F48" s="287"/>
      <c r="G48" s="288"/>
      <c r="M48" s="52"/>
      <c r="N48" s="6">
        <f t="shared" si="7"/>
        <v>0</v>
      </c>
      <c r="O48" s="6">
        <f t="shared" si="8"/>
        <v>0</v>
      </c>
    </row>
    <row r="49" spans="1:16" s="34" customFormat="1" ht="60" customHeight="1">
      <c r="A49" s="113"/>
      <c r="B49" s="113"/>
      <c r="D49" s="258"/>
      <c r="E49" s="259"/>
      <c r="F49" s="259"/>
      <c r="G49" s="260"/>
      <c r="J49" s="157">
        <f>IF($C49="*",IF($A49="Hide",0,$J$6),0)</f>
        <v>0</v>
      </c>
      <c r="K49" s="158">
        <f>IF(LEN(D49)=0,0,1)</f>
        <v>0</v>
      </c>
      <c r="L49" s="157">
        <f>IF(A49="Hide",0,IF($J$6=1,D49,0))</f>
        <v>0</v>
      </c>
      <c r="M49" s="52" t="str">
        <f>formData!B641</f>
        <v>CHARACTER_DECLARATIONS_CRIMINAL_CONDUCT_GIVE_DETAILS</v>
      </c>
      <c r="N49" s="6">
        <f t="shared" si="7"/>
        <v>0</v>
      </c>
      <c r="O49" s="6">
        <f t="shared" si="8"/>
        <v>0</v>
      </c>
    </row>
    <row r="50" spans="1:16" s="34" customFormat="1" ht="87" customHeight="1">
      <c r="A50" s="113"/>
      <c r="B50" s="113">
        <v>1</v>
      </c>
      <c r="C50" s="74" t="s">
        <v>1912</v>
      </c>
      <c r="D50" s="31" t="s">
        <v>165</v>
      </c>
      <c r="E50" s="342"/>
      <c r="F50" s="343"/>
      <c r="G50" s="344"/>
      <c r="J50" s="6">
        <f>IF($C50="*",IF($A50="Hide",0,$J$6),0)</f>
        <v>1</v>
      </c>
      <c r="K50" s="129">
        <f>IF(B50=1,0,1)</f>
        <v>0</v>
      </c>
      <c r="L50" s="127">
        <f>IF(A50="Hide",1,IF($J$6=1,B50,1))</f>
        <v>1</v>
      </c>
      <c r="M50" s="52" t="str">
        <f>formData!B642</f>
        <v>CHARACTER_DECLARATIONS_ENGAGED_IN_VIOLENCE</v>
      </c>
      <c r="N50" s="6">
        <f t="shared" si="7"/>
        <v>1</v>
      </c>
      <c r="O50" s="6">
        <f t="shared" si="8"/>
        <v>0</v>
      </c>
    </row>
    <row r="51" spans="1:16" s="34" customFormat="1" ht="20.100000000000001" customHeight="1">
      <c r="A51" s="113"/>
      <c r="B51" s="113"/>
      <c r="D51" s="315" t="s">
        <v>121</v>
      </c>
      <c r="E51" s="287"/>
      <c r="F51" s="287"/>
      <c r="G51" s="288"/>
      <c r="M51" s="52"/>
      <c r="N51" s="6">
        <f t="shared" si="7"/>
        <v>0</v>
      </c>
      <c r="O51" s="6">
        <f t="shared" si="8"/>
        <v>0</v>
      </c>
    </row>
    <row r="52" spans="1:16" s="34" customFormat="1" ht="60" customHeight="1">
      <c r="A52" s="113"/>
      <c r="B52" s="113"/>
      <c r="D52" s="258"/>
      <c r="E52" s="259"/>
      <c r="F52" s="259"/>
      <c r="G52" s="260"/>
      <c r="J52" s="157">
        <f t="shared" ref="J52:J57" si="16">IF($C52="*",IF($A52="Hide",0,$J$6),0)</f>
        <v>0</v>
      </c>
      <c r="K52" s="158">
        <f>IF(LEN(D52)=0,0,1)</f>
        <v>0</v>
      </c>
      <c r="L52" s="157">
        <f>IF(A52="Hide",0,IF($J$6=1,D52,0))</f>
        <v>0</v>
      </c>
      <c r="M52" s="52" t="str">
        <f>formData!B643</f>
        <v>CHARACTER_DECLARATIONS_ENGAGED_IN_VIOLENCE_GIVE_DETAILS</v>
      </c>
      <c r="N52" s="6">
        <f t="shared" si="7"/>
        <v>0</v>
      </c>
      <c r="O52" s="6">
        <f t="shared" si="8"/>
        <v>0</v>
      </c>
    </row>
    <row r="53" spans="1:16" s="34" customFormat="1" ht="75" customHeight="1">
      <c r="A53" s="113"/>
      <c r="B53" s="113">
        <v>1</v>
      </c>
      <c r="C53" s="74" t="s">
        <v>1912</v>
      </c>
      <c r="D53" s="38" t="s">
        <v>211</v>
      </c>
      <c r="E53" s="355"/>
      <c r="F53" s="355"/>
      <c r="G53" s="356"/>
      <c r="J53" s="6">
        <f t="shared" si="16"/>
        <v>1</v>
      </c>
      <c r="K53" s="129">
        <f>IF(B53=1,0,1)</f>
        <v>0</v>
      </c>
      <c r="L53" s="127">
        <f>IF(A53="Hide",1,IF($J$6=1,B53,1))</f>
        <v>1</v>
      </c>
      <c r="M53" s="52" t="str">
        <f>formData!B644</f>
        <v>CHARACTER_DECLARATIONS_MILITARY_SERVICE</v>
      </c>
      <c r="N53" s="6">
        <f t="shared" si="7"/>
        <v>1</v>
      </c>
      <c r="O53" s="6">
        <f t="shared" si="8"/>
        <v>0</v>
      </c>
    </row>
    <row r="54" spans="1:16" s="34" customFormat="1" ht="20.100000000000001" hidden="1" customHeight="1">
      <c r="A54" s="106" t="str">
        <f t="shared" ref="A54:A59" si="17">IF($B$53=2,"Show","HIDE")</f>
        <v>HIDE</v>
      </c>
      <c r="B54" s="113">
        <v>1</v>
      </c>
      <c r="C54" s="74" t="s">
        <v>1912</v>
      </c>
      <c r="D54" s="7" t="s">
        <v>203</v>
      </c>
      <c r="E54" s="198"/>
      <c r="F54" s="199"/>
      <c r="G54" s="200"/>
      <c r="J54" s="6">
        <f t="shared" si="16"/>
        <v>0</v>
      </c>
      <c r="K54" s="130">
        <f>IF(B54=0,0,1)</f>
        <v>1</v>
      </c>
      <c r="L54" s="126">
        <f>IF(A54="Hide",1,IF($J$6=1,B54,1))</f>
        <v>1</v>
      </c>
      <c r="M54" s="52" t="str">
        <f>formData!B645</f>
        <v>CHARACTER_DECLARATIONS_MILITARY_SERVICE_FULL_NAME</v>
      </c>
      <c r="N54" s="6">
        <f t="shared" si="7"/>
        <v>0</v>
      </c>
      <c r="O54" s="6">
        <f>+J54*K54</f>
        <v>0</v>
      </c>
    </row>
    <row r="55" spans="1:16" s="34" customFormat="1" ht="20.100000000000001" hidden="1" customHeight="1">
      <c r="A55" s="106" t="str">
        <f t="shared" si="17"/>
        <v>HIDE</v>
      </c>
      <c r="B55" s="113">
        <v>1</v>
      </c>
      <c r="C55" s="74" t="s">
        <v>1912</v>
      </c>
      <c r="D55" s="7" t="s">
        <v>212</v>
      </c>
      <c r="E55" s="240"/>
      <c r="F55" s="241"/>
      <c r="G55" s="242"/>
      <c r="J55" s="6">
        <f t="shared" si="16"/>
        <v>0</v>
      </c>
      <c r="K55" s="129">
        <f>IF(B55=1,0,1)</f>
        <v>0</v>
      </c>
      <c r="L55" s="127">
        <f>IF(A55="Hide",1,IF($J$6=1,B55,1))</f>
        <v>1</v>
      </c>
      <c r="M55" s="52" t="str">
        <f>formData!B646</f>
        <v>CHARACTER_DECLARATIONS_MILITARY_SERVICE_COUNTRY1</v>
      </c>
      <c r="N55" s="6">
        <f t="shared" si="7"/>
        <v>0</v>
      </c>
      <c r="O55" s="6">
        <f t="shared" si="8"/>
        <v>0</v>
      </c>
    </row>
    <row r="56" spans="1:16" s="34" customFormat="1" ht="20.100000000000001" hidden="1" customHeight="1">
      <c r="A56" s="106" t="str">
        <f t="shared" si="17"/>
        <v>HIDE</v>
      </c>
      <c r="B56" s="113"/>
      <c r="C56" s="74" t="s">
        <v>1912</v>
      </c>
      <c r="D56" s="7" t="s">
        <v>154</v>
      </c>
      <c r="E56" s="219"/>
      <c r="F56" s="220"/>
      <c r="G56" s="221"/>
      <c r="J56" s="6">
        <f t="shared" si="16"/>
        <v>0</v>
      </c>
      <c r="K56" s="130">
        <f>IF(LEN(E56)=0,0,1)</f>
        <v>0</v>
      </c>
      <c r="L56" s="126">
        <f>IF(A56="Hide",0,IF($J$6=1,E56,0))</f>
        <v>0</v>
      </c>
      <c r="M56" s="52" t="str">
        <f>formData!B647</f>
        <v>CHARACTER_DECLARATIONS_MILITARY_SERVICE_DATE_FROM</v>
      </c>
      <c r="N56" s="6">
        <f t="shared" si="7"/>
        <v>0</v>
      </c>
      <c r="O56" s="6">
        <f t="shared" si="8"/>
        <v>0</v>
      </c>
    </row>
    <row r="57" spans="1:16" s="34" customFormat="1" ht="20.100000000000001" hidden="1" customHeight="1">
      <c r="A57" s="106" t="str">
        <f t="shared" si="17"/>
        <v>HIDE</v>
      </c>
      <c r="B57" s="113"/>
      <c r="C57" s="74" t="s">
        <v>1912</v>
      </c>
      <c r="D57" s="7" t="s">
        <v>181</v>
      </c>
      <c r="E57" s="219"/>
      <c r="F57" s="220"/>
      <c r="G57" s="221"/>
      <c r="J57" s="6">
        <f t="shared" si="16"/>
        <v>0</v>
      </c>
      <c r="K57" s="130">
        <f>IF(LEN(E57)=0,0,1)</f>
        <v>0</v>
      </c>
      <c r="L57" s="126">
        <f>IF(A57="Hide",0,IF($J$6=1,E57,0))</f>
        <v>0</v>
      </c>
      <c r="M57" s="52" t="str">
        <f>formData!B648</f>
        <v>CHARACTER_DECLARATIONS_MILITARY_SERVICE_DATE_TO</v>
      </c>
      <c r="N57" s="6">
        <f t="shared" si="7"/>
        <v>0</v>
      </c>
      <c r="O57" s="6">
        <f t="shared" si="8"/>
        <v>0</v>
      </c>
    </row>
    <row r="58" spans="1:16" s="34" customFormat="1" ht="20.100000000000001" hidden="1" customHeight="1">
      <c r="A58" s="106" t="str">
        <f t="shared" si="17"/>
        <v>HIDE</v>
      </c>
      <c r="B58" s="113"/>
      <c r="D58" s="244" t="s">
        <v>121</v>
      </c>
      <c r="E58" s="357"/>
      <c r="F58" s="357"/>
      <c r="G58" s="358"/>
      <c r="M58" s="52"/>
      <c r="N58" s="6">
        <f t="shared" si="7"/>
        <v>0</v>
      </c>
      <c r="O58" s="6">
        <f t="shared" si="8"/>
        <v>0</v>
      </c>
    </row>
    <row r="59" spans="1:16" s="34" customFormat="1" ht="60" hidden="1" customHeight="1">
      <c r="A59" s="106" t="str">
        <f t="shared" si="17"/>
        <v>HIDE</v>
      </c>
      <c r="B59" s="113"/>
      <c r="C59" s="74" t="s">
        <v>1912</v>
      </c>
      <c r="D59" s="258"/>
      <c r="E59" s="259"/>
      <c r="F59" s="259"/>
      <c r="G59" s="260"/>
      <c r="J59" s="157">
        <f t="shared" ref="J59:J64" si="18">IF($C59="*",IF($A59="Hide",0,$J$6),0)</f>
        <v>0</v>
      </c>
      <c r="K59" s="158">
        <f>IF(LEN(D59)=0,0,1)</f>
        <v>0</v>
      </c>
      <c r="L59" s="157">
        <f>IF(A59="Hide",0,IF($J$6=1,D59,0))</f>
        <v>0</v>
      </c>
      <c r="M59" s="52" t="str">
        <f>formData!B649</f>
        <v>CHARACTER_DECLARATIONS_MILITARY_SERVICE_GIVE_DETAILS</v>
      </c>
      <c r="N59" s="6">
        <f t="shared" si="7"/>
        <v>0</v>
      </c>
      <c r="O59" s="6">
        <f t="shared" si="8"/>
        <v>0</v>
      </c>
    </row>
    <row r="60" spans="1:16" s="39" customFormat="1" ht="60" customHeight="1">
      <c r="A60" s="115"/>
      <c r="B60" s="115">
        <v>1</v>
      </c>
      <c r="C60" s="74" t="s">
        <v>1912</v>
      </c>
      <c r="D60" s="38" t="s">
        <v>166</v>
      </c>
      <c r="E60" s="343"/>
      <c r="F60" s="343"/>
      <c r="G60" s="354"/>
      <c r="J60" s="6">
        <f t="shared" si="18"/>
        <v>1</v>
      </c>
      <c r="K60" s="129">
        <f>IF(B60=1,0,1)</f>
        <v>0</v>
      </c>
      <c r="L60" s="127">
        <f>IF(A60="Hide",1,IF($J$6=1,B60,1))</f>
        <v>1</v>
      </c>
      <c r="M60" s="52" t="str">
        <f>formData!B650</f>
        <v>CHARACTER_DECLARATIONS_MILITARY_TRAINING</v>
      </c>
      <c r="N60" s="6">
        <f t="shared" si="7"/>
        <v>1</v>
      </c>
      <c r="O60" s="6">
        <f t="shared" si="8"/>
        <v>0</v>
      </c>
      <c r="P60" s="34"/>
    </row>
    <row r="61" spans="1:16" s="39" customFormat="1" ht="20.100000000000001" hidden="1" customHeight="1">
      <c r="A61" s="106" t="str">
        <f t="shared" ref="A61:A66" si="19">IF($B$60=2,"Show","HIDE")</f>
        <v>HIDE</v>
      </c>
      <c r="B61" s="115">
        <v>3</v>
      </c>
      <c r="C61" s="74" t="s">
        <v>1912</v>
      </c>
      <c r="D61" s="7" t="s">
        <v>203</v>
      </c>
      <c r="E61" s="240"/>
      <c r="F61" s="241"/>
      <c r="G61" s="242"/>
      <c r="J61" s="6">
        <f t="shared" si="18"/>
        <v>0</v>
      </c>
      <c r="K61" s="130">
        <f>IF(B61=0,0,1)</f>
        <v>1</v>
      </c>
      <c r="L61" s="126">
        <f>IF(A61="Hide",1,IF($J$6=1,B61,1))</f>
        <v>1</v>
      </c>
      <c r="M61" s="52" t="str">
        <f>formData!B651</f>
        <v>CHARACTER_DECLARATIONS_MILITARY_TRAINING_FULL_NAME</v>
      </c>
      <c r="N61" s="6">
        <f t="shared" si="7"/>
        <v>0</v>
      </c>
      <c r="O61" s="6">
        <f t="shared" si="8"/>
        <v>0</v>
      </c>
      <c r="P61" s="34"/>
    </row>
    <row r="62" spans="1:16" s="39" customFormat="1" ht="20.100000000000001" hidden="1" customHeight="1">
      <c r="A62" s="106" t="str">
        <f t="shared" si="19"/>
        <v>HIDE</v>
      </c>
      <c r="B62" s="115">
        <v>1</v>
      </c>
      <c r="C62" s="74" t="s">
        <v>1912</v>
      </c>
      <c r="D62" s="7" t="s">
        <v>212</v>
      </c>
      <c r="E62" s="342"/>
      <c r="F62" s="343"/>
      <c r="G62" s="344"/>
      <c r="J62" s="6">
        <f t="shared" si="18"/>
        <v>0</v>
      </c>
      <c r="K62" s="129">
        <f>IF(B62=1,0,1)</f>
        <v>0</v>
      </c>
      <c r="L62" s="127">
        <f>IF(A62="Hide",1,IF($J$6=1,B62,1))</f>
        <v>1</v>
      </c>
      <c r="M62" s="52" t="str">
        <f>formData!B652</f>
        <v>CHARACTER_DECLARATIONS_MILITARY_TRAINING_COUNTRY1</v>
      </c>
      <c r="N62" s="6">
        <f t="shared" si="7"/>
        <v>0</v>
      </c>
      <c r="O62" s="6">
        <f t="shared" si="8"/>
        <v>0</v>
      </c>
      <c r="P62" s="34"/>
    </row>
    <row r="63" spans="1:16" s="39" customFormat="1" ht="20.100000000000001" hidden="1" customHeight="1">
      <c r="A63" s="106" t="str">
        <f t="shared" si="19"/>
        <v>HIDE</v>
      </c>
      <c r="B63" s="115"/>
      <c r="C63" s="74" t="s">
        <v>1912</v>
      </c>
      <c r="D63" s="31" t="s">
        <v>1978</v>
      </c>
      <c r="E63" s="219"/>
      <c r="F63" s="220"/>
      <c r="G63" s="221"/>
      <c r="J63" s="6">
        <f t="shared" si="18"/>
        <v>0</v>
      </c>
      <c r="K63" s="130">
        <f>IF(LEN(E63)=0,0,1)</f>
        <v>0</v>
      </c>
      <c r="L63" s="126">
        <f>IF(A63="Hide",0,IF($J$6=1,E63,0))</f>
        <v>0</v>
      </c>
      <c r="M63" s="52" t="str">
        <f>formData!B653</f>
        <v>CHARACTER_DECLARATIONS_MILITARY_TRAINING_DATE_FROM</v>
      </c>
      <c r="N63" s="6">
        <f t="shared" si="7"/>
        <v>0</v>
      </c>
      <c r="O63" s="6">
        <f t="shared" si="8"/>
        <v>0</v>
      </c>
      <c r="P63" s="34"/>
    </row>
    <row r="64" spans="1:16" s="39" customFormat="1" ht="20.100000000000001" hidden="1" customHeight="1">
      <c r="A64" s="106" t="str">
        <f t="shared" si="19"/>
        <v>HIDE</v>
      </c>
      <c r="B64" s="115"/>
      <c r="C64" s="74" t="s">
        <v>1912</v>
      </c>
      <c r="D64" s="31" t="s">
        <v>1981</v>
      </c>
      <c r="E64" s="219"/>
      <c r="F64" s="220"/>
      <c r="G64" s="221"/>
      <c r="J64" s="6">
        <f t="shared" si="18"/>
        <v>0</v>
      </c>
      <c r="K64" s="130">
        <f>IF(LEN(E64)=0,0,1)</f>
        <v>0</v>
      </c>
      <c r="L64" s="126">
        <f>IF(A64="Hide",0,IF($J$6=1,E64,0))</f>
        <v>0</v>
      </c>
      <c r="M64" s="52" t="str">
        <f>formData!B654</f>
        <v>CHARACTER_DECLARATIONS_MILITARY_TRAINING_DATE_TO</v>
      </c>
      <c r="N64" s="6">
        <f t="shared" si="7"/>
        <v>0</v>
      </c>
      <c r="O64" s="6">
        <f t="shared" si="8"/>
        <v>0</v>
      </c>
      <c r="P64" s="34"/>
    </row>
    <row r="65" spans="1:16" s="39" customFormat="1" ht="20.100000000000001" hidden="1" customHeight="1">
      <c r="A65" s="106" t="str">
        <f t="shared" si="19"/>
        <v>HIDE</v>
      </c>
      <c r="B65" s="115"/>
      <c r="D65" s="315" t="s">
        <v>131</v>
      </c>
      <c r="E65" s="287"/>
      <c r="F65" s="287"/>
      <c r="G65" s="288"/>
      <c r="M65" s="52"/>
      <c r="N65" s="6">
        <f t="shared" si="7"/>
        <v>0</v>
      </c>
      <c r="O65" s="6">
        <f t="shared" si="8"/>
        <v>0</v>
      </c>
      <c r="P65" s="34"/>
    </row>
    <row r="66" spans="1:16" s="39" customFormat="1" ht="60" hidden="1" customHeight="1">
      <c r="A66" s="106" t="str">
        <f t="shared" si="19"/>
        <v>HIDE</v>
      </c>
      <c r="B66" s="115"/>
      <c r="C66" s="74" t="s">
        <v>1912</v>
      </c>
      <c r="D66" s="258"/>
      <c r="E66" s="259"/>
      <c r="F66" s="259"/>
      <c r="G66" s="260"/>
      <c r="J66" s="157">
        <f>IF($C66="*",IF($A66="Hide",0,$J$6),0)</f>
        <v>0</v>
      </c>
      <c r="K66" s="158">
        <f>IF(LEN(D66)=0,0,1)</f>
        <v>0</v>
      </c>
      <c r="L66" s="157">
        <f>IF(A66="Hide",0,IF($J$6=1,D66,0))</f>
        <v>0</v>
      </c>
      <c r="M66" s="52" t="str">
        <f>formData!B655</f>
        <v>CHARACTER_DECLARATIONS_MILITARY_TRAINING_GIVE_DETAILS</v>
      </c>
      <c r="N66" s="6">
        <f t="shared" si="7"/>
        <v>0</v>
      </c>
      <c r="O66" s="6">
        <f t="shared" si="8"/>
        <v>0</v>
      </c>
      <c r="P66" s="34"/>
    </row>
    <row r="67" spans="1:16" s="39" customFormat="1" ht="45" customHeight="1">
      <c r="A67" s="115"/>
      <c r="B67" s="115">
        <v>1</v>
      </c>
      <c r="C67" s="74" t="s">
        <v>1912</v>
      </c>
      <c r="D67" s="38" t="s">
        <v>167</v>
      </c>
      <c r="E67" s="343"/>
      <c r="F67" s="343"/>
      <c r="G67" s="354"/>
      <c r="J67" s="6">
        <f>IF($C67="*",IF($A67="Hide",0,$J$6),0)</f>
        <v>1</v>
      </c>
      <c r="K67" s="129">
        <f>IF(B67=1,0,1)</f>
        <v>0</v>
      </c>
      <c r="L67" s="127">
        <f>IF(A67="Hide",1,IF($J$6=1,B67,1))</f>
        <v>1</v>
      </c>
      <c r="M67" s="52" t="str">
        <f>formData!B656</f>
        <v>CHARACTER_DECLARATIONS_SMUGGLING</v>
      </c>
      <c r="N67" s="6">
        <f t="shared" si="7"/>
        <v>1</v>
      </c>
      <c r="O67" s="6">
        <f t="shared" si="8"/>
        <v>0</v>
      </c>
      <c r="P67" s="34"/>
    </row>
    <row r="68" spans="1:16" s="39" customFormat="1" ht="20.100000000000001" customHeight="1">
      <c r="A68" s="115"/>
      <c r="B68" s="115"/>
      <c r="D68" s="315" t="s">
        <v>131</v>
      </c>
      <c r="E68" s="287"/>
      <c r="F68" s="287"/>
      <c r="G68" s="288"/>
      <c r="M68" s="52"/>
      <c r="N68" s="6">
        <f t="shared" si="7"/>
        <v>0</v>
      </c>
      <c r="O68" s="6">
        <f t="shared" si="8"/>
        <v>0</v>
      </c>
      <c r="P68" s="34"/>
    </row>
    <row r="69" spans="1:16" s="39" customFormat="1" ht="60" customHeight="1">
      <c r="A69" s="115"/>
      <c r="B69" s="115"/>
      <c r="D69" s="258"/>
      <c r="E69" s="259"/>
      <c r="F69" s="259"/>
      <c r="G69" s="260"/>
      <c r="J69" s="157">
        <f>IF($C69="*",IF($A69="Hide",0,$J$6),0)</f>
        <v>0</v>
      </c>
      <c r="K69" s="158">
        <f>IF(LEN(D69)=0,0,1)</f>
        <v>0</v>
      </c>
      <c r="L69" s="157">
        <f>IF(A69="Hide",0,IF($J$6=1,D69,0))</f>
        <v>0</v>
      </c>
      <c r="M69" s="52" t="str">
        <f>formData!B657</f>
        <v>CHARACTER_DECLARATIONS_SMUGGLING_GIVE_DETAILS</v>
      </c>
      <c r="N69" s="6">
        <f t="shared" si="7"/>
        <v>0</v>
      </c>
      <c r="O69" s="6">
        <f t="shared" si="8"/>
        <v>0</v>
      </c>
      <c r="P69" s="34"/>
    </row>
    <row r="70" spans="1:16" s="39" customFormat="1" ht="60" customHeight="1">
      <c r="A70" s="115"/>
      <c r="B70" s="115">
        <v>1</v>
      </c>
      <c r="C70" s="74" t="s">
        <v>1912</v>
      </c>
      <c r="D70" s="38" t="s">
        <v>168</v>
      </c>
      <c r="E70" s="343"/>
      <c r="F70" s="343"/>
      <c r="G70" s="354"/>
      <c r="J70" s="6">
        <f>IF($C70="*",IF($A70="Hide",0,$J$6),0)</f>
        <v>1</v>
      </c>
      <c r="K70" s="129">
        <f>IF(B70=1,0,1)</f>
        <v>0</v>
      </c>
      <c r="L70" s="127">
        <f>IF(A70="Hide",1,IF($J$6=1,B70,1))</f>
        <v>1</v>
      </c>
      <c r="M70" s="52" t="str">
        <f>formData!B658</f>
        <v>CHARACTER_DECLARATIONS_DEPORTED</v>
      </c>
      <c r="N70" s="6">
        <f t="shared" si="7"/>
        <v>1</v>
      </c>
      <c r="O70" s="6">
        <f t="shared" si="8"/>
        <v>0</v>
      </c>
      <c r="P70" s="34"/>
    </row>
    <row r="71" spans="1:16" s="39" customFormat="1" ht="20.100000000000001" customHeight="1">
      <c r="A71" s="115"/>
      <c r="B71" s="115"/>
      <c r="D71" s="315" t="s">
        <v>131</v>
      </c>
      <c r="E71" s="287"/>
      <c r="F71" s="287"/>
      <c r="G71" s="288"/>
      <c r="M71" s="52"/>
      <c r="N71" s="6">
        <f t="shared" si="7"/>
        <v>0</v>
      </c>
      <c r="O71" s="6">
        <f t="shared" si="8"/>
        <v>0</v>
      </c>
      <c r="P71" s="34"/>
    </row>
    <row r="72" spans="1:16" s="39" customFormat="1" ht="60" customHeight="1">
      <c r="A72" s="115"/>
      <c r="B72" s="115"/>
      <c r="D72" s="258"/>
      <c r="E72" s="259"/>
      <c r="F72" s="259"/>
      <c r="G72" s="260"/>
      <c r="J72" s="157">
        <f>IF($C72="*",IF($A72="Hide",0,$J$6),0)</f>
        <v>0</v>
      </c>
      <c r="K72" s="158">
        <f>IF(LEN(D72)=0,0,1)</f>
        <v>0</v>
      </c>
      <c r="L72" s="157">
        <f>IF(A72="Hide",0,IF($J$6=1,D72,0))</f>
        <v>0</v>
      </c>
      <c r="M72" s="52" t="str">
        <f>formData!B659</f>
        <v>CHARACTER_DECLARATIONS_DEPORTED_GIVE_DETAILS</v>
      </c>
      <c r="N72" s="6">
        <f t="shared" si="7"/>
        <v>0</v>
      </c>
      <c r="O72" s="6">
        <f t="shared" si="8"/>
        <v>0</v>
      </c>
      <c r="P72" s="34"/>
    </row>
    <row r="73" spans="1:16" s="39" customFormat="1" ht="45" customHeight="1">
      <c r="A73" s="115"/>
      <c r="B73" s="115">
        <v>1</v>
      </c>
      <c r="C73" s="74" t="s">
        <v>1912</v>
      </c>
      <c r="D73" s="38" t="s">
        <v>169</v>
      </c>
      <c r="E73" s="343"/>
      <c r="F73" s="343"/>
      <c r="G73" s="354"/>
      <c r="J73" s="6">
        <f>IF($C73="*",IF($A73="Hide",0,$J$6),0)</f>
        <v>1</v>
      </c>
      <c r="K73" s="129">
        <f>IF(B73=1,0,1)</f>
        <v>0</v>
      </c>
      <c r="L73" s="127">
        <f>IF(A73="Hide",1,IF($J$6=1,B73,1))</f>
        <v>1</v>
      </c>
      <c r="M73" s="52" t="str">
        <f>formData!B660</f>
        <v>CHARACTER_DECLARATIONS_OVERSTAYED_VISA</v>
      </c>
      <c r="N73" s="6">
        <f t="shared" si="7"/>
        <v>1</v>
      </c>
      <c r="O73" s="6">
        <f t="shared" si="8"/>
        <v>0</v>
      </c>
      <c r="P73" s="34"/>
    </row>
    <row r="74" spans="1:16" s="39" customFormat="1" ht="20.100000000000001" customHeight="1">
      <c r="A74" s="115"/>
      <c r="B74" s="115"/>
      <c r="D74" s="315" t="s">
        <v>131</v>
      </c>
      <c r="E74" s="287"/>
      <c r="F74" s="287"/>
      <c r="G74" s="288"/>
      <c r="M74" s="52"/>
      <c r="N74" s="6">
        <f t="shared" si="7"/>
        <v>0</v>
      </c>
      <c r="O74" s="6">
        <f t="shared" si="8"/>
        <v>0</v>
      </c>
      <c r="P74" s="34"/>
    </row>
    <row r="75" spans="1:16" s="39" customFormat="1" ht="60" customHeight="1">
      <c r="A75" s="115"/>
      <c r="B75" s="115"/>
      <c r="D75" s="258"/>
      <c r="E75" s="259"/>
      <c r="F75" s="259"/>
      <c r="G75" s="260"/>
      <c r="J75" s="157">
        <f>IF($C75="*",IF($A75="Hide",0,$J$6),0)</f>
        <v>0</v>
      </c>
      <c r="K75" s="158">
        <f>IF(LEN(D75)=0,0,1)</f>
        <v>0</v>
      </c>
      <c r="L75" s="157">
        <f>IF(A75="Hide",0,IF($J$6=1,D75,0))</f>
        <v>0</v>
      </c>
      <c r="M75" s="52" t="str">
        <f>formData!B661</f>
        <v>CHARACTER_DECLARATIONS_OVERSTAYED_VISA_GIVE_DETAILS</v>
      </c>
      <c r="N75" s="6">
        <f t="shared" si="7"/>
        <v>0</v>
      </c>
      <c r="O75" s="6">
        <f t="shared" si="8"/>
        <v>0</v>
      </c>
      <c r="P75" s="34"/>
    </row>
    <row r="76" spans="1:16" s="39" customFormat="1" ht="50.1" customHeight="1">
      <c r="A76" s="115"/>
      <c r="B76" s="115">
        <v>1</v>
      </c>
      <c r="C76" s="74" t="s">
        <v>1912</v>
      </c>
      <c r="D76" s="38" t="s">
        <v>170</v>
      </c>
      <c r="E76" s="343"/>
      <c r="F76" s="343"/>
      <c r="G76" s="354"/>
      <c r="J76" s="6">
        <f>IF($C76="*",IF($A76="Hide",0,$J$6),0)</f>
        <v>1</v>
      </c>
      <c r="K76" s="129">
        <f>IF(B76=1,0,1)</f>
        <v>0</v>
      </c>
      <c r="L76" s="127">
        <f>IF(A76="Hide",1,IF($J$6=1,B76,1))</f>
        <v>1</v>
      </c>
      <c r="M76" s="52" t="str">
        <f>formData!B662</f>
        <v>CHARACTER_DECLARATIONS_OUTSTANDING_DEBT</v>
      </c>
      <c r="N76" s="6">
        <f t="shared" si="7"/>
        <v>1</v>
      </c>
      <c r="O76" s="6">
        <f t="shared" si="8"/>
        <v>0</v>
      </c>
      <c r="P76" s="34"/>
    </row>
    <row r="77" spans="1:16" s="39" customFormat="1" ht="20.100000000000001" customHeight="1">
      <c r="A77" s="115"/>
      <c r="B77" s="115"/>
      <c r="D77" s="315" t="s">
        <v>131</v>
      </c>
      <c r="E77" s="287"/>
      <c r="F77" s="287"/>
      <c r="G77" s="288"/>
      <c r="M77" s="52"/>
      <c r="N77" s="6">
        <f t="shared" si="7"/>
        <v>0</v>
      </c>
      <c r="O77" s="6">
        <f t="shared" si="8"/>
        <v>0</v>
      </c>
      <c r="P77" s="34"/>
    </row>
    <row r="78" spans="1:16" s="39" customFormat="1" ht="60" customHeight="1">
      <c r="A78" s="115"/>
      <c r="B78" s="115"/>
      <c r="D78" s="258"/>
      <c r="E78" s="259"/>
      <c r="F78" s="259"/>
      <c r="G78" s="260"/>
      <c r="J78" s="157">
        <f>IF($C78="*",IF($A78="Hide",0,$J$6),0)</f>
        <v>0</v>
      </c>
      <c r="K78" s="158">
        <f>IF(LEN(D78)=0,0,1)</f>
        <v>0</v>
      </c>
      <c r="L78" s="157">
        <f>IF(A78="Hide",0,IF($J$6=1,D78,0))</f>
        <v>0</v>
      </c>
      <c r="M78" s="52" t="str">
        <f>formData!B663</f>
        <v>CHARACTER_DECLARATIONS_OUTSTANDING_DEBT_GIVE_DETAILS</v>
      </c>
      <c r="N78" s="6">
        <f t="shared" si="7"/>
        <v>0</v>
      </c>
      <c r="O78" s="6">
        <f t="shared" si="8"/>
        <v>0</v>
      </c>
      <c r="P78" s="34"/>
    </row>
    <row r="79" spans="1:16">
      <c r="B79" s="106"/>
      <c r="M79" s="52"/>
    </row>
    <row r="80" spans="1:16">
      <c r="M80" s="52"/>
    </row>
    <row r="81" spans="13:13">
      <c r="M81" s="52"/>
    </row>
    <row r="82" spans="13:13">
      <c r="M82" s="39"/>
    </row>
    <row r="83" spans="13:13">
      <c r="M83" s="39"/>
    </row>
    <row r="84" spans="13:13">
      <c r="M84" s="39"/>
    </row>
    <row r="85" spans="13:13">
      <c r="M85" s="39"/>
    </row>
    <row r="86" spans="13:13">
      <c r="M86" s="39"/>
    </row>
    <row r="87" spans="13:13">
      <c r="M87" s="39"/>
    </row>
    <row r="90" spans="13:13">
      <c r="M90" s="39"/>
    </row>
    <row r="91" spans="13:13">
      <c r="M91" s="39"/>
    </row>
    <row r="92" spans="13:13">
      <c r="M92" s="39"/>
    </row>
    <row r="93" spans="13:13">
      <c r="M93" s="39"/>
    </row>
    <row r="94" spans="13:13">
      <c r="M94" s="39"/>
    </row>
    <row r="95" spans="13:13">
      <c r="M95" s="39"/>
    </row>
    <row r="96" spans="13:13">
      <c r="M96" s="39"/>
    </row>
    <row r="97" spans="13:13">
      <c r="M97" s="39"/>
    </row>
    <row r="98" spans="13:13">
      <c r="M98" s="39"/>
    </row>
    <row r="99" spans="13:13">
      <c r="M99" s="39"/>
    </row>
    <row r="100" spans="13:13">
      <c r="M100" s="39"/>
    </row>
    <row r="101" spans="13:13">
      <c r="M101" s="39"/>
    </row>
  </sheetData>
  <sheetProtection algorithmName="SHA-512" hashValue="aysBSd8pJqyWdc1OAfBrddR6QPJtWmKQpW96Lf4ONTCUYzCM3hIVJpqXGqkF1gGC6FQpy8DfLlRSOO6Kb0UCqA==" saltValue="6lQBfeUvKe/BCZTrDblsWw==" spinCount="100000" sheet="1" objects="1" scenarios="1"/>
  <mergeCells count="75">
    <mergeCell ref="D69:G69"/>
    <mergeCell ref="D65:G65"/>
    <mergeCell ref="D66:G66"/>
    <mergeCell ref="D45:G45"/>
    <mergeCell ref="D36:G36"/>
    <mergeCell ref="E61:G61"/>
    <mergeCell ref="D49:G49"/>
    <mergeCell ref="D51:G51"/>
    <mergeCell ref="D52:G52"/>
    <mergeCell ref="E50:G50"/>
    <mergeCell ref="E53:G53"/>
    <mergeCell ref="E60:G60"/>
    <mergeCell ref="E56:G56"/>
    <mergeCell ref="D58:G58"/>
    <mergeCell ref="D59:G59"/>
    <mergeCell ref="E57:G57"/>
    <mergeCell ref="E70:G70"/>
    <mergeCell ref="D71:G71"/>
    <mergeCell ref="E54:G54"/>
    <mergeCell ref="D78:G78"/>
    <mergeCell ref="E73:G73"/>
    <mergeCell ref="D74:G74"/>
    <mergeCell ref="E76:G76"/>
    <mergeCell ref="D77:G77"/>
    <mergeCell ref="D75:G75"/>
    <mergeCell ref="D72:G72"/>
    <mergeCell ref="E67:G67"/>
    <mergeCell ref="D68:G68"/>
    <mergeCell ref="E62:G62"/>
    <mergeCell ref="E63:G63"/>
    <mergeCell ref="E64:G64"/>
    <mergeCell ref="E55:G55"/>
    <mergeCell ref="D31:G31"/>
    <mergeCell ref="E32:G32"/>
    <mergeCell ref="D33:G33"/>
    <mergeCell ref="D34:G34"/>
    <mergeCell ref="D48:G48"/>
    <mergeCell ref="D39:G39"/>
    <mergeCell ref="D40:G40"/>
    <mergeCell ref="D42:G42"/>
    <mergeCell ref="D37:G37"/>
    <mergeCell ref="E47:G47"/>
    <mergeCell ref="E38:G38"/>
    <mergeCell ref="E41:G41"/>
    <mergeCell ref="E35:G35"/>
    <mergeCell ref="D43:G43"/>
    <mergeCell ref="E44:G44"/>
    <mergeCell ref="D46:G46"/>
    <mergeCell ref="E23:G23"/>
    <mergeCell ref="D24:G24"/>
    <mergeCell ref="D2:G2"/>
    <mergeCell ref="D4:G4"/>
    <mergeCell ref="E6:G6"/>
    <mergeCell ref="D7:G7"/>
    <mergeCell ref="D12:G12"/>
    <mergeCell ref="E8:G8"/>
    <mergeCell ref="E9:G9"/>
    <mergeCell ref="E10:G10"/>
    <mergeCell ref="D11:G11"/>
    <mergeCell ref="D28:G28"/>
    <mergeCell ref="E29:G29"/>
    <mergeCell ref="D30:G30"/>
    <mergeCell ref="E13:G13"/>
    <mergeCell ref="D14:G14"/>
    <mergeCell ref="D19:G19"/>
    <mergeCell ref="E26:G26"/>
    <mergeCell ref="D27:G27"/>
    <mergeCell ref="E15:G15"/>
    <mergeCell ref="E16:G16"/>
    <mergeCell ref="E17:G17"/>
    <mergeCell ref="D18:G18"/>
    <mergeCell ref="E20:G20"/>
    <mergeCell ref="D25:G25"/>
    <mergeCell ref="D21:G21"/>
    <mergeCell ref="E22:G22"/>
  </mergeCells>
  <dataValidations count="3">
    <dataValidation type="date" allowBlank="1" showInputMessage="1" showErrorMessage="1" errorTitle="Date" error="Please enter a valid date" sqref="E63:G64 E56:G57" xr:uid="{00000000-0002-0000-1400-000000000000}">
      <formula1>1</formula1>
      <formula2>54789</formula2>
    </dataValidation>
    <dataValidation type="textLength" operator="lessThanOrEqual" allowBlank="1" showInputMessage="1" showErrorMessage="1" errorTitle="Give Details" error="The maximum length of text that you can enter is 300 characters" sqref="D12:G12 D78:G78 D28:G28 D31:G31 D34:G34 D37:G37 D40:G40 D43:G43 D46:G46 D49:G49 D52:G52 D59:G59 D66:G66 D69:G69 D72:G72 D75:G75 D19:G19 D25:G25" xr:uid="{00000000-0002-0000-1400-000001000000}">
      <formula1>300</formula1>
    </dataValidation>
    <dataValidation type="date" allowBlank="1" showInputMessage="1" showErrorMessage="1" errorTitle="Date of birth" error="Please enter a valid date" sqref="E10:G10" xr:uid="{00000000-0002-0000-1400-000002000000}">
      <formula1>1</formula1>
      <formula2>54789</formula2>
    </dataValidation>
  </dataValidations>
  <hyperlinks>
    <hyperlink ref="G3" location="characterDeclarations!G3" display="SAVE" xr:uid="{00000000-0004-0000-1400-000000000000}"/>
    <hyperlink ref="D3" location="index!C1" display="INDEX" xr:uid="{00000000-0004-0000-1400-000001000000}"/>
  </hyperlinks>
  <pageMargins left="0.7" right="0.7" top="0.75" bottom="0.75" header="0.3" footer="0.3"/>
  <pageSetup paperSize="9" scale="8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Drop Down 1">
              <controlPr locked="0" defaultSize="0" autoLine="0" autoPict="0" macro="[0]!DropDownCharacterDeclarationsOffenceAwaitingLegalAction_Change">
                <anchor moveWithCells="1">
                  <from>
                    <xdr:col>4</xdr:col>
                    <xdr:colOff>0</xdr:colOff>
                    <xdr:row>5</xdr:row>
                    <xdr:rowOff>200025</xdr:rowOff>
                  </from>
                  <to>
                    <xdr:col>7</xdr:col>
                    <xdr:colOff>0</xdr:colOff>
                    <xdr:row>5</xdr:row>
                    <xdr:rowOff>447675</xdr:rowOff>
                  </to>
                </anchor>
              </controlPr>
            </control>
          </mc:Choice>
        </mc:AlternateContent>
        <mc:AlternateContent xmlns:mc="http://schemas.openxmlformats.org/markup-compatibility/2006">
          <mc:Choice Requires="x14">
            <control shapeId="17410" r:id="rId5" name="Drop Down 2">
              <controlPr locked="0" defaultSize="0" autoLine="0" autoPict="0" macro="[0]!DropDownCharacterDeclarationsOffenceRemoved_Change">
                <anchor moveWithCells="1">
                  <from>
                    <xdr:col>4</xdr:col>
                    <xdr:colOff>0</xdr:colOff>
                    <xdr:row>12</xdr:row>
                    <xdr:rowOff>257175</xdr:rowOff>
                  </from>
                  <to>
                    <xdr:col>7</xdr:col>
                    <xdr:colOff>0</xdr:colOff>
                    <xdr:row>12</xdr:row>
                    <xdr:rowOff>504825</xdr:rowOff>
                  </to>
                </anchor>
              </controlPr>
            </control>
          </mc:Choice>
        </mc:AlternateContent>
        <mc:AlternateContent xmlns:mc="http://schemas.openxmlformats.org/markup-compatibility/2006">
          <mc:Choice Requires="x14">
            <control shapeId="17411" r:id="rId6" name="Drop Down 3">
              <controlPr locked="0" defaultSize="0" autoLine="0" autoPict="0">
                <anchor moveWithCells="1">
                  <from>
                    <xdr:col>4</xdr:col>
                    <xdr:colOff>0</xdr:colOff>
                    <xdr:row>25</xdr:row>
                    <xdr:rowOff>152400</xdr:rowOff>
                  </from>
                  <to>
                    <xdr:col>7</xdr:col>
                    <xdr:colOff>0</xdr:colOff>
                    <xdr:row>25</xdr:row>
                    <xdr:rowOff>409575</xdr:rowOff>
                  </to>
                </anchor>
              </controlPr>
            </control>
          </mc:Choice>
        </mc:AlternateContent>
        <mc:AlternateContent xmlns:mc="http://schemas.openxmlformats.org/markup-compatibility/2006">
          <mc:Choice Requires="x14">
            <control shapeId="17412" r:id="rId7" name="Drop Down 4">
              <controlPr locked="0" defaultSize="0" autoLine="0" autoPict="0">
                <anchor moveWithCells="1">
                  <from>
                    <xdr:col>4</xdr:col>
                    <xdr:colOff>0</xdr:colOff>
                    <xdr:row>28</xdr:row>
                    <xdr:rowOff>266700</xdr:rowOff>
                  </from>
                  <to>
                    <xdr:col>7</xdr:col>
                    <xdr:colOff>0</xdr:colOff>
                    <xdr:row>28</xdr:row>
                    <xdr:rowOff>523875</xdr:rowOff>
                  </to>
                </anchor>
              </controlPr>
            </control>
          </mc:Choice>
        </mc:AlternateContent>
        <mc:AlternateContent xmlns:mc="http://schemas.openxmlformats.org/markup-compatibility/2006">
          <mc:Choice Requires="x14">
            <control shapeId="17413" r:id="rId8" name="Drop Down 5">
              <controlPr locked="0" defaultSize="0" autoLine="0" autoPict="0">
                <anchor moveWithCells="1">
                  <from>
                    <xdr:col>4</xdr:col>
                    <xdr:colOff>0</xdr:colOff>
                    <xdr:row>31</xdr:row>
                    <xdr:rowOff>76200</xdr:rowOff>
                  </from>
                  <to>
                    <xdr:col>7</xdr:col>
                    <xdr:colOff>0</xdr:colOff>
                    <xdr:row>31</xdr:row>
                    <xdr:rowOff>333375</xdr:rowOff>
                  </to>
                </anchor>
              </controlPr>
            </control>
          </mc:Choice>
        </mc:AlternateContent>
        <mc:AlternateContent xmlns:mc="http://schemas.openxmlformats.org/markup-compatibility/2006">
          <mc:Choice Requires="x14">
            <control shapeId="17414" r:id="rId9" name="Drop Down 6">
              <controlPr locked="0" defaultSize="0" autoLine="0" autoPict="0">
                <anchor moveWithCells="1">
                  <from>
                    <xdr:col>4</xdr:col>
                    <xdr:colOff>0</xdr:colOff>
                    <xdr:row>34</xdr:row>
                    <xdr:rowOff>190500</xdr:rowOff>
                  </from>
                  <to>
                    <xdr:col>7</xdr:col>
                    <xdr:colOff>0</xdr:colOff>
                    <xdr:row>34</xdr:row>
                    <xdr:rowOff>447675</xdr:rowOff>
                  </to>
                </anchor>
              </controlPr>
            </control>
          </mc:Choice>
        </mc:AlternateContent>
        <mc:AlternateContent xmlns:mc="http://schemas.openxmlformats.org/markup-compatibility/2006">
          <mc:Choice Requires="x14">
            <control shapeId="17415" r:id="rId10" name="Drop Down 7">
              <controlPr locked="0" defaultSize="0" autoLine="0" autoPict="0">
                <anchor moveWithCells="1">
                  <from>
                    <xdr:col>4</xdr:col>
                    <xdr:colOff>0</xdr:colOff>
                    <xdr:row>37</xdr:row>
                    <xdr:rowOff>76200</xdr:rowOff>
                  </from>
                  <to>
                    <xdr:col>7</xdr:col>
                    <xdr:colOff>0</xdr:colOff>
                    <xdr:row>37</xdr:row>
                    <xdr:rowOff>333375</xdr:rowOff>
                  </to>
                </anchor>
              </controlPr>
            </control>
          </mc:Choice>
        </mc:AlternateContent>
        <mc:AlternateContent xmlns:mc="http://schemas.openxmlformats.org/markup-compatibility/2006">
          <mc:Choice Requires="x14">
            <control shapeId="17416" r:id="rId11" name="Drop Down 8">
              <controlPr locked="0" defaultSize="0" autoLine="0" autoPict="0">
                <anchor moveWithCells="1">
                  <from>
                    <xdr:col>4</xdr:col>
                    <xdr:colOff>0</xdr:colOff>
                    <xdr:row>40</xdr:row>
                    <xdr:rowOff>257175</xdr:rowOff>
                  </from>
                  <to>
                    <xdr:col>7</xdr:col>
                    <xdr:colOff>0</xdr:colOff>
                    <xdr:row>40</xdr:row>
                    <xdr:rowOff>504825</xdr:rowOff>
                  </to>
                </anchor>
              </controlPr>
            </control>
          </mc:Choice>
        </mc:AlternateContent>
        <mc:AlternateContent xmlns:mc="http://schemas.openxmlformats.org/markup-compatibility/2006">
          <mc:Choice Requires="x14">
            <control shapeId="17417" r:id="rId12" name="Drop Down 9">
              <controlPr locked="0" defaultSize="0" autoLine="0" autoPict="0">
                <anchor moveWithCells="1">
                  <from>
                    <xdr:col>4</xdr:col>
                    <xdr:colOff>0</xdr:colOff>
                    <xdr:row>43</xdr:row>
                    <xdr:rowOff>419100</xdr:rowOff>
                  </from>
                  <to>
                    <xdr:col>7</xdr:col>
                    <xdr:colOff>0</xdr:colOff>
                    <xdr:row>43</xdr:row>
                    <xdr:rowOff>676275</xdr:rowOff>
                  </to>
                </anchor>
              </controlPr>
            </control>
          </mc:Choice>
        </mc:AlternateContent>
        <mc:AlternateContent xmlns:mc="http://schemas.openxmlformats.org/markup-compatibility/2006">
          <mc:Choice Requires="x14">
            <control shapeId="17418" r:id="rId13" name="Drop Down 10">
              <controlPr locked="0" defaultSize="0" autoLine="0" autoPict="0">
                <anchor moveWithCells="1">
                  <from>
                    <xdr:col>4</xdr:col>
                    <xdr:colOff>0</xdr:colOff>
                    <xdr:row>46</xdr:row>
                    <xdr:rowOff>257175</xdr:rowOff>
                  </from>
                  <to>
                    <xdr:col>7</xdr:col>
                    <xdr:colOff>0</xdr:colOff>
                    <xdr:row>46</xdr:row>
                    <xdr:rowOff>504825</xdr:rowOff>
                  </to>
                </anchor>
              </controlPr>
            </control>
          </mc:Choice>
        </mc:AlternateContent>
        <mc:AlternateContent xmlns:mc="http://schemas.openxmlformats.org/markup-compatibility/2006">
          <mc:Choice Requires="x14">
            <control shapeId="17419" r:id="rId14" name="Drop Down 11">
              <controlPr locked="0" defaultSize="0" autoLine="0" autoPict="0">
                <anchor moveWithCells="1">
                  <from>
                    <xdr:col>4</xdr:col>
                    <xdr:colOff>0</xdr:colOff>
                    <xdr:row>49</xdr:row>
                    <xdr:rowOff>419100</xdr:rowOff>
                  </from>
                  <to>
                    <xdr:col>7</xdr:col>
                    <xdr:colOff>0</xdr:colOff>
                    <xdr:row>49</xdr:row>
                    <xdr:rowOff>676275</xdr:rowOff>
                  </to>
                </anchor>
              </controlPr>
            </control>
          </mc:Choice>
        </mc:AlternateContent>
        <mc:AlternateContent xmlns:mc="http://schemas.openxmlformats.org/markup-compatibility/2006">
          <mc:Choice Requires="x14">
            <control shapeId="17420" r:id="rId15" name="Drop Down 12">
              <controlPr locked="0" defaultSize="0" autoLine="0" autoPict="0" macro="[0]!DropDownCharacterDeclarationsMilitaryService_Change">
                <anchor moveWithCells="1">
                  <from>
                    <xdr:col>4</xdr:col>
                    <xdr:colOff>0</xdr:colOff>
                    <xdr:row>52</xdr:row>
                    <xdr:rowOff>333375</xdr:rowOff>
                  </from>
                  <to>
                    <xdr:col>7</xdr:col>
                    <xdr:colOff>0</xdr:colOff>
                    <xdr:row>52</xdr:row>
                    <xdr:rowOff>581025</xdr:rowOff>
                  </to>
                </anchor>
              </controlPr>
            </control>
          </mc:Choice>
        </mc:AlternateContent>
        <mc:AlternateContent xmlns:mc="http://schemas.openxmlformats.org/markup-compatibility/2006">
          <mc:Choice Requires="x14">
            <control shapeId="17421" r:id="rId16" name="Drop Down 13">
              <controlPr locked="0" defaultSize="0" autoLine="0" autoPict="0" macro="[0]!DropDownCharacterDeclarationsMilitaryTraining_Change">
                <anchor moveWithCells="1">
                  <from>
                    <xdr:col>4</xdr:col>
                    <xdr:colOff>0</xdr:colOff>
                    <xdr:row>59</xdr:row>
                    <xdr:rowOff>266700</xdr:rowOff>
                  </from>
                  <to>
                    <xdr:col>7</xdr:col>
                    <xdr:colOff>0</xdr:colOff>
                    <xdr:row>59</xdr:row>
                    <xdr:rowOff>523875</xdr:rowOff>
                  </to>
                </anchor>
              </controlPr>
            </control>
          </mc:Choice>
        </mc:AlternateContent>
        <mc:AlternateContent xmlns:mc="http://schemas.openxmlformats.org/markup-compatibility/2006">
          <mc:Choice Requires="x14">
            <control shapeId="17422" r:id="rId17" name="Drop Down 14">
              <controlPr locked="0" defaultSize="0" autoLine="0" autoPict="0">
                <anchor moveWithCells="1">
                  <from>
                    <xdr:col>4</xdr:col>
                    <xdr:colOff>0</xdr:colOff>
                    <xdr:row>66</xdr:row>
                    <xdr:rowOff>180975</xdr:rowOff>
                  </from>
                  <to>
                    <xdr:col>7</xdr:col>
                    <xdr:colOff>0</xdr:colOff>
                    <xdr:row>66</xdr:row>
                    <xdr:rowOff>419100</xdr:rowOff>
                  </to>
                </anchor>
              </controlPr>
            </control>
          </mc:Choice>
        </mc:AlternateContent>
        <mc:AlternateContent xmlns:mc="http://schemas.openxmlformats.org/markup-compatibility/2006">
          <mc:Choice Requires="x14">
            <control shapeId="17423" r:id="rId18" name="Drop Down 15">
              <controlPr locked="0" defaultSize="0" autoLine="0" autoPict="0">
                <anchor moveWithCells="1">
                  <from>
                    <xdr:col>4</xdr:col>
                    <xdr:colOff>0</xdr:colOff>
                    <xdr:row>69</xdr:row>
                    <xdr:rowOff>295275</xdr:rowOff>
                  </from>
                  <to>
                    <xdr:col>7</xdr:col>
                    <xdr:colOff>0</xdr:colOff>
                    <xdr:row>69</xdr:row>
                    <xdr:rowOff>533400</xdr:rowOff>
                  </to>
                </anchor>
              </controlPr>
            </control>
          </mc:Choice>
        </mc:AlternateContent>
        <mc:AlternateContent xmlns:mc="http://schemas.openxmlformats.org/markup-compatibility/2006">
          <mc:Choice Requires="x14">
            <control shapeId="17424" r:id="rId19" name="Drop Down 16">
              <controlPr locked="0" defaultSize="0" autoLine="0" autoPict="0">
                <anchor moveWithCells="1">
                  <from>
                    <xdr:col>4</xdr:col>
                    <xdr:colOff>0</xdr:colOff>
                    <xdr:row>72</xdr:row>
                    <xdr:rowOff>180975</xdr:rowOff>
                  </from>
                  <to>
                    <xdr:col>7</xdr:col>
                    <xdr:colOff>0</xdr:colOff>
                    <xdr:row>72</xdr:row>
                    <xdr:rowOff>419100</xdr:rowOff>
                  </to>
                </anchor>
              </controlPr>
            </control>
          </mc:Choice>
        </mc:AlternateContent>
        <mc:AlternateContent xmlns:mc="http://schemas.openxmlformats.org/markup-compatibility/2006">
          <mc:Choice Requires="x14">
            <control shapeId="17425" r:id="rId20" name="Drop Down 17">
              <controlPr locked="0" defaultSize="0" autoLine="0" autoPict="0">
                <anchor moveWithCells="1">
                  <from>
                    <xdr:col>4</xdr:col>
                    <xdr:colOff>0</xdr:colOff>
                    <xdr:row>75</xdr:row>
                    <xdr:rowOff>219075</xdr:rowOff>
                  </from>
                  <to>
                    <xdr:col>7</xdr:col>
                    <xdr:colOff>0</xdr:colOff>
                    <xdr:row>75</xdr:row>
                    <xdr:rowOff>457200</xdr:rowOff>
                  </to>
                </anchor>
              </controlPr>
            </control>
          </mc:Choice>
        </mc:AlternateContent>
        <mc:AlternateContent xmlns:mc="http://schemas.openxmlformats.org/markup-compatibility/2006">
          <mc:Choice Requires="x14">
            <control shapeId="17426" r:id="rId21" name="Drop Down 18">
              <controlPr defaultSize="0" autoLine="0" autoPict="0">
                <anchor moveWithCells="1">
                  <from>
                    <xdr:col>4</xdr:col>
                    <xdr:colOff>0</xdr:colOff>
                    <xdr:row>61</xdr:row>
                    <xdr:rowOff>0</xdr:rowOff>
                  </from>
                  <to>
                    <xdr:col>7</xdr:col>
                    <xdr:colOff>0</xdr:colOff>
                    <xdr:row>66</xdr:row>
                    <xdr:rowOff>247650</xdr:rowOff>
                  </to>
                </anchor>
              </controlPr>
            </control>
          </mc:Choice>
        </mc:AlternateContent>
        <mc:AlternateContent xmlns:mc="http://schemas.openxmlformats.org/markup-compatibility/2006">
          <mc:Choice Requires="x14">
            <control shapeId="17427" r:id="rId22" name="Drop Down 19">
              <controlPr locked="0" defaultSize="0" autoLine="0" autoPict="0">
                <anchor moveWithCells="1">
                  <from>
                    <xdr:col>4</xdr:col>
                    <xdr:colOff>0</xdr:colOff>
                    <xdr:row>54</xdr:row>
                    <xdr:rowOff>0</xdr:rowOff>
                  </from>
                  <to>
                    <xdr:col>7</xdr:col>
                    <xdr:colOff>0</xdr:colOff>
                    <xdr:row>59</xdr:row>
                    <xdr:rowOff>247650</xdr:rowOff>
                  </to>
                </anchor>
              </controlPr>
            </control>
          </mc:Choice>
        </mc:AlternateContent>
        <mc:AlternateContent xmlns:mc="http://schemas.openxmlformats.org/markup-compatibility/2006">
          <mc:Choice Requires="x14">
            <control shapeId="17429" r:id="rId23" name="Drop Down 21">
              <controlPr defaultSize="0" autoLine="0" autoPict="0">
                <anchor moveWithCells="1">
                  <from>
                    <xdr:col>4</xdr:col>
                    <xdr:colOff>0</xdr:colOff>
                    <xdr:row>53</xdr:row>
                    <xdr:rowOff>0</xdr:rowOff>
                  </from>
                  <to>
                    <xdr:col>7</xdr:col>
                    <xdr:colOff>0</xdr:colOff>
                    <xdr:row>59</xdr:row>
                    <xdr:rowOff>247650</xdr:rowOff>
                  </to>
                </anchor>
              </controlPr>
            </control>
          </mc:Choice>
        </mc:AlternateContent>
        <mc:AlternateContent xmlns:mc="http://schemas.openxmlformats.org/markup-compatibility/2006">
          <mc:Choice Requires="x14">
            <control shapeId="17430" r:id="rId24" name="Drop Down 22">
              <controlPr defaultSize="0" autoLine="0" autoPict="0">
                <anchor moveWithCells="1">
                  <from>
                    <xdr:col>4</xdr:col>
                    <xdr:colOff>0</xdr:colOff>
                    <xdr:row>60</xdr:row>
                    <xdr:rowOff>0</xdr:rowOff>
                  </from>
                  <to>
                    <xdr:col>7</xdr:col>
                    <xdr:colOff>0</xdr:colOff>
                    <xdr:row>66</xdr:row>
                    <xdr:rowOff>247650</xdr:rowOff>
                  </to>
                </anchor>
              </controlPr>
            </control>
          </mc:Choice>
        </mc:AlternateContent>
        <mc:AlternateContent xmlns:mc="http://schemas.openxmlformats.org/markup-compatibility/2006">
          <mc:Choice Requires="x14">
            <control shapeId="17431" r:id="rId25" name="Drop Down 23">
              <controlPr locked="0" defaultSize="0" autoLine="0" autoPict="0">
                <anchor moveWithCells="1">
                  <from>
                    <xdr:col>4</xdr:col>
                    <xdr:colOff>0</xdr:colOff>
                    <xdr:row>7</xdr:row>
                    <xdr:rowOff>0</xdr:rowOff>
                  </from>
                  <to>
                    <xdr:col>7</xdr:col>
                    <xdr:colOff>0</xdr:colOff>
                    <xdr:row>12</xdr:row>
                    <xdr:rowOff>247650</xdr:rowOff>
                  </to>
                </anchor>
              </controlPr>
            </control>
          </mc:Choice>
        </mc:AlternateContent>
        <mc:AlternateContent xmlns:mc="http://schemas.openxmlformats.org/markup-compatibility/2006">
          <mc:Choice Requires="x14">
            <control shapeId="17432" r:id="rId26" name="Drop Down 24">
              <controlPr locked="0" defaultSize="0" autoLine="0" autoPict="0">
                <anchor moveWithCells="1">
                  <from>
                    <xdr:col>4</xdr:col>
                    <xdr:colOff>0</xdr:colOff>
                    <xdr:row>8</xdr:row>
                    <xdr:rowOff>0</xdr:rowOff>
                  </from>
                  <to>
                    <xdr:col>7</xdr:col>
                    <xdr:colOff>0</xdr:colOff>
                    <xdr:row>12</xdr:row>
                    <xdr:rowOff>247650</xdr:rowOff>
                  </to>
                </anchor>
              </controlPr>
            </control>
          </mc:Choice>
        </mc:AlternateContent>
        <mc:AlternateContent xmlns:mc="http://schemas.openxmlformats.org/markup-compatibility/2006">
          <mc:Choice Requires="x14">
            <control shapeId="17433" r:id="rId27" name="Drop Down 25">
              <controlPr locked="0" defaultSize="0" autoLine="0" autoPict="0" macro="[0]!DropDownCharacterDeclarationsOffenceRemoved_Change">
                <anchor moveWithCells="1">
                  <from>
                    <xdr:col>4</xdr:col>
                    <xdr:colOff>0</xdr:colOff>
                    <xdr:row>14</xdr:row>
                    <xdr:rowOff>0</xdr:rowOff>
                  </from>
                  <to>
                    <xdr:col>7</xdr:col>
                    <xdr:colOff>0</xdr:colOff>
                    <xdr:row>19</xdr:row>
                    <xdr:rowOff>247650</xdr:rowOff>
                  </to>
                </anchor>
              </controlPr>
            </control>
          </mc:Choice>
        </mc:AlternateContent>
        <mc:AlternateContent xmlns:mc="http://schemas.openxmlformats.org/markup-compatibility/2006">
          <mc:Choice Requires="x14">
            <control shapeId="17434" r:id="rId28" name="Drop Down 26">
              <controlPr locked="0" defaultSize="0" autoLine="0" autoPict="0">
                <anchor moveWithCells="1">
                  <from>
                    <xdr:col>4</xdr:col>
                    <xdr:colOff>0</xdr:colOff>
                    <xdr:row>15</xdr:row>
                    <xdr:rowOff>0</xdr:rowOff>
                  </from>
                  <to>
                    <xdr:col>7</xdr:col>
                    <xdr:colOff>0</xdr:colOff>
                    <xdr:row>19</xdr:row>
                    <xdr:rowOff>247650</xdr:rowOff>
                  </to>
                </anchor>
              </controlPr>
            </control>
          </mc:Choice>
        </mc:AlternateContent>
        <mc:AlternateContent xmlns:mc="http://schemas.openxmlformats.org/markup-compatibility/2006">
          <mc:Choice Requires="x14">
            <control shapeId="17437" r:id="rId29" name="Drop Down 29">
              <controlPr locked="0" defaultSize="0" autoLine="0" autoPict="0">
                <anchor moveWithCells="1">
                  <from>
                    <xdr:col>4</xdr:col>
                    <xdr:colOff>0</xdr:colOff>
                    <xdr:row>21</xdr:row>
                    <xdr:rowOff>0</xdr:rowOff>
                  </from>
                  <to>
                    <xdr:col>7</xdr:col>
                    <xdr:colOff>0</xdr:colOff>
                    <xdr:row>25</xdr:row>
                    <xdr:rowOff>247650</xdr:rowOff>
                  </to>
                </anchor>
              </controlPr>
            </control>
          </mc:Choice>
        </mc:AlternateContent>
        <mc:AlternateContent xmlns:mc="http://schemas.openxmlformats.org/markup-compatibility/2006">
          <mc:Choice Requires="x14">
            <control shapeId="17438" r:id="rId30" name="Drop Down 30">
              <controlPr locked="0" defaultSize="0" autoLine="0" autoPict="0" macro="[0]!DropDownCharacterDeclarationsDomesticViolence_Change">
                <anchor moveWithCells="1">
                  <from>
                    <xdr:col>4</xdr:col>
                    <xdr:colOff>0</xdr:colOff>
                    <xdr:row>19</xdr:row>
                    <xdr:rowOff>381000</xdr:rowOff>
                  </from>
                  <to>
                    <xdr:col>7</xdr:col>
                    <xdr:colOff>0</xdr:colOff>
                    <xdr:row>19</xdr:row>
                    <xdr:rowOff>628650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8">
    <tabColor theme="8" tint="0.59999389629810485"/>
    <pageSetUpPr fitToPage="1"/>
  </sheetPr>
  <dimension ref="A1:H7"/>
  <sheetViews>
    <sheetView showGridLines="0" showRowColHeaders="0" topLeftCell="C1" workbookViewId="0">
      <selection activeCell="D3" sqref="D3"/>
    </sheetView>
  </sheetViews>
  <sheetFormatPr defaultColWidth="9.33203125" defaultRowHeight="12.75"/>
  <cols>
    <col min="1" max="2" width="10.83203125" style="4" hidden="1" customWidth="1"/>
    <col min="3" max="3" width="3.83203125" style="4" customWidth="1"/>
    <col min="4" max="4" width="50.83203125" style="4" customWidth="1"/>
    <col min="5" max="5" width="40.83203125" style="4" customWidth="1"/>
    <col min="6" max="7" width="10.83203125" style="4" customWidth="1"/>
    <col min="8" max="8" width="3.83203125" style="4" customWidth="1"/>
    <col min="9" max="16" width="0" style="4" hidden="1" customWidth="1"/>
    <col min="17" max="16384" width="9.33203125" style="4"/>
  </cols>
  <sheetData>
    <row r="1" spans="1:8" ht="39.950000000000003" customHeight="1">
      <c r="A1" s="33"/>
      <c r="B1" s="104"/>
      <c r="G1" s="86"/>
    </row>
    <row r="2" spans="1:8" ht="39.950000000000003" customHeight="1">
      <c r="B2" s="104"/>
      <c r="D2" s="183" t="s">
        <v>8</v>
      </c>
      <c r="E2" s="183"/>
      <c r="F2" s="183"/>
      <c r="G2" s="183"/>
    </row>
    <row r="3" spans="1:8" ht="30" customHeight="1">
      <c r="B3" s="104"/>
      <c r="C3" s="32"/>
      <c r="D3" s="120" t="s">
        <v>40</v>
      </c>
      <c r="E3" s="32"/>
      <c r="F3" s="88"/>
      <c r="G3" s="88" t="s">
        <v>1224</v>
      </c>
      <c r="H3" s="32"/>
    </row>
    <row r="4" spans="1:8" ht="30" customHeight="1">
      <c r="B4" s="104"/>
      <c r="C4" s="68"/>
      <c r="D4" s="184" t="s">
        <v>173</v>
      </c>
      <c r="E4" s="184"/>
      <c r="F4" s="184"/>
      <c r="G4" s="184"/>
      <c r="H4" s="68"/>
    </row>
    <row r="5" spans="1:8" ht="18">
      <c r="B5" s="104"/>
      <c r="D5" s="5"/>
      <c r="E5" s="5"/>
    </row>
    <row r="6" spans="1:8" s="6" customFormat="1" ht="36.75" customHeight="1">
      <c r="B6" s="105"/>
      <c r="D6" s="362" t="s">
        <v>174</v>
      </c>
      <c r="E6" s="363"/>
      <c r="F6" s="363"/>
      <c r="G6" s="364"/>
    </row>
    <row r="7" spans="1:8" s="6" customFormat="1" ht="219.6" customHeight="1">
      <c r="B7" s="105"/>
      <c r="D7" s="359"/>
      <c r="E7" s="360"/>
      <c r="F7" s="360"/>
      <c r="G7" s="361"/>
    </row>
  </sheetData>
  <sheetProtection password="B970" sheet="1" objects="1" scenarios="1"/>
  <mergeCells count="4">
    <mergeCell ref="D7:G7"/>
    <mergeCell ref="D6:G6"/>
    <mergeCell ref="D2:G2"/>
    <mergeCell ref="D4:G4"/>
  </mergeCells>
  <hyperlinks>
    <hyperlink ref="G3" location="additionalInfo!G3" display="SAVE" xr:uid="{00000000-0004-0000-1500-000000000000}"/>
    <hyperlink ref="D3" location="index!C1" display="INDEX" xr:uid="{00000000-0004-0000-1500-000001000000}"/>
  </hyperlinks>
  <pageMargins left="0.7" right="0.7" top="0.75" bottom="0.75" header="0.3" footer="0.3"/>
  <pageSetup paperSize="9" scale="80" fitToHeight="0"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O27"/>
  <sheetViews>
    <sheetView showGridLines="0" showRowColHeaders="0" topLeftCell="C1" workbookViewId="0">
      <selection activeCell="D3" sqref="D3"/>
    </sheetView>
  </sheetViews>
  <sheetFormatPr defaultColWidth="9.33203125" defaultRowHeight="12.75"/>
  <cols>
    <col min="1" max="2" width="14.1640625" style="4" hidden="1" customWidth="1"/>
    <col min="3" max="3" width="3.83203125" style="4" customWidth="1"/>
    <col min="4" max="4" width="50.83203125" style="4" customWidth="1"/>
    <col min="5" max="5" width="40.83203125" style="4" customWidth="1"/>
    <col min="6" max="7" width="10.83203125" style="4" customWidth="1"/>
    <col min="8" max="8" width="3.83203125" style="4" customWidth="1"/>
    <col min="9" max="9" width="9.33203125" style="4" customWidth="1"/>
    <col min="10" max="12" width="9.33203125" style="4" hidden="1" customWidth="1"/>
    <col min="13" max="13" width="73.83203125" style="4" hidden="1" customWidth="1"/>
    <col min="14" max="15" width="9.33203125" style="4" hidden="1" customWidth="1"/>
    <col min="16" max="16" width="9.33203125" style="4" customWidth="1"/>
    <col min="17" max="16384" width="9.33203125" style="4"/>
  </cols>
  <sheetData>
    <row r="1" spans="1:15" ht="39.950000000000003" customHeight="1">
      <c r="A1" s="33"/>
      <c r="G1" s="86"/>
      <c r="J1" s="4" t="s">
        <v>1960</v>
      </c>
      <c r="K1" s="4" t="s">
        <v>1960</v>
      </c>
      <c r="L1" s="4" t="s">
        <v>1960</v>
      </c>
      <c r="M1" s="4" t="s">
        <v>1960</v>
      </c>
      <c r="N1" s="4" t="s">
        <v>1960</v>
      </c>
      <c r="O1" s="4" t="s">
        <v>1960</v>
      </c>
    </row>
    <row r="2" spans="1:15" ht="39.950000000000003" customHeight="1">
      <c r="D2" s="183" t="s">
        <v>8</v>
      </c>
      <c r="E2" s="183"/>
      <c r="F2" s="183"/>
      <c r="G2" s="183"/>
      <c r="J2" s="79" t="s">
        <v>1965</v>
      </c>
      <c r="K2" s="79"/>
      <c r="L2" s="79"/>
      <c r="M2" s="79"/>
      <c r="N2" s="79"/>
      <c r="O2" s="79"/>
    </row>
    <row r="3" spans="1:15" ht="30" customHeight="1">
      <c r="C3" s="32"/>
      <c r="D3" s="120" t="s">
        <v>40</v>
      </c>
      <c r="E3" s="32"/>
      <c r="F3" s="88"/>
      <c r="G3" s="88" t="s">
        <v>1224</v>
      </c>
      <c r="H3" s="32"/>
      <c r="J3" s="4" t="s">
        <v>1961</v>
      </c>
      <c r="K3" s="4" t="s">
        <v>1962</v>
      </c>
      <c r="L3" s="4" t="s">
        <v>1963</v>
      </c>
      <c r="M3" s="4" t="s">
        <v>1964</v>
      </c>
    </row>
    <row r="4" spans="1:15" ht="30" customHeight="1">
      <c r="C4" s="68"/>
      <c r="D4" s="184" t="s">
        <v>1923</v>
      </c>
      <c r="E4" s="184"/>
      <c r="F4" s="184"/>
      <c r="G4" s="184"/>
      <c r="H4" s="68"/>
      <c r="K4" s="125">
        <f>IF(N4=O4,1,0)</f>
        <v>0</v>
      </c>
      <c r="N4" s="4">
        <f>SUM(N6:N97)</f>
        <v>18</v>
      </c>
      <c r="O4" s="4">
        <f>SUM(O6:O97)</f>
        <v>0</v>
      </c>
    </row>
    <row r="5" spans="1:15" ht="18">
      <c r="D5" s="5"/>
      <c r="E5" s="5"/>
    </row>
    <row r="6" spans="1:15" s="34" customFormat="1" ht="20.45" customHeight="1">
      <c r="D6" s="365" t="s">
        <v>1943</v>
      </c>
      <c r="E6" s="365"/>
      <c r="F6" s="365"/>
      <c r="G6" s="365"/>
      <c r="J6" s="103">
        <v>1</v>
      </c>
      <c r="K6" s="4"/>
      <c r="L6" s="4"/>
      <c r="M6" s="4"/>
      <c r="N6" s="4"/>
      <c r="O6" s="4"/>
    </row>
    <row r="7" spans="1:15" s="34" customFormat="1" ht="20.100000000000001" customHeight="1">
      <c r="D7" s="40"/>
      <c r="E7" s="40"/>
      <c r="F7" s="40"/>
      <c r="G7" s="40"/>
      <c r="K7" s="4"/>
      <c r="L7" s="4"/>
      <c r="M7" s="4"/>
      <c r="N7" s="4"/>
      <c r="O7" s="4"/>
    </row>
    <row r="8" spans="1:15" s="34" customFormat="1" ht="20.100000000000001" customHeight="1">
      <c r="A8" s="113"/>
      <c r="B8" s="113">
        <v>1</v>
      </c>
      <c r="C8" s="74" t="s">
        <v>1912</v>
      </c>
      <c r="D8" s="250" t="s">
        <v>213</v>
      </c>
      <c r="E8" s="252"/>
      <c r="F8" s="281"/>
      <c r="G8" s="283"/>
      <c r="J8" s="6">
        <f>IF($C8="*",IF($A8="Hide",0,$J$6),0)</f>
        <v>1</v>
      </c>
      <c r="K8" s="129">
        <f>IF(B8=1,0,1)</f>
        <v>0</v>
      </c>
      <c r="L8" s="127">
        <f>IF(A8="Hide",0,IF($J$6=1,B8,1))</f>
        <v>1</v>
      </c>
      <c r="M8" s="52" t="str">
        <f>formData!B664</f>
        <v>DECLARATIONS_READ_UNDERSTOOD</v>
      </c>
      <c r="N8" s="6">
        <f t="shared" ref="N8:N9" si="0">IF(J8=1,1,0)</f>
        <v>1</v>
      </c>
      <c r="O8" s="6">
        <f t="shared" ref="O8:O9" si="1">+J8*K8</f>
        <v>0</v>
      </c>
    </row>
    <row r="9" spans="1:15" s="34" customFormat="1" ht="35.1" customHeight="1">
      <c r="A9" s="113"/>
      <c r="B9" s="113">
        <v>1</v>
      </c>
      <c r="C9" s="74" t="s">
        <v>1912</v>
      </c>
      <c r="D9" s="250" t="s">
        <v>214</v>
      </c>
      <c r="E9" s="252"/>
      <c r="F9" s="281"/>
      <c r="G9" s="283"/>
      <c r="J9" s="6">
        <f>IF($C9="*",IF($A9="Hide",0,$J$6),0)</f>
        <v>1</v>
      </c>
      <c r="K9" s="129">
        <f>IF(B9=1,0,1)</f>
        <v>0</v>
      </c>
      <c r="L9" s="127">
        <f>IF(A9="Hide",0,IF($J$6=1,B9,1))</f>
        <v>1</v>
      </c>
      <c r="M9" s="52" t="str">
        <f>formData!B665</f>
        <v>DECLARATIONS_CORRECT_INFORMATION</v>
      </c>
      <c r="N9" s="6">
        <f t="shared" si="0"/>
        <v>1</v>
      </c>
      <c r="O9" s="6">
        <f t="shared" si="1"/>
        <v>0</v>
      </c>
    </row>
    <row r="10" spans="1:15" s="34" customFormat="1" ht="72" customHeight="1">
      <c r="A10" s="113"/>
      <c r="B10" s="113">
        <v>1</v>
      </c>
      <c r="C10" s="74" t="s">
        <v>1912</v>
      </c>
      <c r="D10" s="250" t="s">
        <v>215</v>
      </c>
      <c r="E10" s="252"/>
      <c r="F10" s="281"/>
      <c r="G10" s="283"/>
      <c r="J10" s="6">
        <f>IF($C10="*",IF($A10="Hide",0,$J$6),0)</f>
        <v>1</v>
      </c>
      <c r="K10" s="129">
        <f>IF(B10=1,0,1)</f>
        <v>0</v>
      </c>
      <c r="L10" s="127">
        <f>IF(A10="Hide",0,IF($J$6=1,B10,1))</f>
        <v>1</v>
      </c>
      <c r="M10" s="52" t="str">
        <f>formData!B666</f>
        <v>DECLARATIONS_MISLEADING_INFO</v>
      </c>
      <c r="N10" s="6">
        <f t="shared" ref="N10:N25" si="2">IF(J10=1,1,0)</f>
        <v>1</v>
      </c>
      <c r="O10" s="6">
        <f t="shared" ref="O10:O25" si="3">+J10*K10</f>
        <v>0</v>
      </c>
    </row>
    <row r="11" spans="1:15" s="34" customFormat="1" ht="42.6" customHeight="1">
      <c r="A11" s="113"/>
      <c r="B11" s="113">
        <v>1</v>
      </c>
      <c r="C11" s="74" t="s">
        <v>1912</v>
      </c>
      <c r="D11" s="250" t="s">
        <v>216</v>
      </c>
      <c r="E11" s="252"/>
      <c r="F11" s="281"/>
      <c r="G11" s="283"/>
      <c r="J11" s="6">
        <f t="shared" ref="J11:J25" si="4">IF($C11="*",IF($A11="Hide",0,$J$6),0)</f>
        <v>1</v>
      </c>
      <c r="K11" s="129">
        <f t="shared" ref="K11:K25" si="5">IF(B11=1,0,1)</f>
        <v>0</v>
      </c>
      <c r="L11" s="127">
        <f t="shared" ref="L11:L25" si="6">IF(A11="Hide",0,IF($J$6=1,B11,1))</f>
        <v>1</v>
      </c>
      <c r="M11" s="52" t="str">
        <f>formData!B667</f>
        <v>DECLARATIONS_FRAUDULENT_INFO</v>
      </c>
      <c r="N11" s="6">
        <f t="shared" si="2"/>
        <v>1</v>
      </c>
      <c r="O11" s="6">
        <f t="shared" si="3"/>
        <v>0</v>
      </c>
    </row>
    <row r="12" spans="1:15" s="34" customFormat="1" ht="41.1" customHeight="1">
      <c r="A12" s="113"/>
      <c r="B12" s="113">
        <v>1</v>
      </c>
      <c r="C12" s="74" t="s">
        <v>1912</v>
      </c>
      <c r="D12" s="250" t="s">
        <v>217</v>
      </c>
      <c r="E12" s="252"/>
      <c r="F12" s="281"/>
      <c r="G12" s="283"/>
      <c r="J12" s="6">
        <f t="shared" si="4"/>
        <v>1</v>
      </c>
      <c r="K12" s="129">
        <f t="shared" si="5"/>
        <v>0</v>
      </c>
      <c r="L12" s="127">
        <f t="shared" si="6"/>
        <v>1</v>
      </c>
      <c r="M12" s="52" t="str">
        <f>formData!B668</f>
        <v>DECLARATIONS_RIGHT_OF_ENTRY</v>
      </c>
      <c r="N12" s="6">
        <f t="shared" si="2"/>
        <v>1</v>
      </c>
      <c r="O12" s="6">
        <f t="shared" si="3"/>
        <v>0</v>
      </c>
    </row>
    <row r="13" spans="1:15" s="34" customFormat="1" ht="56.1" customHeight="1">
      <c r="A13" s="113"/>
      <c r="B13" s="113">
        <v>1</v>
      </c>
      <c r="C13" s="74" t="s">
        <v>1912</v>
      </c>
      <c r="D13" s="342" t="s">
        <v>218</v>
      </c>
      <c r="E13" s="344"/>
      <c r="F13" s="281"/>
      <c r="G13" s="283"/>
      <c r="J13" s="6">
        <f t="shared" si="4"/>
        <v>1</v>
      </c>
      <c r="K13" s="129">
        <f t="shared" si="5"/>
        <v>0</v>
      </c>
      <c r="L13" s="127">
        <f t="shared" si="6"/>
        <v>1</v>
      </c>
      <c r="M13" s="52" t="str">
        <f>formData!B669</f>
        <v>DECLARATIONS_WRITING_IMMEDIATELY</v>
      </c>
      <c r="N13" s="6">
        <f t="shared" si="2"/>
        <v>1</v>
      </c>
      <c r="O13" s="6">
        <f t="shared" si="3"/>
        <v>0</v>
      </c>
    </row>
    <row r="14" spans="1:15" s="34" customFormat="1" ht="20.100000000000001" customHeight="1">
      <c r="A14" s="113"/>
      <c r="B14" s="113">
        <v>1</v>
      </c>
      <c r="C14" s="74" t="s">
        <v>1912</v>
      </c>
      <c r="D14" s="342" t="s">
        <v>219</v>
      </c>
      <c r="E14" s="344"/>
      <c r="F14" s="281"/>
      <c r="G14" s="283"/>
      <c r="J14" s="6">
        <f t="shared" si="4"/>
        <v>1</v>
      </c>
      <c r="K14" s="129">
        <f t="shared" si="5"/>
        <v>0</v>
      </c>
      <c r="L14" s="127">
        <f t="shared" si="6"/>
        <v>1</v>
      </c>
      <c r="M14" s="52" t="str">
        <f>formData!B670</f>
        <v>DECLARATIONS_PRIVACY_NOTICE</v>
      </c>
      <c r="N14" s="6">
        <f t="shared" si="2"/>
        <v>1</v>
      </c>
      <c r="O14" s="6">
        <f t="shared" si="3"/>
        <v>0</v>
      </c>
    </row>
    <row r="15" spans="1:15" s="34" customFormat="1" ht="52.35" customHeight="1">
      <c r="A15" s="113"/>
      <c r="B15" s="113">
        <v>1</v>
      </c>
      <c r="C15" s="74" t="s">
        <v>1912</v>
      </c>
      <c r="D15" s="342" t="s">
        <v>220</v>
      </c>
      <c r="E15" s="344"/>
      <c r="F15" s="281"/>
      <c r="G15" s="283"/>
      <c r="J15" s="6">
        <f t="shared" si="4"/>
        <v>1</v>
      </c>
      <c r="K15" s="129">
        <f t="shared" si="5"/>
        <v>0</v>
      </c>
      <c r="L15" s="127">
        <f t="shared" si="6"/>
        <v>1</v>
      </c>
      <c r="M15" s="52" t="str">
        <f>formData!B671</f>
        <v>DECLARATIONS_SENSITIVE_INFORMATION</v>
      </c>
      <c r="N15" s="6">
        <f t="shared" si="2"/>
        <v>1</v>
      </c>
      <c r="O15" s="6">
        <f t="shared" si="3"/>
        <v>0</v>
      </c>
    </row>
    <row r="16" spans="1:15" s="34" customFormat="1" ht="20.100000000000001" customHeight="1">
      <c r="A16" s="113"/>
      <c r="B16" s="113">
        <v>1</v>
      </c>
      <c r="C16" s="74" t="s">
        <v>1912</v>
      </c>
      <c r="D16" s="250" t="s">
        <v>221</v>
      </c>
      <c r="E16" s="252"/>
      <c r="F16" s="281"/>
      <c r="G16" s="283"/>
      <c r="J16" s="6">
        <f t="shared" si="4"/>
        <v>1</v>
      </c>
      <c r="K16" s="129">
        <f t="shared" si="5"/>
        <v>0</v>
      </c>
      <c r="L16" s="127">
        <f t="shared" si="6"/>
        <v>1</v>
      </c>
      <c r="M16" s="52" t="str">
        <f>formData!B672</f>
        <v>DECLARATIONS_ABIDE</v>
      </c>
      <c r="N16" s="6">
        <f t="shared" si="2"/>
        <v>1</v>
      </c>
      <c r="O16" s="6">
        <f t="shared" si="3"/>
        <v>0</v>
      </c>
    </row>
    <row r="17" spans="1:15" s="34" customFormat="1" ht="38.450000000000003" customHeight="1">
      <c r="A17" s="113"/>
      <c r="B17" s="113">
        <v>1</v>
      </c>
      <c r="C17" s="74" t="s">
        <v>1912</v>
      </c>
      <c r="D17" s="250" t="s">
        <v>222</v>
      </c>
      <c r="E17" s="252"/>
      <c r="F17" s="281"/>
      <c r="G17" s="283"/>
      <c r="J17" s="6">
        <f t="shared" si="4"/>
        <v>1</v>
      </c>
      <c r="K17" s="129">
        <f t="shared" si="5"/>
        <v>0</v>
      </c>
      <c r="L17" s="127">
        <f t="shared" si="6"/>
        <v>1</v>
      </c>
      <c r="M17" s="52" t="str">
        <f>formData!B673</f>
        <v>DECLARATIONS_ADEQUATE</v>
      </c>
      <c r="N17" s="6">
        <f t="shared" si="2"/>
        <v>1</v>
      </c>
      <c r="O17" s="6">
        <f t="shared" si="3"/>
        <v>0</v>
      </c>
    </row>
    <row r="18" spans="1:15" s="34" customFormat="1" ht="31.35" customHeight="1">
      <c r="A18" s="113"/>
      <c r="B18" s="113">
        <v>1</v>
      </c>
      <c r="C18" s="74" t="s">
        <v>1912</v>
      </c>
      <c r="D18" s="342" t="s">
        <v>223</v>
      </c>
      <c r="E18" s="344"/>
      <c r="F18" s="281"/>
      <c r="G18" s="283"/>
      <c r="J18" s="6">
        <f t="shared" si="4"/>
        <v>1</v>
      </c>
      <c r="K18" s="129">
        <f t="shared" si="5"/>
        <v>0</v>
      </c>
      <c r="L18" s="127">
        <f t="shared" si="6"/>
        <v>1</v>
      </c>
      <c r="M18" s="52" t="str">
        <f>formData!B674</f>
        <v>DECLARATIONS_FACIAL_IMAGE_FINGERTIPS_GIVE_CONSENT</v>
      </c>
      <c r="N18" s="6">
        <f t="shared" si="2"/>
        <v>1</v>
      </c>
      <c r="O18" s="6">
        <f t="shared" si="3"/>
        <v>0</v>
      </c>
    </row>
    <row r="19" spans="1:15" s="34" customFormat="1" ht="75" customHeight="1">
      <c r="A19" s="113"/>
      <c r="B19" s="113">
        <v>1</v>
      </c>
      <c r="C19" s="74" t="s">
        <v>1912</v>
      </c>
      <c r="D19" s="315" t="s">
        <v>172</v>
      </c>
      <c r="E19" s="344"/>
      <c r="F19" s="281"/>
      <c r="G19" s="283"/>
      <c r="J19" s="6">
        <f t="shared" si="4"/>
        <v>1</v>
      </c>
      <c r="K19" s="129">
        <f t="shared" si="5"/>
        <v>0</v>
      </c>
      <c r="L19" s="127">
        <f t="shared" si="6"/>
        <v>1</v>
      </c>
      <c r="M19" s="52" t="str">
        <f>formData!B675</f>
        <v>DECLARATIONS_FACIAL_IMAGE_FINGERTIPS_UNDERSTAND</v>
      </c>
      <c r="N19" s="6">
        <f t="shared" si="2"/>
        <v>1</v>
      </c>
      <c r="O19" s="6">
        <f t="shared" si="3"/>
        <v>0</v>
      </c>
    </row>
    <row r="20" spans="1:15" s="34" customFormat="1" ht="57" customHeight="1">
      <c r="A20" s="113"/>
      <c r="B20" s="113">
        <v>1</v>
      </c>
      <c r="C20" s="74" t="s">
        <v>1912</v>
      </c>
      <c r="D20" s="250" t="s">
        <v>224</v>
      </c>
      <c r="E20" s="252"/>
      <c r="F20" s="281"/>
      <c r="G20" s="283"/>
      <c r="J20" s="6">
        <f t="shared" si="4"/>
        <v>1</v>
      </c>
      <c r="K20" s="129">
        <f t="shared" si="5"/>
        <v>0</v>
      </c>
      <c r="L20" s="127">
        <f t="shared" si="6"/>
        <v>1</v>
      </c>
      <c r="M20" s="52" t="str">
        <f>formData!B676</f>
        <v>DECLARATIONS_LAW_ENFORCEMENT</v>
      </c>
      <c r="N20" s="6">
        <f t="shared" si="2"/>
        <v>1</v>
      </c>
      <c r="O20" s="6">
        <f t="shared" si="3"/>
        <v>0</v>
      </c>
    </row>
    <row r="21" spans="1:15" s="34" customFormat="1" ht="47.1" customHeight="1">
      <c r="A21" s="113"/>
      <c r="B21" s="113">
        <v>1</v>
      </c>
      <c r="C21" s="74" t="s">
        <v>1912</v>
      </c>
      <c r="D21" s="250" t="s">
        <v>225</v>
      </c>
      <c r="E21" s="252"/>
      <c r="F21" s="281"/>
      <c r="G21" s="283"/>
      <c r="J21" s="6">
        <f t="shared" si="4"/>
        <v>1</v>
      </c>
      <c r="K21" s="129">
        <f t="shared" si="5"/>
        <v>0</v>
      </c>
      <c r="L21" s="127">
        <f t="shared" si="6"/>
        <v>1</v>
      </c>
      <c r="M21" s="52" t="str">
        <f>formData!B677</f>
        <v>DECLARATIONS_BIOMETRIC</v>
      </c>
      <c r="N21" s="6">
        <f t="shared" si="2"/>
        <v>1</v>
      </c>
      <c r="O21" s="6">
        <f t="shared" si="3"/>
        <v>0</v>
      </c>
    </row>
    <row r="22" spans="1:15" s="34" customFormat="1" ht="33" customHeight="1">
      <c r="A22" s="113"/>
      <c r="B22" s="113">
        <v>1</v>
      </c>
      <c r="C22" s="74" t="s">
        <v>1912</v>
      </c>
      <c r="D22" s="315" t="s">
        <v>2034</v>
      </c>
      <c r="E22" s="252"/>
      <c r="F22" s="281"/>
      <c r="G22" s="283"/>
      <c r="J22" s="6">
        <f t="shared" si="4"/>
        <v>1</v>
      </c>
      <c r="K22" s="129">
        <f t="shared" si="5"/>
        <v>0</v>
      </c>
      <c r="L22" s="127">
        <f t="shared" si="6"/>
        <v>1</v>
      </c>
      <c r="M22" s="52" t="str">
        <f>formData!B678</f>
        <v>DECLARATIONS_ACIC</v>
      </c>
      <c r="N22" s="6">
        <f t="shared" si="2"/>
        <v>1</v>
      </c>
      <c r="O22" s="6">
        <f t="shared" si="3"/>
        <v>0</v>
      </c>
    </row>
    <row r="23" spans="1:15" s="34" customFormat="1" ht="67.5" customHeight="1">
      <c r="A23" s="113"/>
      <c r="B23" s="113">
        <v>1</v>
      </c>
      <c r="C23" s="74" t="s">
        <v>1912</v>
      </c>
      <c r="D23" s="366" t="s">
        <v>2033</v>
      </c>
      <c r="E23" s="367"/>
      <c r="F23" s="281"/>
      <c r="G23" s="283"/>
      <c r="J23" s="6">
        <f t="shared" si="4"/>
        <v>1</v>
      </c>
      <c r="K23" s="129">
        <f t="shared" ref="K23" si="7">IF(B23=1,0,1)</f>
        <v>0</v>
      </c>
      <c r="L23" s="127">
        <f t="shared" ref="L23" si="8">IF(A23="Hide",0,IF($J$6=1,B23,1))</f>
        <v>1</v>
      </c>
      <c r="M23" s="131" t="str">
        <f>formData!B679</f>
        <v>DECLARATIONS_SUBJECT_TO_REMOVAL</v>
      </c>
      <c r="N23" s="6">
        <f t="shared" ref="N23" si="9">IF(J23=1,1,0)</f>
        <v>1</v>
      </c>
      <c r="O23" s="6">
        <f t="shared" ref="O23" si="10">+J23*K23</f>
        <v>0</v>
      </c>
    </row>
    <row r="24" spans="1:15" s="34" customFormat="1" ht="49.35" customHeight="1">
      <c r="A24" s="113"/>
      <c r="B24" s="113">
        <v>1</v>
      </c>
      <c r="C24" s="74" t="s">
        <v>1912</v>
      </c>
      <c r="D24" s="250" t="s">
        <v>226</v>
      </c>
      <c r="E24" s="252"/>
      <c r="F24" s="281"/>
      <c r="G24" s="283"/>
      <c r="J24" s="6">
        <f t="shared" si="4"/>
        <v>1</v>
      </c>
      <c r="K24" s="129">
        <f t="shared" si="5"/>
        <v>0</v>
      </c>
      <c r="L24" s="127">
        <f t="shared" si="6"/>
        <v>1</v>
      </c>
      <c r="M24" s="52" t="str">
        <f>formData!B680</f>
        <v>DECLARATIONS_INFO_EXPLAINED18</v>
      </c>
      <c r="N24" s="6">
        <f t="shared" si="2"/>
        <v>1</v>
      </c>
      <c r="O24" s="6">
        <f t="shared" si="3"/>
        <v>0</v>
      </c>
    </row>
    <row r="25" spans="1:15" s="34" customFormat="1" ht="43.5" customHeight="1">
      <c r="A25" s="113"/>
      <c r="B25" s="113">
        <v>1</v>
      </c>
      <c r="C25" s="74" t="s">
        <v>1912</v>
      </c>
      <c r="D25" s="315" t="s">
        <v>171</v>
      </c>
      <c r="E25" s="252"/>
      <c r="F25" s="281"/>
      <c r="G25" s="283"/>
      <c r="J25" s="6">
        <f t="shared" si="4"/>
        <v>1</v>
      </c>
      <c r="K25" s="129">
        <f t="shared" si="5"/>
        <v>0</v>
      </c>
      <c r="L25" s="127">
        <f t="shared" si="6"/>
        <v>1</v>
      </c>
      <c r="M25" s="52" t="str">
        <f>formData!B681</f>
        <v>DECLARATIONS_CONTRAVENTION</v>
      </c>
      <c r="N25" s="6">
        <f t="shared" si="2"/>
        <v>1</v>
      </c>
      <c r="O25" s="6">
        <f t="shared" si="3"/>
        <v>0</v>
      </c>
    </row>
    <row r="26" spans="1:15" s="34" customFormat="1" ht="12"/>
    <row r="27" spans="1:15" s="34" customFormat="1" ht="12"/>
  </sheetData>
  <sheetProtection algorithmName="SHA-512" hashValue="UJJnxdHzgm+8OVYBbrhZh2u4Gb2ajnw/gl8boHM7S33Y4ITXk5Xq4yK6Ipd5nAITiRzITx2zUZc3Sfh3JxSfpQ==" saltValue="PfoGX5AOptcpIOcbBn3++g==" spinCount="100000" sheet="1" objects="1" scenarios="1"/>
  <mergeCells count="39">
    <mergeCell ref="D23:E23"/>
    <mergeCell ref="F23:G23"/>
    <mergeCell ref="F20:G20"/>
    <mergeCell ref="F21:G21"/>
    <mergeCell ref="F22:G22"/>
    <mergeCell ref="D22:E22"/>
    <mergeCell ref="F24:G24"/>
    <mergeCell ref="F25:G25"/>
    <mergeCell ref="D24:E24"/>
    <mergeCell ref="D25:E25"/>
    <mergeCell ref="D6:G6"/>
    <mergeCell ref="D8:E8"/>
    <mergeCell ref="D18:E18"/>
    <mergeCell ref="D15:E15"/>
    <mergeCell ref="D16:E16"/>
    <mergeCell ref="D17:E17"/>
    <mergeCell ref="D19:E19"/>
    <mergeCell ref="D12:E12"/>
    <mergeCell ref="D13:E13"/>
    <mergeCell ref="D14:E14"/>
    <mergeCell ref="D20:E20"/>
    <mergeCell ref="D9:E9"/>
    <mergeCell ref="D2:G2"/>
    <mergeCell ref="D4:G4"/>
    <mergeCell ref="F9:G9"/>
    <mergeCell ref="F10:G10"/>
    <mergeCell ref="F11:G11"/>
    <mergeCell ref="F19:G19"/>
    <mergeCell ref="D10:E10"/>
    <mergeCell ref="F8:G8"/>
    <mergeCell ref="D11:E11"/>
    <mergeCell ref="D21:E21"/>
    <mergeCell ref="F12:G12"/>
    <mergeCell ref="F13:G13"/>
    <mergeCell ref="F14:G14"/>
    <mergeCell ref="F15:G15"/>
    <mergeCell ref="F16:G16"/>
    <mergeCell ref="F17:G17"/>
    <mergeCell ref="F18:G18"/>
  </mergeCells>
  <hyperlinks>
    <hyperlink ref="G3" location="declarations!G3" display="SAVE" xr:uid="{00000000-0004-0000-1600-000000000000}"/>
    <hyperlink ref="D3" location="index!C1" display="INDEX" xr:uid="{00000000-0004-0000-1600-000001000000}"/>
  </hyperlinks>
  <pageMargins left="0.7" right="0.7" top="0.75" bottom="0.75" header="0.3" footer="0.3"/>
  <pageSetup paperSize="9" scale="8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Drop Down 1">
              <controlPr locked="0" defaultSize="0" autoLine="0" autoPict="0">
                <anchor moveWithCells="1">
                  <from>
                    <xdr:col>4</xdr:col>
                    <xdr:colOff>2333625</xdr:colOff>
                    <xdr:row>6</xdr:row>
                    <xdr:rowOff>257175</xdr:rowOff>
                  </from>
                  <to>
                    <xdr:col>7</xdr:col>
                    <xdr:colOff>0</xdr:colOff>
                    <xdr:row>7</xdr:row>
                    <xdr:rowOff>257175</xdr:rowOff>
                  </to>
                </anchor>
              </controlPr>
            </control>
          </mc:Choice>
        </mc:AlternateContent>
        <mc:AlternateContent xmlns:mc="http://schemas.openxmlformats.org/markup-compatibility/2006">
          <mc:Choice Requires="x14">
            <control shapeId="18434" r:id="rId5" name="Drop Down 2">
              <controlPr locked="0" defaultSize="0" autoLine="0" autoPict="0">
                <anchor moveWithCells="1">
                  <from>
                    <xdr:col>5</xdr:col>
                    <xdr:colOff>0</xdr:colOff>
                    <xdr:row>8</xdr:row>
                    <xdr:rowOff>104775</xdr:rowOff>
                  </from>
                  <to>
                    <xdr:col>7</xdr:col>
                    <xdr:colOff>0</xdr:colOff>
                    <xdr:row>8</xdr:row>
                    <xdr:rowOff>342900</xdr:rowOff>
                  </to>
                </anchor>
              </controlPr>
            </control>
          </mc:Choice>
        </mc:AlternateContent>
        <mc:AlternateContent xmlns:mc="http://schemas.openxmlformats.org/markup-compatibility/2006">
          <mc:Choice Requires="x14">
            <control shapeId="18435" r:id="rId6" name="Drop Down 3">
              <controlPr locked="0" defaultSize="0" autoLine="0" autoPict="0">
                <anchor moveWithCells="1">
                  <from>
                    <xdr:col>5</xdr:col>
                    <xdr:colOff>0</xdr:colOff>
                    <xdr:row>9</xdr:row>
                    <xdr:rowOff>333375</xdr:rowOff>
                  </from>
                  <to>
                    <xdr:col>7</xdr:col>
                    <xdr:colOff>0</xdr:colOff>
                    <xdr:row>9</xdr:row>
                    <xdr:rowOff>571500</xdr:rowOff>
                  </to>
                </anchor>
              </controlPr>
            </control>
          </mc:Choice>
        </mc:AlternateContent>
        <mc:AlternateContent xmlns:mc="http://schemas.openxmlformats.org/markup-compatibility/2006">
          <mc:Choice Requires="x14">
            <control shapeId="18436" r:id="rId7" name="Drop Down 4">
              <controlPr locked="0" defaultSize="0" autoLine="0" autoPict="0">
                <anchor moveWithCells="1">
                  <from>
                    <xdr:col>5</xdr:col>
                    <xdr:colOff>0</xdr:colOff>
                    <xdr:row>10</xdr:row>
                    <xdr:rowOff>142875</xdr:rowOff>
                  </from>
                  <to>
                    <xdr:col>7</xdr:col>
                    <xdr:colOff>0</xdr:colOff>
                    <xdr:row>10</xdr:row>
                    <xdr:rowOff>409575</xdr:rowOff>
                  </to>
                </anchor>
              </controlPr>
            </control>
          </mc:Choice>
        </mc:AlternateContent>
        <mc:AlternateContent xmlns:mc="http://schemas.openxmlformats.org/markup-compatibility/2006">
          <mc:Choice Requires="x14">
            <control shapeId="18437" r:id="rId8" name="Drop Down 5">
              <controlPr locked="0" defaultSize="0" autoLine="0" autoPict="0">
                <anchor moveWithCells="1">
                  <from>
                    <xdr:col>5</xdr:col>
                    <xdr:colOff>0</xdr:colOff>
                    <xdr:row>11</xdr:row>
                    <xdr:rowOff>142875</xdr:rowOff>
                  </from>
                  <to>
                    <xdr:col>7</xdr:col>
                    <xdr:colOff>0</xdr:colOff>
                    <xdr:row>11</xdr:row>
                    <xdr:rowOff>390525</xdr:rowOff>
                  </to>
                </anchor>
              </controlPr>
            </control>
          </mc:Choice>
        </mc:AlternateContent>
        <mc:AlternateContent xmlns:mc="http://schemas.openxmlformats.org/markup-compatibility/2006">
          <mc:Choice Requires="x14">
            <control shapeId="18438" r:id="rId9" name="Drop Down 6">
              <controlPr locked="0" defaultSize="0" autoLine="0" autoPict="0">
                <anchor moveWithCells="1">
                  <from>
                    <xdr:col>5</xdr:col>
                    <xdr:colOff>0</xdr:colOff>
                    <xdr:row>12</xdr:row>
                    <xdr:rowOff>219075</xdr:rowOff>
                  </from>
                  <to>
                    <xdr:col>7</xdr:col>
                    <xdr:colOff>0</xdr:colOff>
                    <xdr:row>12</xdr:row>
                    <xdr:rowOff>466725</xdr:rowOff>
                  </to>
                </anchor>
              </controlPr>
            </control>
          </mc:Choice>
        </mc:AlternateContent>
        <mc:AlternateContent xmlns:mc="http://schemas.openxmlformats.org/markup-compatibility/2006">
          <mc:Choice Requires="x14">
            <control shapeId="18439" r:id="rId10" name="Drop Down 7">
              <controlPr locked="0" defaultSize="0" autoLine="0" autoPict="0">
                <anchor moveWithCells="1">
                  <from>
                    <xdr:col>5</xdr:col>
                    <xdr:colOff>0</xdr:colOff>
                    <xdr:row>13</xdr:row>
                    <xdr:rowOff>0</xdr:rowOff>
                  </from>
                  <to>
                    <xdr:col>7</xdr:col>
                    <xdr:colOff>0</xdr:colOff>
                    <xdr:row>14</xdr:row>
                    <xdr:rowOff>0</xdr:rowOff>
                  </to>
                </anchor>
              </controlPr>
            </control>
          </mc:Choice>
        </mc:AlternateContent>
        <mc:AlternateContent xmlns:mc="http://schemas.openxmlformats.org/markup-compatibility/2006">
          <mc:Choice Requires="x14">
            <control shapeId="18440" r:id="rId11" name="Drop Down 8">
              <controlPr locked="0" defaultSize="0" autoLine="0" autoPict="0">
                <anchor moveWithCells="1">
                  <from>
                    <xdr:col>5</xdr:col>
                    <xdr:colOff>0</xdr:colOff>
                    <xdr:row>14</xdr:row>
                    <xdr:rowOff>200025</xdr:rowOff>
                  </from>
                  <to>
                    <xdr:col>7</xdr:col>
                    <xdr:colOff>0</xdr:colOff>
                    <xdr:row>14</xdr:row>
                    <xdr:rowOff>447675</xdr:rowOff>
                  </to>
                </anchor>
              </controlPr>
            </control>
          </mc:Choice>
        </mc:AlternateContent>
        <mc:AlternateContent xmlns:mc="http://schemas.openxmlformats.org/markup-compatibility/2006">
          <mc:Choice Requires="x14">
            <control shapeId="18441" r:id="rId12" name="Drop Down 9">
              <controlPr locked="0" defaultSize="0" autoLine="0" autoPict="0">
                <anchor moveWithCells="1">
                  <from>
                    <xdr:col>5</xdr:col>
                    <xdr:colOff>0</xdr:colOff>
                    <xdr:row>14</xdr:row>
                    <xdr:rowOff>657225</xdr:rowOff>
                  </from>
                  <to>
                    <xdr:col>7</xdr:col>
                    <xdr:colOff>0</xdr:colOff>
                    <xdr:row>16</xdr:row>
                    <xdr:rowOff>0</xdr:rowOff>
                  </to>
                </anchor>
              </controlPr>
            </control>
          </mc:Choice>
        </mc:AlternateContent>
        <mc:AlternateContent xmlns:mc="http://schemas.openxmlformats.org/markup-compatibility/2006">
          <mc:Choice Requires="x14">
            <control shapeId="18442" r:id="rId13" name="Drop Down 10">
              <controlPr locked="0" defaultSize="0" autoLine="0" autoPict="0">
                <anchor moveWithCells="1">
                  <from>
                    <xdr:col>5</xdr:col>
                    <xdr:colOff>0</xdr:colOff>
                    <xdr:row>16</xdr:row>
                    <xdr:rowOff>123825</xdr:rowOff>
                  </from>
                  <to>
                    <xdr:col>7</xdr:col>
                    <xdr:colOff>0</xdr:colOff>
                    <xdr:row>16</xdr:row>
                    <xdr:rowOff>371475</xdr:rowOff>
                  </to>
                </anchor>
              </controlPr>
            </control>
          </mc:Choice>
        </mc:AlternateContent>
        <mc:AlternateContent xmlns:mc="http://schemas.openxmlformats.org/markup-compatibility/2006">
          <mc:Choice Requires="x14">
            <control shapeId="18443" r:id="rId14" name="Drop Down 11">
              <controlPr locked="0" defaultSize="0" autoLine="0" autoPict="0">
                <anchor moveWithCells="1">
                  <from>
                    <xdr:col>5</xdr:col>
                    <xdr:colOff>0</xdr:colOff>
                    <xdr:row>17</xdr:row>
                    <xdr:rowOff>66675</xdr:rowOff>
                  </from>
                  <to>
                    <xdr:col>7</xdr:col>
                    <xdr:colOff>0</xdr:colOff>
                    <xdr:row>17</xdr:row>
                    <xdr:rowOff>314325</xdr:rowOff>
                  </to>
                </anchor>
              </controlPr>
            </control>
          </mc:Choice>
        </mc:AlternateContent>
        <mc:AlternateContent xmlns:mc="http://schemas.openxmlformats.org/markup-compatibility/2006">
          <mc:Choice Requires="x14">
            <control shapeId="18444" r:id="rId15" name="Drop Down 12">
              <controlPr locked="0" defaultSize="0" autoLine="0" autoPict="0">
                <anchor moveWithCells="1">
                  <from>
                    <xdr:col>5</xdr:col>
                    <xdr:colOff>0</xdr:colOff>
                    <xdr:row>18</xdr:row>
                    <xdr:rowOff>342900</xdr:rowOff>
                  </from>
                  <to>
                    <xdr:col>7</xdr:col>
                    <xdr:colOff>0</xdr:colOff>
                    <xdr:row>18</xdr:row>
                    <xdr:rowOff>600075</xdr:rowOff>
                  </to>
                </anchor>
              </controlPr>
            </control>
          </mc:Choice>
        </mc:AlternateContent>
        <mc:AlternateContent xmlns:mc="http://schemas.openxmlformats.org/markup-compatibility/2006">
          <mc:Choice Requires="x14">
            <control shapeId="18445" r:id="rId16" name="Drop Down 13">
              <controlPr locked="0" defaultSize="0" autoLine="0" autoPict="0">
                <anchor moveWithCells="1">
                  <from>
                    <xdr:col>5</xdr:col>
                    <xdr:colOff>0</xdr:colOff>
                    <xdr:row>19</xdr:row>
                    <xdr:rowOff>228600</xdr:rowOff>
                  </from>
                  <to>
                    <xdr:col>7</xdr:col>
                    <xdr:colOff>0</xdr:colOff>
                    <xdr:row>19</xdr:row>
                    <xdr:rowOff>485775</xdr:rowOff>
                  </to>
                </anchor>
              </controlPr>
            </control>
          </mc:Choice>
        </mc:AlternateContent>
        <mc:AlternateContent xmlns:mc="http://schemas.openxmlformats.org/markup-compatibility/2006">
          <mc:Choice Requires="x14">
            <control shapeId="18446" r:id="rId17" name="Drop Down 14">
              <controlPr locked="0" defaultSize="0" autoLine="0" autoPict="0">
                <anchor moveWithCells="1">
                  <from>
                    <xdr:col>5</xdr:col>
                    <xdr:colOff>0</xdr:colOff>
                    <xdr:row>20</xdr:row>
                    <xdr:rowOff>161925</xdr:rowOff>
                  </from>
                  <to>
                    <xdr:col>7</xdr:col>
                    <xdr:colOff>0</xdr:colOff>
                    <xdr:row>20</xdr:row>
                    <xdr:rowOff>409575</xdr:rowOff>
                  </to>
                </anchor>
              </controlPr>
            </control>
          </mc:Choice>
        </mc:AlternateContent>
        <mc:AlternateContent xmlns:mc="http://schemas.openxmlformats.org/markup-compatibility/2006">
          <mc:Choice Requires="x14">
            <control shapeId="18447" r:id="rId18" name="Drop Down 15">
              <controlPr locked="0" defaultSize="0" autoLine="0" autoPict="0">
                <anchor moveWithCells="1">
                  <from>
                    <xdr:col>5</xdr:col>
                    <xdr:colOff>0</xdr:colOff>
                    <xdr:row>21</xdr:row>
                    <xdr:rowOff>85725</xdr:rowOff>
                  </from>
                  <to>
                    <xdr:col>7</xdr:col>
                    <xdr:colOff>0</xdr:colOff>
                    <xdr:row>21</xdr:row>
                    <xdr:rowOff>333375</xdr:rowOff>
                  </to>
                </anchor>
              </controlPr>
            </control>
          </mc:Choice>
        </mc:AlternateContent>
        <mc:AlternateContent xmlns:mc="http://schemas.openxmlformats.org/markup-compatibility/2006">
          <mc:Choice Requires="x14">
            <control shapeId="18448" r:id="rId19" name="Drop Down 16">
              <controlPr locked="0" defaultSize="0" autoLine="0" autoPict="0">
                <anchor moveWithCells="1">
                  <from>
                    <xdr:col>5</xdr:col>
                    <xdr:colOff>0</xdr:colOff>
                    <xdr:row>23</xdr:row>
                    <xdr:rowOff>180975</xdr:rowOff>
                  </from>
                  <to>
                    <xdr:col>7</xdr:col>
                    <xdr:colOff>0</xdr:colOff>
                    <xdr:row>23</xdr:row>
                    <xdr:rowOff>419100</xdr:rowOff>
                  </to>
                </anchor>
              </controlPr>
            </control>
          </mc:Choice>
        </mc:AlternateContent>
        <mc:AlternateContent xmlns:mc="http://schemas.openxmlformats.org/markup-compatibility/2006">
          <mc:Choice Requires="x14">
            <control shapeId="18449" r:id="rId20" name="Drop Down 17">
              <controlPr locked="0" defaultSize="0" autoLine="0" autoPict="0">
                <anchor moveWithCells="1">
                  <from>
                    <xdr:col>5</xdr:col>
                    <xdr:colOff>0</xdr:colOff>
                    <xdr:row>24</xdr:row>
                    <xdr:rowOff>152400</xdr:rowOff>
                  </from>
                  <to>
                    <xdr:col>7</xdr:col>
                    <xdr:colOff>0</xdr:colOff>
                    <xdr:row>24</xdr:row>
                    <xdr:rowOff>409575</xdr:rowOff>
                  </to>
                </anchor>
              </controlPr>
            </control>
          </mc:Choice>
        </mc:AlternateContent>
        <mc:AlternateContent xmlns:mc="http://schemas.openxmlformats.org/markup-compatibility/2006">
          <mc:Choice Requires="x14">
            <control shapeId="18450" r:id="rId21" name="Drop Down 18">
              <controlPr locked="0" defaultSize="0" autoLine="0" autoPict="0">
                <anchor moveWithCells="1">
                  <from>
                    <xdr:col>5</xdr:col>
                    <xdr:colOff>0</xdr:colOff>
                    <xdr:row>22</xdr:row>
                    <xdr:rowOff>304800</xdr:rowOff>
                  </from>
                  <to>
                    <xdr:col>7</xdr:col>
                    <xdr:colOff>0</xdr:colOff>
                    <xdr:row>22</xdr:row>
                    <xdr:rowOff>552450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
  <dimension ref="A1:D682"/>
  <sheetViews>
    <sheetView showGridLines="0" showRowColHeaders="0" topLeftCell="A164" workbookViewId="0">
      <selection activeCell="T3" sqref="T3"/>
    </sheetView>
  </sheetViews>
  <sheetFormatPr defaultColWidth="9.33203125" defaultRowHeight="12.75"/>
  <cols>
    <col min="1" max="1" width="25.83203125" style="1" customWidth="1"/>
    <col min="2" max="2" width="78.33203125" style="1" customWidth="1"/>
    <col min="3" max="3" width="65.33203125" style="1" bestFit="1" customWidth="1"/>
    <col min="4" max="4" width="73.33203125" style="1" customWidth="1"/>
    <col min="5" max="16384" width="9.33203125" style="1"/>
  </cols>
  <sheetData>
    <row r="1" spans="1:4">
      <c r="A1" s="53" t="s">
        <v>1901</v>
      </c>
      <c r="B1" s="53" t="s">
        <v>1906</v>
      </c>
      <c r="C1" s="53" t="s">
        <v>1907</v>
      </c>
      <c r="D1" s="128" t="s">
        <v>1966</v>
      </c>
    </row>
    <row r="2" spans="1:4">
      <c r="A2" s="1" t="s">
        <v>1902</v>
      </c>
      <c r="B2" s="52" t="s">
        <v>1251</v>
      </c>
      <c r="C2" s="1" t="str">
        <f>INDEX(CountryOfIssue,applicationContext!L6)</f>
        <v>Select</v>
      </c>
    </row>
    <row r="3" spans="1:4">
      <c r="A3" s="1" t="s">
        <v>1902</v>
      </c>
      <c r="B3" s="52" t="s">
        <v>1252</v>
      </c>
      <c r="C3" s="1" t="str">
        <f>INDEX(LegalStatus,applicationContext!L7)</f>
        <v>Select</v>
      </c>
    </row>
    <row r="4" spans="1:4">
      <c r="A4" s="1" t="s">
        <v>1902</v>
      </c>
      <c r="B4" s="52" t="s">
        <v>1253</v>
      </c>
      <c r="C4" s="1">
        <f>applicationContext!L8</f>
        <v>0</v>
      </c>
    </row>
    <row r="5" spans="1:4">
      <c r="A5" s="1" t="s">
        <v>1902</v>
      </c>
      <c r="B5" s="52" t="s">
        <v>1254</v>
      </c>
      <c r="C5" s="1" t="str">
        <f>INDEX(yesNo,applicationContext!L9)</f>
        <v>Select</v>
      </c>
    </row>
    <row r="6" spans="1:4">
      <c r="A6" s="1" t="s">
        <v>1902</v>
      </c>
      <c r="B6" s="52" t="s">
        <v>1255</v>
      </c>
      <c r="C6" s="1" t="str">
        <f>INDEX(TypeSkills,applicationContext!L10)</f>
        <v>Select</v>
      </c>
    </row>
    <row r="7" spans="1:4">
      <c r="A7" s="1" t="s">
        <v>1902</v>
      </c>
      <c r="B7" s="52" t="s">
        <v>1256</v>
      </c>
      <c r="C7" s="1">
        <f>applicationContext!L11</f>
        <v>0</v>
      </c>
    </row>
    <row r="8" spans="1:4">
      <c r="A8" s="1" t="s">
        <v>1902</v>
      </c>
      <c r="B8" s="52" t="s">
        <v>1257</v>
      </c>
      <c r="C8" s="95">
        <f>applicationContext!L12</f>
        <v>0</v>
      </c>
    </row>
    <row r="9" spans="1:4">
      <c r="A9" s="1" t="s">
        <v>1902</v>
      </c>
      <c r="B9" s="52" t="s">
        <v>1258</v>
      </c>
      <c r="C9" s="1">
        <f>applicationContext!L13</f>
        <v>0</v>
      </c>
    </row>
    <row r="10" spans="1:4">
      <c r="A10" s="1" t="s">
        <v>1902</v>
      </c>
      <c r="B10" s="52" t="s">
        <v>1259</v>
      </c>
      <c r="C10" s="95">
        <f>applicationContext!L14</f>
        <v>0</v>
      </c>
    </row>
    <row r="11" spans="1:4">
      <c r="A11" s="1" t="s">
        <v>1902</v>
      </c>
      <c r="B11" s="52" t="s">
        <v>1260</v>
      </c>
      <c r="C11" s="1">
        <f>applicationContext!L16</f>
        <v>0</v>
      </c>
    </row>
    <row r="12" spans="1:4">
      <c r="A12" s="1" t="s">
        <v>1903</v>
      </c>
      <c r="B12" s="52" t="s">
        <v>1261</v>
      </c>
      <c r="C12" s="1">
        <f>yourDetails!L7</f>
        <v>0</v>
      </c>
    </row>
    <row r="13" spans="1:4">
      <c r="A13" s="1" t="s">
        <v>1903</v>
      </c>
      <c r="B13" s="52" t="s">
        <v>1262</v>
      </c>
      <c r="C13" s="1">
        <f>yourDetails!L8</f>
        <v>0</v>
      </c>
    </row>
    <row r="14" spans="1:4">
      <c r="A14" s="1" t="s">
        <v>1903</v>
      </c>
      <c r="B14" s="52" t="s">
        <v>1263</v>
      </c>
      <c r="C14" s="1" t="str">
        <f>INDEX(sex,yourDetails!L9)</f>
        <v>Male</v>
      </c>
    </row>
    <row r="15" spans="1:4">
      <c r="A15" s="1" t="s">
        <v>1903</v>
      </c>
      <c r="B15" s="52" t="s">
        <v>1264</v>
      </c>
      <c r="C15" s="95">
        <f>yourDetails!L10</f>
        <v>32951</v>
      </c>
    </row>
    <row r="16" spans="1:4">
      <c r="A16" s="1" t="s">
        <v>1903</v>
      </c>
      <c r="B16" s="52" t="s">
        <v>1265</v>
      </c>
      <c r="C16" s="1" t="str">
        <f>yourDetails!L11</f>
        <v>K6810177</v>
      </c>
    </row>
    <row r="17" spans="1:3">
      <c r="A17" s="1" t="s">
        <v>1903</v>
      </c>
      <c r="B17" s="52" t="s">
        <v>1266</v>
      </c>
      <c r="C17" s="1" t="str">
        <f>INDEX(CountryOfPassport,yourDetails!L12)</f>
        <v>INDIA - IND</v>
      </c>
    </row>
    <row r="18" spans="1:3">
      <c r="A18" s="1" t="s">
        <v>1903</v>
      </c>
      <c r="B18" s="52" t="s">
        <v>1267</v>
      </c>
      <c r="C18" s="1" t="str">
        <f>INDEX(CountryOfPassport,yourDetails!L13)</f>
        <v>INDIA - IND</v>
      </c>
    </row>
    <row r="19" spans="1:3">
      <c r="A19" s="1" t="s">
        <v>1903</v>
      </c>
      <c r="B19" s="52" t="s">
        <v>1268</v>
      </c>
      <c r="C19" s="95">
        <f>yourDetails!L14</f>
        <v>41296</v>
      </c>
    </row>
    <row r="20" spans="1:3">
      <c r="A20" s="1" t="s">
        <v>1903</v>
      </c>
      <c r="B20" s="52" t="s">
        <v>1269</v>
      </c>
      <c r="C20" s="95">
        <f>yourDetails!L15</f>
        <v>44947</v>
      </c>
    </row>
    <row r="21" spans="1:3">
      <c r="A21" s="172" t="s">
        <v>1903</v>
      </c>
      <c r="B21" s="173" t="s">
        <v>2071</v>
      </c>
      <c r="C21" s="174" t="str">
        <f>INDEX(ChinaPlaceOfIssue,yourDetails!L16)</f>
        <v>Select</v>
      </c>
    </row>
    <row r="22" spans="1:3">
      <c r="A22" s="1" t="s">
        <v>1903</v>
      </c>
      <c r="B22" s="52" t="s">
        <v>1270</v>
      </c>
      <c r="C22" s="1" t="str">
        <f>yourDetails!L17</f>
        <v>PATNA</v>
      </c>
    </row>
    <row r="23" spans="1:3">
      <c r="A23" s="1" t="s">
        <v>1903</v>
      </c>
      <c r="B23" s="52" t="s">
        <v>1271</v>
      </c>
      <c r="C23" s="1" t="str">
        <f>INDEX(yesNo,yourDetails!L20)</f>
        <v>Yes</v>
      </c>
    </row>
    <row r="24" spans="1:3">
      <c r="A24" s="1" t="s">
        <v>1903</v>
      </c>
      <c r="B24" s="52" t="s">
        <v>1272</v>
      </c>
      <c r="C24" s="1" t="str">
        <f>yourDetails!L21</f>
        <v>8269550124458</v>
      </c>
    </row>
    <row r="25" spans="1:3">
      <c r="A25" s="1" t="s">
        <v>1903</v>
      </c>
      <c r="B25" s="52" t="s">
        <v>1273</v>
      </c>
      <c r="C25" s="1" t="str">
        <f>INDEX(yesNo,yourDetails!L24)</f>
        <v>Yes</v>
      </c>
    </row>
    <row r="26" spans="1:3">
      <c r="A26" s="1" t="s">
        <v>1903</v>
      </c>
      <c r="B26" s="52" t="s">
        <v>1274</v>
      </c>
      <c r="C26" s="1" t="str">
        <f>yourDetails!L25</f>
        <v>Anand</v>
      </c>
    </row>
    <row r="27" spans="1:3">
      <c r="A27" s="1" t="s">
        <v>1903</v>
      </c>
      <c r="B27" s="52" t="s">
        <v>1275</v>
      </c>
      <c r="C27" s="1" t="str">
        <f>yourDetails!L26</f>
        <v>Animesh</v>
      </c>
    </row>
    <row r="28" spans="1:3">
      <c r="A28" s="1" t="s">
        <v>1903</v>
      </c>
      <c r="B28" s="52" t="s">
        <v>1276</v>
      </c>
      <c r="C28" s="1" t="str">
        <f>yourDetails!L27</f>
        <v>692881822968</v>
      </c>
    </row>
    <row r="29" spans="1:3">
      <c r="A29" s="1" t="s">
        <v>1903</v>
      </c>
      <c r="B29" s="52" t="s">
        <v>1277</v>
      </c>
      <c r="C29" s="1" t="str">
        <f>INDEX(CountryOfIssue,yourDetails!L28)</f>
        <v>India</v>
      </c>
    </row>
    <row r="30" spans="1:3">
      <c r="A30" s="1" t="s">
        <v>1903</v>
      </c>
      <c r="B30" s="52" t="s">
        <v>1278</v>
      </c>
      <c r="C30" s="95">
        <f>yourDetails!L29</f>
        <v>0</v>
      </c>
    </row>
    <row r="31" spans="1:3">
      <c r="A31" s="1" t="s">
        <v>1903</v>
      </c>
      <c r="B31" s="52" t="s">
        <v>1279</v>
      </c>
      <c r="C31" s="95">
        <f>yourDetails!L30</f>
        <v>0</v>
      </c>
    </row>
    <row r="32" spans="1:3">
      <c r="A32" s="172" t="s">
        <v>1903</v>
      </c>
      <c r="B32" s="173" t="s">
        <v>2036</v>
      </c>
      <c r="C32" s="175">
        <f>yourDetails!D32</f>
        <v>0</v>
      </c>
    </row>
    <row r="33" spans="1:3">
      <c r="A33" s="1" t="s">
        <v>1903</v>
      </c>
      <c r="B33" s="52" t="s">
        <v>1280</v>
      </c>
      <c r="C33" s="1" t="str">
        <f>yourDetails!L35</f>
        <v>Siwan</v>
      </c>
    </row>
    <row r="34" spans="1:3">
      <c r="A34" s="1" t="s">
        <v>1903</v>
      </c>
      <c r="B34" s="52" t="s">
        <v>1281</v>
      </c>
      <c r="C34" s="1" t="str">
        <f>yourDetails!L36</f>
        <v>Bihar</v>
      </c>
    </row>
    <row r="35" spans="1:3">
      <c r="A35" s="1" t="s">
        <v>1903</v>
      </c>
      <c r="B35" s="52" t="s">
        <v>1282</v>
      </c>
      <c r="C35" s="1" t="str">
        <f>INDEX(CountryOfIssue,yourDetails!L37)</f>
        <v>India</v>
      </c>
    </row>
    <row r="36" spans="1:3">
      <c r="A36" s="1" t="s">
        <v>1903</v>
      </c>
      <c r="B36" s="52" t="s">
        <v>1283</v>
      </c>
      <c r="C36" s="1" t="str">
        <f>INDEX(RelationshipStatus,yourDetails!L40)</f>
        <v>Never Married</v>
      </c>
    </row>
    <row r="37" spans="1:3">
      <c r="A37" s="1" t="s">
        <v>1903</v>
      </c>
      <c r="B37" s="52" t="s">
        <v>1284</v>
      </c>
      <c r="C37" s="95">
        <f>yourDetails!L41</f>
        <v>0</v>
      </c>
    </row>
    <row r="38" spans="1:3">
      <c r="A38" s="1" t="s">
        <v>1903</v>
      </c>
      <c r="B38" s="52" t="s">
        <v>1285</v>
      </c>
      <c r="C38" s="1" t="str">
        <f>INDEX(yesNo,yourDetails!L44)</f>
        <v>No</v>
      </c>
    </row>
    <row r="39" spans="1:3">
      <c r="A39" s="1" t="s">
        <v>1903</v>
      </c>
      <c r="B39" s="52" t="s">
        <v>1286</v>
      </c>
      <c r="C39" s="1">
        <f>yourDetails!L45</f>
        <v>0</v>
      </c>
    </row>
    <row r="40" spans="1:3">
      <c r="A40" s="1" t="s">
        <v>1903</v>
      </c>
      <c r="B40" s="52" t="s">
        <v>1287</v>
      </c>
      <c r="C40" s="1">
        <f>yourDetails!L46</f>
        <v>0</v>
      </c>
    </row>
    <row r="41" spans="1:3">
      <c r="A41" s="1" t="s">
        <v>1903</v>
      </c>
      <c r="B41" s="52" t="s">
        <v>1288</v>
      </c>
      <c r="C41" s="1" t="str">
        <f>INDEX(ReasonNameChange,yourDetails!L47)</f>
        <v>Select</v>
      </c>
    </row>
    <row r="42" spans="1:3">
      <c r="A42" s="1" t="s">
        <v>1903</v>
      </c>
      <c r="B42" s="52" t="s">
        <v>1289</v>
      </c>
      <c r="C42" s="1">
        <f>yourDetails!D49</f>
        <v>0</v>
      </c>
    </row>
    <row r="43" spans="1:3">
      <c r="A43" s="1" t="s">
        <v>1903</v>
      </c>
      <c r="B43" s="52" t="s">
        <v>1290</v>
      </c>
      <c r="C43" s="1" t="str">
        <f>INDEX(yesNo,yourDetails!L52)</f>
        <v>Yes</v>
      </c>
    </row>
    <row r="44" spans="1:3">
      <c r="A44" s="1" t="s">
        <v>1903</v>
      </c>
      <c r="B44" s="52" t="s">
        <v>1291</v>
      </c>
      <c r="C44" s="1" t="str">
        <f>INDEX(yesNo,yourDetails!L53)</f>
        <v>No</v>
      </c>
    </row>
    <row r="45" spans="1:3">
      <c r="A45" s="1" t="s">
        <v>1903</v>
      </c>
      <c r="B45" s="52" t="s">
        <v>1292</v>
      </c>
      <c r="C45" s="1" t="str">
        <f>INDEX(CountryOfIssue,yourDetails!L54)</f>
        <v>Select</v>
      </c>
    </row>
    <row r="46" spans="1:3">
      <c r="A46" s="1" t="s">
        <v>1903</v>
      </c>
      <c r="B46" s="52" t="s">
        <v>1293</v>
      </c>
      <c r="C46" s="1" t="str">
        <f>INDEX(CountryOfIssue,yourDetails!L55)</f>
        <v>Select</v>
      </c>
    </row>
    <row r="47" spans="1:3">
      <c r="A47" s="1" t="s">
        <v>1903</v>
      </c>
      <c r="B47" s="52" t="s">
        <v>1294</v>
      </c>
      <c r="C47" s="1" t="str">
        <f>INDEX(yesNo,yourDetails!L57)</f>
        <v>No</v>
      </c>
    </row>
    <row r="48" spans="1:3">
      <c r="A48" s="1" t="s">
        <v>1903</v>
      </c>
      <c r="B48" s="52" t="s">
        <v>1295</v>
      </c>
      <c r="C48" s="1" t="str">
        <f>INDEX(TypeOfDocument,yourDetails!L58)</f>
        <v>Select</v>
      </c>
    </row>
    <row r="49" spans="1:3">
      <c r="A49" s="1" t="s">
        <v>1903</v>
      </c>
      <c r="B49" s="52" t="s">
        <v>1296</v>
      </c>
      <c r="C49" s="1">
        <f>yourDetails!L59</f>
        <v>0</v>
      </c>
    </row>
    <row r="50" spans="1:3">
      <c r="A50" s="1" t="s">
        <v>1903</v>
      </c>
      <c r="B50" s="52" t="s">
        <v>1297</v>
      </c>
      <c r="C50" s="1">
        <f>yourDetails!L60</f>
        <v>0</v>
      </c>
    </row>
    <row r="51" spans="1:3">
      <c r="A51" s="1" t="s">
        <v>1903</v>
      </c>
      <c r="B51" s="52" t="s">
        <v>1298</v>
      </c>
      <c r="C51" s="1" t="str">
        <f>INDEX(sex,yourDetails!L61)</f>
        <v>Select</v>
      </c>
    </row>
    <row r="52" spans="1:3">
      <c r="A52" s="1" t="s">
        <v>1903</v>
      </c>
      <c r="B52" s="52" t="s">
        <v>1299</v>
      </c>
      <c r="C52" s="95">
        <f>yourDetails!L62</f>
        <v>0</v>
      </c>
    </row>
    <row r="53" spans="1:3">
      <c r="A53" s="1" t="s">
        <v>1903</v>
      </c>
      <c r="B53" s="52" t="s">
        <v>1300</v>
      </c>
      <c r="C53" s="1">
        <f>yourDetails!L63</f>
        <v>0</v>
      </c>
    </row>
    <row r="54" spans="1:3">
      <c r="A54" s="1" t="s">
        <v>1903</v>
      </c>
      <c r="B54" s="52" t="s">
        <v>1301</v>
      </c>
      <c r="C54" s="1" t="str">
        <f>INDEX(CountryOfPassport,yourDetails!L64)</f>
        <v>Select</v>
      </c>
    </row>
    <row r="55" spans="1:3">
      <c r="A55" s="1" t="s">
        <v>1903</v>
      </c>
      <c r="B55" s="52" t="s">
        <v>1302</v>
      </c>
      <c r="C55" s="1" t="str">
        <f>INDEX(CountryOfPassport,yourDetails!L65)</f>
        <v>Select</v>
      </c>
    </row>
    <row r="56" spans="1:3">
      <c r="A56" s="1" t="s">
        <v>1903</v>
      </c>
      <c r="B56" s="52" t="s">
        <v>1303</v>
      </c>
      <c r="C56" s="95">
        <f>yourDetails!L66</f>
        <v>0</v>
      </c>
    </row>
    <row r="57" spans="1:3">
      <c r="A57" s="1" t="s">
        <v>1903</v>
      </c>
      <c r="B57" s="52" t="s">
        <v>1304</v>
      </c>
      <c r="C57" s="95">
        <f>yourDetails!L67</f>
        <v>0</v>
      </c>
    </row>
    <row r="58" spans="1:3">
      <c r="A58" s="1" t="s">
        <v>1903</v>
      </c>
      <c r="B58" s="52" t="s">
        <v>1305</v>
      </c>
      <c r="C58" s="1">
        <f>yourDetails!L68</f>
        <v>0</v>
      </c>
    </row>
    <row r="59" spans="1:3">
      <c r="A59" s="1" t="s">
        <v>1903</v>
      </c>
      <c r="B59" s="52" t="s">
        <v>1306</v>
      </c>
      <c r="C59" s="1" t="str">
        <f>INDEX(yesNo,yourDetails!L71)</f>
        <v>Yes</v>
      </c>
    </row>
    <row r="60" spans="1:3">
      <c r="A60" s="1" t="s">
        <v>1903</v>
      </c>
      <c r="B60" s="52" t="s">
        <v>1307</v>
      </c>
      <c r="C60" s="1" t="str">
        <f>yourDetails!L72</f>
        <v>Anand</v>
      </c>
    </row>
    <row r="61" spans="1:3">
      <c r="A61" s="1" t="s">
        <v>1903</v>
      </c>
      <c r="B61" s="52" t="s">
        <v>1308</v>
      </c>
      <c r="C61" s="1" t="str">
        <f>yourDetails!L73</f>
        <v>Animesh</v>
      </c>
    </row>
    <row r="62" spans="1:3">
      <c r="A62" s="1" t="s">
        <v>1903</v>
      </c>
      <c r="B62" s="52" t="s">
        <v>1309</v>
      </c>
      <c r="C62" s="1" t="str">
        <f>INDEX(OtherTypeOfDocument,yourDetails!L74)</f>
        <v>Other</v>
      </c>
    </row>
    <row r="63" spans="1:3">
      <c r="A63" s="1" t="s">
        <v>1903</v>
      </c>
      <c r="B63" s="52" t="s">
        <v>1310</v>
      </c>
      <c r="C63" s="1" t="str">
        <f>yourDetails!L75</f>
        <v>AVNPA3106F</v>
      </c>
    </row>
    <row r="64" spans="1:3">
      <c r="A64" s="1" t="s">
        <v>1903</v>
      </c>
      <c r="B64" s="52" t="s">
        <v>1311</v>
      </c>
      <c r="C64" s="1" t="str">
        <f>INDEX(CountryOfIssue,yourDetails!L76)</f>
        <v>India</v>
      </c>
    </row>
    <row r="65" spans="1:4">
      <c r="A65" s="1" t="s">
        <v>1904</v>
      </c>
      <c r="B65" s="52" t="s">
        <v>1312</v>
      </c>
      <c r="C65" s="100" t="str">
        <f>INDEX(yesNo,applicantDetails!B13)</f>
        <v>Select</v>
      </c>
      <c r="D65" s="1" t="s">
        <v>1937</v>
      </c>
    </row>
    <row r="66" spans="1:4">
      <c r="A66" s="1" t="s">
        <v>1904</v>
      </c>
      <c r="B66" s="52" t="s">
        <v>1313</v>
      </c>
      <c r="C66" s="1" t="str">
        <f>INDEX(CountryOfIssue,yourPartner!L7)</f>
        <v>Select</v>
      </c>
    </row>
    <row r="67" spans="1:4">
      <c r="A67" s="1" t="s">
        <v>1904</v>
      </c>
      <c r="B67" s="52" t="s">
        <v>1314</v>
      </c>
      <c r="C67" s="1" t="str">
        <f>INDEX(LegalStatus,yourPartner!L8)</f>
        <v>Select</v>
      </c>
    </row>
    <row r="68" spans="1:4">
      <c r="A68" s="1" t="s">
        <v>1904</v>
      </c>
      <c r="B68" s="52" t="s">
        <v>1315</v>
      </c>
      <c r="C68" s="1">
        <f>yourPartner!L10</f>
        <v>0</v>
      </c>
    </row>
    <row r="69" spans="1:4">
      <c r="A69" s="1" t="s">
        <v>1904</v>
      </c>
      <c r="B69" s="52" t="s">
        <v>1316</v>
      </c>
      <c r="C69" s="1">
        <f>yourPartner!L13</f>
        <v>0</v>
      </c>
    </row>
    <row r="70" spans="1:4">
      <c r="A70" s="1" t="s">
        <v>1904</v>
      </c>
      <c r="B70" s="52" t="s">
        <v>1317</v>
      </c>
      <c r="C70" s="1">
        <f>yourPartner!L14</f>
        <v>0</v>
      </c>
    </row>
    <row r="71" spans="1:4">
      <c r="A71" s="1" t="s">
        <v>1904</v>
      </c>
      <c r="B71" s="52" t="s">
        <v>1318</v>
      </c>
      <c r="C71" s="1" t="str">
        <f>INDEX(sex,yourPartner!L15)</f>
        <v>Select</v>
      </c>
    </row>
    <row r="72" spans="1:4">
      <c r="A72" s="1" t="s">
        <v>1904</v>
      </c>
      <c r="B72" s="101" t="s">
        <v>1319</v>
      </c>
      <c r="C72" s="95">
        <f>yourPartner!L16</f>
        <v>0</v>
      </c>
    </row>
    <row r="73" spans="1:4">
      <c r="A73" s="1" t="s">
        <v>1904</v>
      </c>
      <c r="B73" s="52" t="s">
        <v>1320</v>
      </c>
      <c r="C73" s="1">
        <f>yourPartner!L17</f>
        <v>0</v>
      </c>
    </row>
    <row r="74" spans="1:4">
      <c r="A74" s="1" t="s">
        <v>1904</v>
      </c>
      <c r="B74" s="52" t="s">
        <v>1321</v>
      </c>
      <c r="C74" s="1" t="str">
        <f>INDEX(CountryOfPassport,yourPartner!L18)</f>
        <v>Select</v>
      </c>
    </row>
    <row r="75" spans="1:4">
      <c r="A75" s="1" t="s">
        <v>1904</v>
      </c>
      <c r="B75" s="52" t="s">
        <v>1322</v>
      </c>
      <c r="C75" s="1" t="str">
        <f>INDEX(CountryOfPassport,yourPartner!L19)</f>
        <v>Select</v>
      </c>
    </row>
    <row r="76" spans="1:4">
      <c r="A76" s="1" t="s">
        <v>1904</v>
      </c>
      <c r="B76" s="52" t="s">
        <v>1323</v>
      </c>
      <c r="C76" s="95">
        <f>yourPartner!L20</f>
        <v>0</v>
      </c>
    </row>
    <row r="77" spans="1:4">
      <c r="A77" s="1" t="s">
        <v>1904</v>
      </c>
      <c r="B77" s="52" t="s">
        <v>1324</v>
      </c>
      <c r="C77" s="95">
        <f>yourPartner!L21</f>
        <v>0</v>
      </c>
    </row>
    <row r="78" spans="1:4">
      <c r="A78" s="172" t="s">
        <v>1904</v>
      </c>
      <c r="B78" s="173" t="s">
        <v>2072</v>
      </c>
      <c r="C78" s="172" t="str">
        <f>INDEX(ChinaPlaceOfIssue,yourPartner!L22)</f>
        <v>Select</v>
      </c>
    </row>
    <row r="79" spans="1:4">
      <c r="A79" s="1" t="s">
        <v>1904</v>
      </c>
      <c r="B79" s="52" t="s">
        <v>1325</v>
      </c>
      <c r="C79" s="1">
        <f>yourPartner!L23</f>
        <v>0</v>
      </c>
    </row>
    <row r="80" spans="1:4">
      <c r="A80" s="1" t="s">
        <v>1904</v>
      </c>
      <c r="B80" s="52" t="s">
        <v>1326</v>
      </c>
      <c r="C80" s="1" t="str">
        <f>INDEX(yesNo,yourPartner!L26)</f>
        <v>Select</v>
      </c>
    </row>
    <row r="81" spans="1:3">
      <c r="A81" s="1" t="s">
        <v>1904</v>
      </c>
      <c r="B81" s="52" t="s">
        <v>1327</v>
      </c>
      <c r="C81" s="1">
        <f>yourPartner!L27</f>
        <v>0</v>
      </c>
    </row>
    <row r="82" spans="1:3">
      <c r="A82" s="1" t="s">
        <v>1904</v>
      </c>
      <c r="B82" s="52" t="s">
        <v>1328</v>
      </c>
      <c r="C82" s="1" t="str">
        <f>INDEX(yesNo,yourPartner!L30)</f>
        <v>Select</v>
      </c>
    </row>
    <row r="83" spans="1:3">
      <c r="A83" s="1" t="s">
        <v>1904</v>
      </c>
      <c r="B83" s="52" t="s">
        <v>1329</v>
      </c>
      <c r="C83" s="1">
        <f>yourPartner!L31</f>
        <v>0</v>
      </c>
    </row>
    <row r="84" spans="1:3">
      <c r="A84" s="1" t="s">
        <v>1904</v>
      </c>
      <c r="B84" s="52" t="s">
        <v>1330</v>
      </c>
      <c r="C84" s="1">
        <f>yourPartner!L32</f>
        <v>0</v>
      </c>
    </row>
    <row r="85" spans="1:3">
      <c r="A85" s="1" t="s">
        <v>1904</v>
      </c>
      <c r="B85" s="52" t="s">
        <v>1331</v>
      </c>
      <c r="C85" s="1">
        <f>yourPartner!L33</f>
        <v>0</v>
      </c>
    </row>
    <row r="86" spans="1:3">
      <c r="A86" s="1" t="s">
        <v>1904</v>
      </c>
      <c r="B86" s="52" t="s">
        <v>1332</v>
      </c>
      <c r="C86" s="1" t="str">
        <f>INDEX(CountryOfIssue,yourPartner!L34)</f>
        <v>Select</v>
      </c>
    </row>
    <row r="87" spans="1:3">
      <c r="A87" s="1" t="s">
        <v>1904</v>
      </c>
      <c r="B87" s="52" t="s">
        <v>1333</v>
      </c>
      <c r="C87" s="95">
        <f>yourPartner!L35</f>
        <v>0</v>
      </c>
    </row>
    <row r="88" spans="1:3">
      <c r="A88" s="1" t="s">
        <v>1904</v>
      </c>
      <c r="B88" s="52" t="s">
        <v>1334</v>
      </c>
      <c r="C88" s="95">
        <f>yourPartner!L36</f>
        <v>0</v>
      </c>
    </row>
    <row r="89" spans="1:3">
      <c r="A89" s="172" t="s">
        <v>1904</v>
      </c>
      <c r="B89" s="173" t="s">
        <v>2074</v>
      </c>
      <c r="C89" s="175">
        <f>yourPartner!D38</f>
        <v>0</v>
      </c>
    </row>
    <row r="90" spans="1:3">
      <c r="A90" s="1" t="s">
        <v>1904</v>
      </c>
      <c r="B90" s="52" t="s">
        <v>1335</v>
      </c>
      <c r="C90" s="1">
        <f>yourPartner!L41</f>
        <v>0</v>
      </c>
    </row>
    <row r="91" spans="1:3">
      <c r="A91" s="1" t="s">
        <v>1904</v>
      </c>
      <c r="B91" s="52" t="s">
        <v>1336</v>
      </c>
      <c r="C91" s="1">
        <f>yourPartner!L42</f>
        <v>0</v>
      </c>
    </row>
    <row r="92" spans="1:3">
      <c r="A92" s="1" t="s">
        <v>1904</v>
      </c>
      <c r="B92" s="52" t="s">
        <v>1337</v>
      </c>
      <c r="C92" s="1" t="str">
        <f>INDEX(CountryOfIssue,yourPartner!L43)</f>
        <v>Select</v>
      </c>
    </row>
    <row r="93" spans="1:3">
      <c r="A93" s="1" t="s">
        <v>1904</v>
      </c>
      <c r="B93" s="52" t="s">
        <v>1338</v>
      </c>
      <c r="C93" s="1" t="str">
        <f>INDEX(yesNo,yourPartner!L46)</f>
        <v>Select</v>
      </c>
    </row>
    <row r="94" spans="1:3">
      <c r="A94" s="1" t="s">
        <v>1904</v>
      </c>
      <c r="B94" s="52" t="s">
        <v>1339</v>
      </c>
      <c r="C94" s="1">
        <f>yourPartner!L47</f>
        <v>0</v>
      </c>
    </row>
    <row r="95" spans="1:3">
      <c r="A95" s="1" t="s">
        <v>1904</v>
      </c>
      <c r="B95" s="52" t="s">
        <v>1340</v>
      </c>
      <c r="C95" s="1">
        <f>yourPartner!L48</f>
        <v>0</v>
      </c>
    </row>
    <row r="96" spans="1:3">
      <c r="A96" s="1" t="s">
        <v>1904</v>
      </c>
      <c r="B96" s="52" t="s">
        <v>1341</v>
      </c>
      <c r="C96" s="1" t="str">
        <f>INDEX(ReasonNameChange,yourPartner!L49)</f>
        <v>Select</v>
      </c>
    </row>
    <row r="97" spans="1:3">
      <c r="A97" s="1" t="s">
        <v>1904</v>
      </c>
      <c r="B97" s="52" t="s">
        <v>1342</v>
      </c>
      <c r="C97" s="1">
        <f>yourPartner!L51</f>
        <v>0</v>
      </c>
    </row>
    <row r="98" spans="1:3">
      <c r="A98" s="1" t="s">
        <v>1904</v>
      </c>
      <c r="B98" s="52" t="s">
        <v>1343</v>
      </c>
      <c r="C98" s="1" t="str">
        <f>INDEX(yesNo,yourPartner!L54)</f>
        <v>Select</v>
      </c>
    </row>
    <row r="99" spans="1:3">
      <c r="A99" s="1" t="s">
        <v>1904</v>
      </c>
      <c r="B99" s="52" t="s">
        <v>1344</v>
      </c>
      <c r="C99" s="1" t="str">
        <f>INDEX(yesNo,yourPartner!L55)</f>
        <v>Select</v>
      </c>
    </row>
    <row r="100" spans="1:3">
      <c r="A100" s="1" t="s">
        <v>1904</v>
      </c>
      <c r="B100" s="52" t="s">
        <v>1345</v>
      </c>
      <c r="C100" s="1" t="str">
        <f>INDEX(CountryOfIssue,yourPartner!L56)</f>
        <v>Select</v>
      </c>
    </row>
    <row r="101" spans="1:3">
      <c r="A101" s="1" t="s">
        <v>1904</v>
      </c>
      <c r="B101" s="52" t="s">
        <v>1346</v>
      </c>
      <c r="C101" s="1" t="str">
        <f>INDEX(CountryOfIssue,yourPartner!L57)</f>
        <v>Select</v>
      </c>
    </row>
    <row r="102" spans="1:3">
      <c r="A102" s="1" t="s">
        <v>1904</v>
      </c>
      <c r="B102" s="52" t="s">
        <v>1347</v>
      </c>
      <c r="C102" s="1" t="str">
        <f>INDEX(yesNo,yourPartner!L59)</f>
        <v>Select</v>
      </c>
    </row>
    <row r="103" spans="1:3">
      <c r="A103" s="1" t="s">
        <v>1904</v>
      </c>
      <c r="B103" s="52" t="s">
        <v>1348</v>
      </c>
      <c r="C103" s="1" t="str">
        <f>INDEX(TypeOfDocument,yourPartner!L60)</f>
        <v>Select</v>
      </c>
    </row>
    <row r="104" spans="1:3">
      <c r="A104" s="1" t="s">
        <v>1904</v>
      </c>
      <c r="B104" s="52" t="s">
        <v>1349</v>
      </c>
      <c r="C104" s="1">
        <f>yourPartner!L61</f>
        <v>0</v>
      </c>
    </row>
    <row r="105" spans="1:3">
      <c r="A105" s="1" t="s">
        <v>1904</v>
      </c>
      <c r="B105" s="52" t="s">
        <v>1350</v>
      </c>
      <c r="C105" s="1">
        <f>yourPartner!L62</f>
        <v>0</v>
      </c>
    </row>
    <row r="106" spans="1:3">
      <c r="A106" s="1" t="s">
        <v>1904</v>
      </c>
      <c r="B106" s="52" t="s">
        <v>1351</v>
      </c>
      <c r="C106" s="1" t="str">
        <f>INDEX(sex,yourPartner!L63)</f>
        <v>Select</v>
      </c>
    </row>
    <row r="107" spans="1:3">
      <c r="A107" s="1" t="s">
        <v>1904</v>
      </c>
      <c r="B107" s="52" t="s">
        <v>1352</v>
      </c>
      <c r="C107" s="95">
        <f>yourPartner!L64</f>
        <v>0</v>
      </c>
    </row>
    <row r="108" spans="1:3">
      <c r="A108" s="1" t="s">
        <v>1904</v>
      </c>
      <c r="B108" s="52" t="s">
        <v>1353</v>
      </c>
      <c r="C108" s="1">
        <f>yourPartner!L65</f>
        <v>0</v>
      </c>
    </row>
    <row r="109" spans="1:3">
      <c r="A109" s="1" t="s">
        <v>1904</v>
      </c>
      <c r="B109" s="52" t="s">
        <v>1354</v>
      </c>
      <c r="C109" s="1" t="str">
        <f>INDEX(CountryOfPassport,yourPartner!L66)</f>
        <v>Select</v>
      </c>
    </row>
    <row r="110" spans="1:3">
      <c r="A110" s="1" t="s">
        <v>1904</v>
      </c>
      <c r="B110" s="52" t="s">
        <v>1355</v>
      </c>
      <c r="C110" s="1" t="str">
        <f>INDEX(CountryOfPassport,yourPartner!L67)</f>
        <v>Select</v>
      </c>
    </row>
    <row r="111" spans="1:3">
      <c r="A111" s="1" t="s">
        <v>1904</v>
      </c>
      <c r="B111" s="52" t="s">
        <v>1356</v>
      </c>
      <c r="C111" s="95">
        <f>yourPartner!L68</f>
        <v>0</v>
      </c>
    </row>
    <row r="112" spans="1:3">
      <c r="A112" s="1" t="s">
        <v>1904</v>
      </c>
      <c r="B112" s="52" t="s">
        <v>1357</v>
      </c>
      <c r="C112" s="95">
        <f>yourPartner!L69</f>
        <v>0</v>
      </c>
    </row>
    <row r="113" spans="1:4">
      <c r="A113" s="1" t="s">
        <v>1904</v>
      </c>
      <c r="B113" s="52" t="s">
        <v>1358</v>
      </c>
      <c r="C113" s="1">
        <f>yourPartner!L70</f>
        <v>0</v>
      </c>
    </row>
    <row r="114" spans="1:4">
      <c r="A114" s="1" t="s">
        <v>1904</v>
      </c>
      <c r="B114" s="52" t="s">
        <v>1359</v>
      </c>
      <c r="C114" s="1" t="str">
        <f>INDEX(yesNo,yourPartner!L73)</f>
        <v>Select</v>
      </c>
    </row>
    <row r="115" spans="1:4">
      <c r="A115" s="1" t="s">
        <v>1904</v>
      </c>
      <c r="B115" s="52" t="s">
        <v>1360</v>
      </c>
      <c r="C115" s="1">
        <f>yourPartner!L74</f>
        <v>0</v>
      </c>
    </row>
    <row r="116" spans="1:4">
      <c r="A116" s="1" t="s">
        <v>1904</v>
      </c>
      <c r="B116" s="52" t="s">
        <v>1361</v>
      </c>
      <c r="C116" s="1">
        <f>yourPartner!L75</f>
        <v>0</v>
      </c>
    </row>
    <row r="117" spans="1:4">
      <c r="A117" s="1" t="s">
        <v>1904</v>
      </c>
      <c r="B117" s="52" t="s">
        <v>1362</v>
      </c>
      <c r="C117" s="1" t="str">
        <f>INDEX(OtherTypeOfDocument,yourPartner!L76)</f>
        <v>Select</v>
      </c>
    </row>
    <row r="118" spans="1:4">
      <c r="A118" s="1" t="s">
        <v>1904</v>
      </c>
      <c r="B118" s="52" t="s">
        <v>1363</v>
      </c>
      <c r="C118" s="1">
        <f>yourPartner!L77</f>
        <v>0</v>
      </c>
    </row>
    <row r="119" spans="1:4">
      <c r="A119" s="1" t="s">
        <v>1904</v>
      </c>
      <c r="B119" s="52" t="s">
        <v>1364</v>
      </c>
      <c r="C119" s="1" t="str">
        <f>INDEX(CountryOfIssue,yourPartner!L78)</f>
        <v>Select</v>
      </c>
    </row>
    <row r="120" spans="1:4">
      <c r="A120" s="1" t="s">
        <v>1905</v>
      </c>
      <c r="B120" s="52" t="s">
        <v>1365</v>
      </c>
      <c r="C120" s="100" t="str">
        <f>IF(child_1!J6 = 1, "Yes", "No")</f>
        <v>No</v>
      </c>
      <c r="D120" s="1" t="s">
        <v>1937</v>
      </c>
    </row>
    <row r="121" spans="1:4">
      <c r="A121" s="1" t="s">
        <v>1905</v>
      </c>
      <c r="B121" s="52" t="s">
        <v>1366</v>
      </c>
      <c r="C121" s="1" t="str">
        <f>INDEX(RelationshipApplicant,child_1!L6)</f>
        <v>Select</v>
      </c>
    </row>
    <row r="122" spans="1:4">
      <c r="A122" s="1" t="s">
        <v>1905</v>
      </c>
      <c r="B122" s="52" t="s">
        <v>1367</v>
      </c>
      <c r="C122" s="1" t="str">
        <f>INDEX(CountryOfIssue,child_1!L9)</f>
        <v>Select</v>
      </c>
    </row>
    <row r="123" spans="1:4">
      <c r="A123" s="1" t="s">
        <v>1905</v>
      </c>
      <c r="B123" s="52" t="s">
        <v>1368</v>
      </c>
      <c r="C123" s="1" t="str">
        <f>INDEX(LegalStatus,child_1!L10)</f>
        <v>Select</v>
      </c>
    </row>
    <row r="124" spans="1:4">
      <c r="A124" s="1" t="s">
        <v>1905</v>
      </c>
      <c r="B124" s="52" t="s">
        <v>1369</v>
      </c>
      <c r="C124" s="1">
        <f>child_1!L12</f>
        <v>0</v>
      </c>
    </row>
    <row r="125" spans="1:4">
      <c r="A125" s="172" t="s">
        <v>1905</v>
      </c>
      <c r="B125" s="173" t="s">
        <v>1993</v>
      </c>
      <c r="C125" s="172" t="str">
        <f>INDEX(yesNo,child_1!L15)</f>
        <v>Select</v>
      </c>
    </row>
    <row r="126" spans="1:4">
      <c r="A126" s="172" t="s">
        <v>1905</v>
      </c>
      <c r="B126" s="173" t="s">
        <v>1995</v>
      </c>
      <c r="C126" s="172" t="str">
        <f>INDEX(yesNo,child_1!L16)</f>
        <v>Select</v>
      </c>
    </row>
    <row r="127" spans="1:4">
      <c r="A127" s="1" t="s">
        <v>1905</v>
      </c>
      <c r="B127" s="52" t="s">
        <v>1370</v>
      </c>
      <c r="C127" s="1">
        <f>child_1!L17</f>
        <v>0</v>
      </c>
    </row>
    <row r="128" spans="1:4">
      <c r="A128" s="1" t="s">
        <v>1905</v>
      </c>
      <c r="B128" s="52" t="s">
        <v>1371</v>
      </c>
      <c r="C128" s="1">
        <f>child_1!L18</f>
        <v>0</v>
      </c>
    </row>
    <row r="129" spans="1:3">
      <c r="A129" s="1" t="s">
        <v>1905</v>
      </c>
      <c r="B129" s="52" t="s">
        <v>1372</v>
      </c>
      <c r="C129" s="1" t="str">
        <f>INDEX(sex,child_1!L19)</f>
        <v>Select</v>
      </c>
    </row>
    <row r="130" spans="1:3">
      <c r="A130" s="1" t="s">
        <v>1905</v>
      </c>
      <c r="B130" s="52" t="s">
        <v>1373</v>
      </c>
      <c r="C130" s="95">
        <f>child_1!L20</f>
        <v>0</v>
      </c>
    </row>
    <row r="131" spans="1:3">
      <c r="A131" s="1" t="s">
        <v>1905</v>
      </c>
      <c r="B131" s="52" t="s">
        <v>1374</v>
      </c>
      <c r="C131" s="1">
        <f>child_1!L21</f>
        <v>0</v>
      </c>
    </row>
    <row r="132" spans="1:3">
      <c r="A132" s="1" t="s">
        <v>1905</v>
      </c>
      <c r="B132" s="52" t="s">
        <v>1375</v>
      </c>
      <c r="C132" s="1" t="str">
        <f>INDEX(CountryOfPassport,child_1!L22)</f>
        <v>Select</v>
      </c>
    </row>
    <row r="133" spans="1:3">
      <c r="A133" s="1" t="s">
        <v>1905</v>
      </c>
      <c r="B133" s="52" t="s">
        <v>1376</v>
      </c>
      <c r="C133" s="1" t="str">
        <f>INDEX(CountryOfPassport,child_1!L23)</f>
        <v>Select</v>
      </c>
    </row>
    <row r="134" spans="1:3">
      <c r="A134" s="1" t="s">
        <v>1905</v>
      </c>
      <c r="B134" s="52" t="s">
        <v>1377</v>
      </c>
      <c r="C134" s="95">
        <f>child_1!L24</f>
        <v>0</v>
      </c>
    </row>
    <row r="135" spans="1:3">
      <c r="A135" s="1" t="s">
        <v>1905</v>
      </c>
      <c r="B135" s="52" t="s">
        <v>1378</v>
      </c>
      <c r="C135" s="95">
        <f>child_1!L25</f>
        <v>0</v>
      </c>
    </row>
    <row r="136" spans="1:3">
      <c r="A136" s="172" t="s">
        <v>1905</v>
      </c>
      <c r="B136" s="173" t="s">
        <v>2073</v>
      </c>
      <c r="C136" s="172" t="str">
        <f>INDEX(ChinaPlaceOfIssue,child_1!L26)</f>
        <v>Select</v>
      </c>
    </row>
    <row r="137" spans="1:3">
      <c r="A137" s="1" t="s">
        <v>1905</v>
      </c>
      <c r="B137" s="52" t="s">
        <v>1379</v>
      </c>
      <c r="C137" s="1">
        <f>child_1!L27</f>
        <v>0</v>
      </c>
    </row>
    <row r="138" spans="1:3">
      <c r="A138" s="1" t="s">
        <v>1905</v>
      </c>
      <c r="B138" s="52" t="s">
        <v>1380</v>
      </c>
      <c r="C138" s="1" t="str">
        <f>INDEX(yesNo,child_1!L30)</f>
        <v>Select</v>
      </c>
    </row>
    <row r="139" spans="1:3">
      <c r="A139" s="1" t="s">
        <v>1905</v>
      </c>
      <c r="B139" s="52" t="s">
        <v>1381</v>
      </c>
      <c r="C139" s="1">
        <f>child_1!L31</f>
        <v>0</v>
      </c>
    </row>
    <row r="140" spans="1:3">
      <c r="A140" s="1" t="s">
        <v>1905</v>
      </c>
      <c r="B140" s="52" t="s">
        <v>1382</v>
      </c>
      <c r="C140" s="1" t="str">
        <f>INDEX(yesNo,child_1!L34)</f>
        <v>Select</v>
      </c>
    </row>
    <row r="141" spans="1:3">
      <c r="A141" s="1" t="s">
        <v>1905</v>
      </c>
      <c r="B141" s="52" t="s">
        <v>1383</v>
      </c>
      <c r="C141" s="1">
        <f>child_1!L35</f>
        <v>0</v>
      </c>
    </row>
    <row r="142" spans="1:3">
      <c r="A142" s="1" t="s">
        <v>1905</v>
      </c>
      <c r="B142" s="52" t="s">
        <v>1384</v>
      </c>
      <c r="C142" s="1">
        <f>child_1!L36</f>
        <v>0</v>
      </c>
    </row>
    <row r="143" spans="1:3">
      <c r="A143" s="1" t="s">
        <v>1905</v>
      </c>
      <c r="B143" s="52" t="s">
        <v>1385</v>
      </c>
      <c r="C143" s="1">
        <f>child_1!L37</f>
        <v>0</v>
      </c>
    </row>
    <row r="144" spans="1:3">
      <c r="A144" s="1" t="s">
        <v>1905</v>
      </c>
      <c r="B144" s="52" t="s">
        <v>1386</v>
      </c>
      <c r="C144" s="1" t="str">
        <f>INDEX(CountryOfIssue,child_1!L38)</f>
        <v>Select</v>
      </c>
    </row>
    <row r="145" spans="1:3">
      <c r="A145" s="1" t="s">
        <v>1905</v>
      </c>
      <c r="B145" s="52" t="s">
        <v>1387</v>
      </c>
      <c r="C145" s="95">
        <f>child_1!L39</f>
        <v>0</v>
      </c>
    </row>
    <row r="146" spans="1:3">
      <c r="A146" s="1" t="s">
        <v>1905</v>
      </c>
      <c r="B146" s="52" t="s">
        <v>1388</v>
      </c>
      <c r="C146" s="95">
        <f>child_1!L40</f>
        <v>0</v>
      </c>
    </row>
    <row r="147" spans="1:3">
      <c r="A147" s="172" t="s">
        <v>1905</v>
      </c>
      <c r="B147" s="173" t="s">
        <v>2075</v>
      </c>
      <c r="C147" s="175">
        <f>child_1!D42</f>
        <v>0</v>
      </c>
    </row>
    <row r="148" spans="1:3">
      <c r="A148" s="1" t="s">
        <v>1905</v>
      </c>
      <c r="B148" s="52" t="s">
        <v>1389</v>
      </c>
      <c r="C148" s="1">
        <f>child_1!L45</f>
        <v>0</v>
      </c>
    </row>
    <row r="149" spans="1:3">
      <c r="A149" s="1" t="s">
        <v>1905</v>
      </c>
      <c r="B149" s="52" t="s">
        <v>1390</v>
      </c>
      <c r="C149" s="1">
        <f>child_1!L46</f>
        <v>0</v>
      </c>
    </row>
    <row r="150" spans="1:3">
      <c r="A150" s="1" t="s">
        <v>1905</v>
      </c>
      <c r="B150" s="52" t="s">
        <v>1391</v>
      </c>
      <c r="C150" s="1" t="str">
        <f>INDEX(CountryOfIssue,child_1!L47)</f>
        <v>Select</v>
      </c>
    </row>
    <row r="151" spans="1:3">
      <c r="A151" s="1" t="s">
        <v>1905</v>
      </c>
      <c r="B151" s="52" t="s">
        <v>1392</v>
      </c>
      <c r="C151" s="1" t="str">
        <f>INDEX(RelationshipStatus,child_1!L50)</f>
        <v>Select</v>
      </c>
    </row>
    <row r="152" spans="1:3">
      <c r="A152" s="1" t="s">
        <v>1905</v>
      </c>
      <c r="B152" s="52" t="s">
        <v>1393</v>
      </c>
      <c r="C152" s="1" t="str">
        <f>INDEX(yesNo,child_1!L53)</f>
        <v>Select</v>
      </c>
    </row>
    <row r="153" spans="1:3">
      <c r="A153" s="1" t="s">
        <v>1905</v>
      </c>
      <c r="B153" s="52" t="s">
        <v>1394</v>
      </c>
      <c r="C153" s="1">
        <f>child_1!L54</f>
        <v>0</v>
      </c>
    </row>
    <row r="154" spans="1:3">
      <c r="A154" s="1" t="s">
        <v>1905</v>
      </c>
      <c r="B154" s="52" t="s">
        <v>1395</v>
      </c>
      <c r="C154" s="1">
        <f>child_1!L55</f>
        <v>0</v>
      </c>
    </row>
    <row r="155" spans="1:3">
      <c r="A155" s="1" t="s">
        <v>1905</v>
      </c>
      <c r="B155" s="52" t="s">
        <v>1396</v>
      </c>
      <c r="C155" s="1" t="str">
        <f>INDEX(ReasonNameChange,child_1!L56)</f>
        <v>Select</v>
      </c>
    </row>
    <row r="156" spans="1:3">
      <c r="A156" s="1" t="s">
        <v>1905</v>
      </c>
      <c r="B156" s="52" t="s">
        <v>1397</v>
      </c>
      <c r="C156" s="1">
        <f>child_1!L58</f>
        <v>0</v>
      </c>
    </row>
    <row r="157" spans="1:3">
      <c r="A157" s="1" t="s">
        <v>1905</v>
      </c>
      <c r="B157" s="52" t="s">
        <v>1398</v>
      </c>
      <c r="C157" s="1" t="str">
        <f>INDEX(yesNo,child_1!L61)</f>
        <v>Select</v>
      </c>
    </row>
    <row r="158" spans="1:3">
      <c r="A158" s="1" t="s">
        <v>1905</v>
      </c>
      <c r="B158" s="52" t="s">
        <v>1399</v>
      </c>
      <c r="C158" s="1" t="str">
        <f>INDEX(yesNo,child_1!L62)</f>
        <v>Select</v>
      </c>
    </row>
    <row r="159" spans="1:3">
      <c r="A159" s="1" t="s">
        <v>1905</v>
      </c>
      <c r="B159" s="52" t="s">
        <v>1400</v>
      </c>
      <c r="C159" s="1" t="str">
        <f>INDEX(CountryOfIssue,child_1!L63)</f>
        <v>Select</v>
      </c>
    </row>
    <row r="160" spans="1:3">
      <c r="A160" s="1" t="s">
        <v>1905</v>
      </c>
      <c r="B160" s="52" t="s">
        <v>1401</v>
      </c>
      <c r="C160" s="1" t="str">
        <f>INDEX(CountryOfIssue,child_1!L64)</f>
        <v>Select</v>
      </c>
    </row>
    <row r="161" spans="1:3">
      <c r="A161" s="1" t="s">
        <v>1905</v>
      </c>
      <c r="B161" s="52" t="s">
        <v>1402</v>
      </c>
      <c r="C161" s="1" t="str">
        <f>INDEX(yesNo,child_1!L66)</f>
        <v>Select</v>
      </c>
    </row>
    <row r="162" spans="1:3">
      <c r="A162" s="1" t="s">
        <v>1905</v>
      </c>
      <c r="B162" s="52" t="s">
        <v>1403</v>
      </c>
      <c r="C162" s="1" t="str">
        <f>INDEX(TypeOfDocument,child_1!L67)</f>
        <v>Select</v>
      </c>
    </row>
    <row r="163" spans="1:3">
      <c r="A163" s="1" t="s">
        <v>1905</v>
      </c>
      <c r="B163" s="52" t="s">
        <v>1404</v>
      </c>
      <c r="C163" s="1">
        <f>child_1!L68</f>
        <v>0</v>
      </c>
    </row>
    <row r="164" spans="1:3">
      <c r="A164" s="1" t="s">
        <v>1905</v>
      </c>
      <c r="B164" s="52" t="s">
        <v>1405</v>
      </c>
      <c r="C164" s="1">
        <f>child_1!L69</f>
        <v>0</v>
      </c>
    </row>
    <row r="165" spans="1:3">
      <c r="A165" s="1" t="s">
        <v>1905</v>
      </c>
      <c r="B165" s="52" t="s">
        <v>1406</v>
      </c>
      <c r="C165" s="1" t="str">
        <f>INDEX(sex,child_1!L70)</f>
        <v>Select</v>
      </c>
    </row>
    <row r="166" spans="1:3">
      <c r="A166" s="1" t="s">
        <v>1905</v>
      </c>
      <c r="B166" s="52" t="s">
        <v>1407</v>
      </c>
      <c r="C166" s="95">
        <f>child_1!L71</f>
        <v>0</v>
      </c>
    </row>
    <row r="167" spans="1:3">
      <c r="A167" s="1" t="s">
        <v>1905</v>
      </c>
      <c r="B167" s="52" t="s">
        <v>1408</v>
      </c>
      <c r="C167" s="1">
        <f>child_1!L72</f>
        <v>0</v>
      </c>
    </row>
    <row r="168" spans="1:3">
      <c r="A168" s="1" t="s">
        <v>1905</v>
      </c>
      <c r="B168" s="52" t="s">
        <v>1409</v>
      </c>
      <c r="C168" s="1" t="str">
        <f>INDEX(CountryOfPassport,child_1!L73)</f>
        <v>Select</v>
      </c>
    </row>
    <row r="169" spans="1:3">
      <c r="A169" s="1" t="s">
        <v>1905</v>
      </c>
      <c r="B169" s="52" t="s">
        <v>1410</v>
      </c>
      <c r="C169" s="1" t="str">
        <f>INDEX(CountryOfPassport,child_1!L74)</f>
        <v>Select</v>
      </c>
    </row>
    <row r="170" spans="1:3">
      <c r="A170" s="1" t="s">
        <v>1905</v>
      </c>
      <c r="B170" s="52" t="s">
        <v>1411</v>
      </c>
      <c r="C170" s="95">
        <f>child_1!L75</f>
        <v>0</v>
      </c>
    </row>
    <row r="171" spans="1:3">
      <c r="A171" s="1" t="s">
        <v>1905</v>
      </c>
      <c r="B171" s="52" t="s">
        <v>1412</v>
      </c>
      <c r="C171" s="95">
        <f>child_1!L76</f>
        <v>0</v>
      </c>
    </row>
    <row r="172" spans="1:3">
      <c r="A172" s="1" t="s">
        <v>1905</v>
      </c>
      <c r="B172" s="52" t="s">
        <v>1413</v>
      </c>
      <c r="C172" s="1">
        <f>child_1!L77</f>
        <v>0</v>
      </c>
    </row>
    <row r="173" spans="1:3">
      <c r="A173" s="1" t="s">
        <v>1905</v>
      </c>
      <c r="B173" s="52" t="s">
        <v>1414</v>
      </c>
      <c r="C173" s="1" t="str">
        <f>INDEX(yesNo,child_1!L80)</f>
        <v>Select</v>
      </c>
    </row>
    <row r="174" spans="1:3">
      <c r="A174" s="1" t="s">
        <v>1905</v>
      </c>
      <c r="B174" s="52" t="s">
        <v>1415</v>
      </c>
      <c r="C174" s="1">
        <f>child_1!L81</f>
        <v>0</v>
      </c>
    </row>
    <row r="175" spans="1:3">
      <c r="A175" s="1" t="s">
        <v>1905</v>
      </c>
      <c r="B175" s="52" t="s">
        <v>1416</v>
      </c>
      <c r="C175" s="1">
        <f>child_1!L82</f>
        <v>0</v>
      </c>
    </row>
    <row r="176" spans="1:3">
      <c r="A176" s="1" t="s">
        <v>1905</v>
      </c>
      <c r="B176" s="52" t="s">
        <v>1417</v>
      </c>
      <c r="C176" s="1" t="str">
        <f>INDEX(OtherTypeOfDocument,child_1!L83)</f>
        <v>Select</v>
      </c>
    </row>
    <row r="177" spans="1:4">
      <c r="A177" s="1" t="s">
        <v>1905</v>
      </c>
      <c r="B177" s="52" t="s">
        <v>1418</v>
      </c>
      <c r="C177" s="1">
        <f>child_1!L84</f>
        <v>0</v>
      </c>
    </row>
    <row r="178" spans="1:4">
      <c r="A178" s="1" t="s">
        <v>1905</v>
      </c>
      <c r="B178" s="52" t="s">
        <v>1419</v>
      </c>
      <c r="C178" s="1" t="str">
        <f>INDEX(CountryOfIssue,child_1!L85)</f>
        <v>Select</v>
      </c>
    </row>
    <row r="179" spans="1:4">
      <c r="A179" s="1" t="s">
        <v>1905</v>
      </c>
      <c r="B179" s="52" t="s">
        <v>1420</v>
      </c>
      <c r="C179" s="1" t="str">
        <f>INDEX(yesNo,child_1!L88)</f>
        <v>Select</v>
      </c>
    </row>
    <row r="180" spans="1:4">
      <c r="A180" s="1" t="s">
        <v>1905</v>
      </c>
      <c r="B180" s="52" t="s">
        <v>1421</v>
      </c>
      <c r="C180" s="1" t="str">
        <f>INDEX(yesNo,child_1!L89)</f>
        <v>Select</v>
      </c>
    </row>
    <row r="181" spans="1:4">
      <c r="A181" s="1" t="s">
        <v>1905</v>
      </c>
      <c r="B181" s="52" t="s">
        <v>1422</v>
      </c>
      <c r="C181" s="1">
        <f>child_1!L91</f>
        <v>0</v>
      </c>
    </row>
    <row r="182" spans="1:4">
      <c r="A182" s="1" t="s">
        <v>1905</v>
      </c>
      <c r="B182" s="52" t="s">
        <v>1423</v>
      </c>
      <c r="C182" s="1" t="str">
        <f>INDEX(yesNo,child_1!L92)</f>
        <v>Select</v>
      </c>
    </row>
    <row r="183" spans="1:4">
      <c r="A183" s="1" t="s">
        <v>1905</v>
      </c>
      <c r="B183" s="52" t="s">
        <v>1424</v>
      </c>
      <c r="C183" s="1">
        <f>child_1!L94</f>
        <v>0</v>
      </c>
    </row>
    <row r="184" spans="1:4">
      <c r="A184" s="1" t="s">
        <v>1905</v>
      </c>
      <c r="B184" s="52" t="s">
        <v>1425</v>
      </c>
      <c r="C184" s="1" t="str">
        <f>INDEX(yesNo,child_1!L95)</f>
        <v>Select</v>
      </c>
    </row>
    <row r="185" spans="1:4">
      <c r="A185" s="1" t="s">
        <v>1905</v>
      </c>
      <c r="B185" s="52" t="s">
        <v>1426</v>
      </c>
      <c r="C185" s="1">
        <f>child_1!L97</f>
        <v>0</v>
      </c>
    </row>
    <row r="186" spans="1:4">
      <c r="A186" s="1" t="s">
        <v>1905</v>
      </c>
      <c r="B186" s="52" t="s">
        <v>1427</v>
      </c>
      <c r="C186" s="1" t="str">
        <f>INDEX(yesNo,child_1!L98)</f>
        <v>Select</v>
      </c>
    </row>
    <row r="187" spans="1:4">
      <c r="A187" s="1" t="s">
        <v>1905</v>
      </c>
      <c r="B187" s="52" t="s">
        <v>1428</v>
      </c>
      <c r="C187" s="1">
        <f>child_1!L100</f>
        <v>0</v>
      </c>
    </row>
    <row r="188" spans="1:4">
      <c r="A188" s="1" t="s">
        <v>1924</v>
      </c>
      <c r="B188" s="52" t="s">
        <v>1429</v>
      </c>
      <c r="C188" s="100" t="str">
        <f>IF(child_2!J6 = 1, "Yes", "No")</f>
        <v>No</v>
      </c>
      <c r="D188" s="1" t="s">
        <v>1937</v>
      </c>
    </row>
    <row r="189" spans="1:4">
      <c r="A189" s="1" t="s">
        <v>1924</v>
      </c>
      <c r="B189" s="52" t="s">
        <v>1430</v>
      </c>
      <c r="C189" s="116" t="str">
        <f>INDEX(RelationshipApplicant,child_2!L6)</f>
        <v>Select</v>
      </c>
    </row>
    <row r="190" spans="1:4">
      <c r="A190" s="1" t="s">
        <v>1924</v>
      </c>
      <c r="B190" s="52" t="s">
        <v>1431</v>
      </c>
      <c r="C190" s="116" t="str">
        <f>INDEX(CountryOfIssue,child_2!L9)</f>
        <v>Select</v>
      </c>
    </row>
    <row r="191" spans="1:4">
      <c r="A191" s="1" t="s">
        <v>1924</v>
      </c>
      <c r="B191" s="52" t="s">
        <v>1432</v>
      </c>
      <c r="C191" s="116" t="str">
        <f>INDEX(LegalStatus,child_2!L10)</f>
        <v>Select</v>
      </c>
    </row>
    <row r="192" spans="1:4">
      <c r="A192" s="1" t="s">
        <v>1924</v>
      </c>
      <c r="B192" s="52" t="s">
        <v>1433</v>
      </c>
      <c r="C192" s="116">
        <f>child_2!L12</f>
        <v>0</v>
      </c>
    </row>
    <row r="193" spans="1:3">
      <c r="A193" s="172" t="s">
        <v>1924</v>
      </c>
      <c r="B193" s="173" t="s">
        <v>2076</v>
      </c>
      <c r="C193" s="172" t="str">
        <f>INDEX(yesNo,child_2!L15)</f>
        <v>Select</v>
      </c>
    </row>
    <row r="194" spans="1:3">
      <c r="A194" s="172" t="s">
        <v>1924</v>
      </c>
      <c r="B194" s="173" t="s">
        <v>2077</v>
      </c>
      <c r="C194" s="172" t="str">
        <f>INDEX(yesNo,child_2!L16)</f>
        <v>Select</v>
      </c>
    </row>
    <row r="195" spans="1:3">
      <c r="A195" s="1" t="s">
        <v>1924</v>
      </c>
      <c r="B195" s="52" t="s">
        <v>1434</v>
      </c>
      <c r="C195" s="116">
        <f>child_2!L17</f>
        <v>0</v>
      </c>
    </row>
    <row r="196" spans="1:3">
      <c r="A196" s="1" t="s">
        <v>1924</v>
      </c>
      <c r="B196" s="52" t="s">
        <v>1435</v>
      </c>
      <c r="C196" s="116">
        <f>child_2!L18</f>
        <v>0</v>
      </c>
    </row>
    <row r="197" spans="1:3">
      <c r="A197" s="1" t="s">
        <v>1924</v>
      </c>
      <c r="B197" s="52" t="s">
        <v>1436</v>
      </c>
      <c r="C197" s="116" t="str">
        <f>INDEX(sex,child_2!L19)</f>
        <v>Select</v>
      </c>
    </row>
    <row r="198" spans="1:3">
      <c r="A198" s="1" t="s">
        <v>1924</v>
      </c>
      <c r="B198" s="52" t="s">
        <v>1437</v>
      </c>
      <c r="C198" s="117">
        <f>child_2!L20</f>
        <v>0</v>
      </c>
    </row>
    <row r="199" spans="1:3">
      <c r="A199" s="1" t="s">
        <v>1924</v>
      </c>
      <c r="B199" s="52" t="s">
        <v>1438</v>
      </c>
      <c r="C199" s="116">
        <f>child_2!L21</f>
        <v>0</v>
      </c>
    </row>
    <row r="200" spans="1:3">
      <c r="A200" s="1" t="s">
        <v>1924</v>
      </c>
      <c r="B200" s="52" t="s">
        <v>1439</v>
      </c>
      <c r="C200" s="116" t="str">
        <f>INDEX(CountryOfPassport,child_2!L22)</f>
        <v>Select</v>
      </c>
    </row>
    <row r="201" spans="1:3">
      <c r="A201" s="1" t="s">
        <v>1924</v>
      </c>
      <c r="B201" s="52" t="s">
        <v>1440</v>
      </c>
      <c r="C201" s="116" t="str">
        <f>INDEX(CountryOfPassport,child_2!L23)</f>
        <v>Select</v>
      </c>
    </row>
    <row r="202" spans="1:3">
      <c r="A202" s="1" t="s">
        <v>1924</v>
      </c>
      <c r="B202" s="52" t="s">
        <v>1441</v>
      </c>
      <c r="C202" s="117">
        <f>child_2!L24</f>
        <v>0</v>
      </c>
    </row>
    <row r="203" spans="1:3">
      <c r="A203" s="1" t="s">
        <v>1924</v>
      </c>
      <c r="B203" s="52" t="s">
        <v>1442</v>
      </c>
      <c r="C203" s="117">
        <f>child_2!L25</f>
        <v>0</v>
      </c>
    </row>
    <row r="204" spans="1:3">
      <c r="A204" s="172" t="s">
        <v>1924</v>
      </c>
      <c r="B204" s="173" t="s">
        <v>2078</v>
      </c>
      <c r="C204" s="172" t="str">
        <f>INDEX(ChinaPlaceOfIssue,child_2!L26)</f>
        <v>Select</v>
      </c>
    </row>
    <row r="205" spans="1:3">
      <c r="A205" s="1" t="s">
        <v>1924</v>
      </c>
      <c r="B205" s="52" t="s">
        <v>1443</v>
      </c>
      <c r="C205" s="116">
        <f>child_2!L27</f>
        <v>0</v>
      </c>
    </row>
    <row r="206" spans="1:3">
      <c r="A206" s="1" t="s">
        <v>1924</v>
      </c>
      <c r="B206" s="52" t="s">
        <v>1444</v>
      </c>
      <c r="C206" s="116" t="str">
        <f>INDEX(yesNo,child_2!L30)</f>
        <v>Select</v>
      </c>
    </row>
    <row r="207" spans="1:3">
      <c r="A207" s="1" t="s">
        <v>1924</v>
      </c>
      <c r="B207" s="52" t="s">
        <v>1445</v>
      </c>
      <c r="C207" s="116">
        <f>child_2!L31</f>
        <v>0</v>
      </c>
    </row>
    <row r="208" spans="1:3">
      <c r="A208" s="1" t="s">
        <v>1924</v>
      </c>
      <c r="B208" s="52" t="s">
        <v>1446</v>
      </c>
      <c r="C208" s="116" t="str">
        <f>INDEX(yesNo,child_2!L34)</f>
        <v>Select</v>
      </c>
    </row>
    <row r="209" spans="1:3">
      <c r="A209" s="1" t="s">
        <v>1924</v>
      </c>
      <c r="B209" s="52" t="s">
        <v>1447</v>
      </c>
      <c r="C209" s="116">
        <f>child_2!L35</f>
        <v>0</v>
      </c>
    </row>
    <row r="210" spans="1:3">
      <c r="A210" s="1" t="s">
        <v>1924</v>
      </c>
      <c r="B210" s="52" t="s">
        <v>1448</v>
      </c>
      <c r="C210" s="116">
        <f>child_2!L36</f>
        <v>0</v>
      </c>
    </row>
    <row r="211" spans="1:3">
      <c r="A211" s="1" t="s">
        <v>1924</v>
      </c>
      <c r="B211" s="52" t="s">
        <v>1449</v>
      </c>
      <c r="C211" s="116">
        <f>child_2!L37</f>
        <v>0</v>
      </c>
    </row>
    <row r="212" spans="1:3">
      <c r="A212" s="1" t="s">
        <v>1924</v>
      </c>
      <c r="B212" s="52" t="s">
        <v>1450</v>
      </c>
      <c r="C212" s="116" t="str">
        <f>INDEX(CountryOfIssue,child_2!L38)</f>
        <v>Select</v>
      </c>
    </row>
    <row r="213" spans="1:3">
      <c r="A213" s="1" t="s">
        <v>1924</v>
      </c>
      <c r="B213" s="52" t="s">
        <v>1451</v>
      </c>
      <c r="C213" s="117">
        <f>child_2!L39</f>
        <v>0</v>
      </c>
    </row>
    <row r="214" spans="1:3">
      <c r="A214" s="1" t="s">
        <v>1924</v>
      </c>
      <c r="B214" s="52" t="s">
        <v>1452</v>
      </c>
      <c r="C214" s="117">
        <f>child_2!L40</f>
        <v>0</v>
      </c>
    </row>
    <row r="215" spans="1:3">
      <c r="A215" s="172" t="s">
        <v>1924</v>
      </c>
      <c r="B215" s="173" t="s">
        <v>2079</v>
      </c>
      <c r="C215" s="175">
        <f>child_2!D42</f>
        <v>0</v>
      </c>
    </row>
    <row r="216" spans="1:3">
      <c r="A216" s="1" t="s">
        <v>1924</v>
      </c>
      <c r="B216" s="52" t="s">
        <v>1453</v>
      </c>
      <c r="C216" s="116">
        <f>child_2!L45</f>
        <v>0</v>
      </c>
    </row>
    <row r="217" spans="1:3">
      <c r="A217" s="1" t="s">
        <v>1924</v>
      </c>
      <c r="B217" s="52" t="s">
        <v>1454</v>
      </c>
      <c r="C217" s="116">
        <f>child_2!L46</f>
        <v>0</v>
      </c>
    </row>
    <row r="218" spans="1:3">
      <c r="A218" s="1" t="s">
        <v>1924</v>
      </c>
      <c r="B218" s="52" t="s">
        <v>1455</v>
      </c>
      <c r="C218" s="116" t="str">
        <f>INDEX(CountryOfIssue,child_2!L47)</f>
        <v>Select</v>
      </c>
    </row>
    <row r="219" spans="1:3">
      <c r="A219" s="1" t="s">
        <v>1924</v>
      </c>
      <c r="B219" s="52" t="s">
        <v>1456</v>
      </c>
      <c r="C219" s="116" t="str">
        <f>INDEX(RelationshipStatus,child_2!L50)</f>
        <v>Select</v>
      </c>
    </row>
    <row r="220" spans="1:3">
      <c r="A220" s="1" t="s">
        <v>1924</v>
      </c>
      <c r="B220" s="52" t="s">
        <v>1457</v>
      </c>
      <c r="C220" s="116" t="str">
        <f>INDEX(yesNo,child_2!L53)</f>
        <v>Select</v>
      </c>
    </row>
    <row r="221" spans="1:3">
      <c r="A221" s="1" t="s">
        <v>1924</v>
      </c>
      <c r="B221" s="52" t="s">
        <v>1458</v>
      </c>
      <c r="C221" s="116">
        <f>child_2!L54</f>
        <v>0</v>
      </c>
    </row>
    <row r="222" spans="1:3">
      <c r="A222" s="1" t="s">
        <v>1924</v>
      </c>
      <c r="B222" s="52" t="s">
        <v>1459</v>
      </c>
      <c r="C222" s="116">
        <f>child_2!L55</f>
        <v>0</v>
      </c>
    </row>
    <row r="223" spans="1:3">
      <c r="A223" s="1" t="s">
        <v>1924</v>
      </c>
      <c r="B223" s="52" t="s">
        <v>1460</v>
      </c>
      <c r="C223" s="116" t="str">
        <f>INDEX(ReasonNameChange,child_2!L56)</f>
        <v>Select</v>
      </c>
    </row>
    <row r="224" spans="1:3">
      <c r="A224" s="1" t="s">
        <v>1924</v>
      </c>
      <c r="B224" s="52" t="s">
        <v>1461</v>
      </c>
      <c r="C224" s="116">
        <f>child_2!L58</f>
        <v>0</v>
      </c>
    </row>
    <row r="225" spans="1:3">
      <c r="A225" s="1" t="s">
        <v>1924</v>
      </c>
      <c r="B225" s="52" t="s">
        <v>1462</v>
      </c>
      <c r="C225" s="116" t="str">
        <f>INDEX(yesNo,child_2!L61)</f>
        <v>Select</v>
      </c>
    </row>
    <row r="226" spans="1:3">
      <c r="A226" s="1" t="s">
        <v>1924</v>
      </c>
      <c r="B226" s="52" t="s">
        <v>1463</v>
      </c>
      <c r="C226" s="116" t="str">
        <f>INDEX(yesNo,child_2!L62)</f>
        <v>Select</v>
      </c>
    </row>
    <row r="227" spans="1:3">
      <c r="A227" s="1" t="s">
        <v>1924</v>
      </c>
      <c r="B227" s="52" t="s">
        <v>1464</v>
      </c>
      <c r="C227" s="116" t="str">
        <f>INDEX(CountryOfIssue,child_2!L63)</f>
        <v>Select</v>
      </c>
    </row>
    <row r="228" spans="1:3">
      <c r="A228" s="1" t="s">
        <v>1924</v>
      </c>
      <c r="B228" s="52" t="s">
        <v>1465</v>
      </c>
      <c r="C228" s="116" t="str">
        <f>INDEX(CountryOfIssue,child_2!L64)</f>
        <v>Select</v>
      </c>
    </row>
    <row r="229" spans="1:3">
      <c r="A229" s="1" t="s">
        <v>1924</v>
      </c>
      <c r="B229" s="52" t="s">
        <v>1466</v>
      </c>
      <c r="C229" s="116" t="str">
        <f>INDEX(yesNo,child_2!L66)</f>
        <v>Select</v>
      </c>
    </row>
    <row r="230" spans="1:3">
      <c r="A230" s="1" t="s">
        <v>1924</v>
      </c>
      <c r="B230" s="52" t="s">
        <v>1467</v>
      </c>
      <c r="C230" s="116" t="str">
        <f>INDEX(TypeOfDocument,child_2!L67)</f>
        <v>Select</v>
      </c>
    </row>
    <row r="231" spans="1:3">
      <c r="A231" s="1" t="s">
        <v>1924</v>
      </c>
      <c r="B231" s="52" t="s">
        <v>1468</v>
      </c>
      <c r="C231" s="116">
        <f>child_2!L68</f>
        <v>0</v>
      </c>
    </row>
    <row r="232" spans="1:3">
      <c r="A232" s="1" t="s">
        <v>1924</v>
      </c>
      <c r="B232" s="52" t="s">
        <v>1469</v>
      </c>
      <c r="C232" s="116">
        <f>child_2!L69</f>
        <v>0</v>
      </c>
    </row>
    <row r="233" spans="1:3">
      <c r="A233" s="1" t="s">
        <v>1924</v>
      </c>
      <c r="B233" s="52" t="s">
        <v>1470</v>
      </c>
      <c r="C233" s="116" t="str">
        <f>INDEX(sex,child_2!L70)</f>
        <v>Select</v>
      </c>
    </row>
    <row r="234" spans="1:3">
      <c r="A234" s="1" t="s">
        <v>1924</v>
      </c>
      <c r="B234" s="52" t="s">
        <v>1471</v>
      </c>
      <c r="C234" s="116">
        <f>child_2!L71</f>
        <v>0</v>
      </c>
    </row>
    <row r="235" spans="1:3">
      <c r="A235" s="1" t="s">
        <v>1924</v>
      </c>
      <c r="B235" s="52" t="s">
        <v>1472</v>
      </c>
      <c r="C235" s="116">
        <f>child_2!L72</f>
        <v>0</v>
      </c>
    </row>
    <row r="236" spans="1:3">
      <c r="A236" s="1" t="s">
        <v>1924</v>
      </c>
      <c r="B236" s="52" t="s">
        <v>1473</v>
      </c>
      <c r="C236" s="116" t="str">
        <f>INDEX(CountryOfPassport,child_2!L73)</f>
        <v>Select</v>
      </c>
    </row>
    <row r="237" spans="1:3">
      <c r="A237" s="1" t="s">
        <v>1924</v>
      </c>
      <c r="B237" s="52" t="s">
        <v>1474</v>
      </c>
      <c r="C237" s="116" t="str">
        <f>INDEX(CountryOfPassport,child_2!L74)</f>
        <v>Select</v>
      </c>
    </row>
    <row r="238" spans="1:3">
      <c r="A238" s="1" t="s">
        <v>1924</v>
      </c>
      <c r="B238" s="52" t="s">
        <v>1475</v>
      </c>
      <c r="C238" s="117">
        <f>child_2!L75</f>
        <v>0</v>
      </c>
    </row>
    <row r="239" spans="1:3">
      <c r="A239" s="1" t="s">
        <v>1924</v>
      </c>
      <c r="B239" s="52" t="s">
        <v>1476</v>
      </c>
      <c r="C239" s="117">
        <f>child_2!L76</f>
        <v>0</v>
      </c>
    </row>
    <row r="240" spans="1:3">
      <c r="A240" s="1" t="s">
        <v>1924</v>
      </c>
      <c r="B240" s="52" t="s">
        <v>1477</v>
      </c>
      <c r="C240" s="116">
        <f>child_2!L77</f>
        <v>0</v>
      </c>
    </row>
    <row r="241" spans="1:4">
      <c r="A241" s="1" t="s">
        <v>1924</v>
      </c>
      <c r="B241" s="52" t="s">
        <v>1478</v>
      </c>
      <c r="C241" s="116" t="str">
        <f>INDEX(yesNo,child_2!L80)</f>
        <v>Select</v>
      </c>
    </row>
    <row r="242" spans="1:4">
      <c r="A242" s="1" t="s">
        <v>1924</v>
      </c>
      <c r="B242" s="52" t="s">
        <v>1479</v>
      </c>
      <c r="C242" s="116">
        <f>child_2!L81</f>
        <v>0</v>
      </c>
    </row>
    <row r="243" spans="1:4">
      <c r="A243" s="1" t="s">
        <v>1924</v>
      </c>
      <c r="B243" s="52" t="s">
        <v>1480</v>
      </c>
      <c r="C243" s="116">
        <f>child_2!L82</f>
        <v>0</v>
      </c>
    </row>
    <row r="244" spans="1:4">
      <c r="A244" s="1" t="s">
        <v>1924</v>
      </c>
      <c r="B244" s="52" t="s">
        <v>1481</v>
      </c>
      <c r="C244" s="116" t="str">
        <f>INDEX(OtherTypeOfDocument,child_2!L83)</f>
        <v>Select</v>
      </c>
    </row>
    <row r="245" spans="1:4">
      <c r="A245" s="1" t="s">
        <v>1924</v>
      </c>
      <c r="B245" s="52" t="s">
        <v>1482</v>
      </c>
      <c r="C245" s="116">
        <f>child_2!L84</f>
        <v>0</v>
      </c>
    </row>
    <row r="246" spans="1:4">
      <c r="A246" s="1" t="s">
        <v>1924</v>
      </c>
      <c r="B246" s="52" t="s">
        <v>1483</v>
      </c>
      <c r="C246" s="116" t="str">
        <f>INDEX(CountryOfIssue,child_2!L85)</f>
        <v>Select</v>
      </c>
    </row>
    <row r="247" spans="1:4">
      <c r="A247" s="1" t="s">
        <v>1924</v>
      </c>
      <c r="B247" s="52" t="s">
        <v>1484</v>
      </c>
      <c r="C247" s="116" t="str">
        <f>INDEX(yesNo,child_2!L88)</f>
        <v>Select</v>
      </c>
    </row>
    <row r="248" spans="1:4">
      <c r="A248" s="1" t="s">
        <v>1924</v>
      </c>
      <c r="B248" s="52" t="s">
        <v>1485</v>
      </c>
      <c r="C248" s="116" t="str">
        <f>INDEX(yesNo,child_2!L89)</f>
        <v>Select</v>
      </c>
    </row>
    <row r="249" spans="1:4">
      <c r="A249" s="1" t="s">
        <v>1924</v>
      </c>
      <c r="B249" s="52" t="s">
        <v>1486</v>
      </c>
      <c r="C249" s="116">
        <f>child_2!L91</f>
        <v>0</v>
      </c>
    </row>
    <row r="250" spans="1:4">
      <c r="A250" s="1" t="s">
        <v>1924</v>
      </c>
      <c r="B250" s="52" t="s">
        <v>1487</v>
      </c>
      <c r="C250" s="116" t="str">
        <f>INDEX(yesNo,child_2!L92)</f>
        <v>Select</v>
      </c>
    </row>
    <row r="251" spans="1:4">
      <c r="A251" s="1" t="s">
        <v>1924</v>
      </c>
      <c r="B251" s="52" t="s">
        <v>1488</v>
      </c>
      <c r="C251" s="116">
        <f>child_2!L94</f>
        <v>0</v>
      </c>
    </row>
    <row r="252" spans="1:4">
      <c r="A252" s="1" t="s">
        <v>1924</v>
      </c>
      <c r="B252" s="52" t="s">
        <v>1489</v>
      </c>
      <c r="C252" s="116" t="str">
        <f>INDEX(yesNo,child_2!L95)</f>
        <v>Select</v>
      </c>
    </row>
    <row r="253" spans="1:4">
      <c r="A253" s="1" t="s">
        <v>1924</v>
      </c>
      <c r="B253" s="52" t="s">
        <v>1490</v>
      </c>
      <c r="C253" s="116">
        <f>child_2!L97</f>
        <v>0</v>
      </c>
    </row>
    <row r="254" spans="1:4">
      <c r="A254" s="1" t="s">
        <v>1924</v>
      </c>
      <c r="B254" s="52" t="s">
        <v>1491</v>
      </c>
      <c r="C254" s="116" t="str">
        <f>INDEX(yesNo,child_2!L98)</f>
        <v>Select</v>
      </c>
    </row>
    <row r="255" spans="1:4">
      <c r="A255" s="1" t="s">
        <v>1924</v>
      </c>
      <c r="B255" s="52" t="s">
        <v>1492</v>
      </c>
      <c r="C255" s="116">
        <f>child_2!L100</f>
        <v>0</v>
      </c>
    </row>
    <row r="256" spans="1:4">
      <c r="A256" s="1" t="s">
        <v>1925</v>
      </c>
      <c r="B256" s="52" t="s">
        <v>1493</v>
      </c>
      <c r="C256" s="100" t="str">
        <f>IF(child_3!J6 = 1, "Yes", "No")</f>
        <v>No</v>
      </c>
      <c r="D256" s="1" t="s">
        <v>1937</v>
      </c>
    </row>
    <row r="257" spans="1:3">
      <c r="A257" s="1" t="s">
        <v>1925</v>
      </c>
      <c r="B257" s="52" t="s">
        <v>1494</v>
      </c>
      <c r="C257" s="116" t="str">
        <f>INDEX(RelationshipApplicant,child_3!L6)</f>
        <v>Select</v>
      </c>
    </row>
    <row r="258" spans="1:3">
      <c r="A258" s="1" t="s">
        <v>1925</v>
      </c>
      <c r="B258" s="52" t="s">
        <v>1495</v>
      </c>
      <c r="C258" s="116" t="str">
        <f>INDEX(CountryOfIssue,child_3!L9)</f>
        <v>Select</v>
      </c>
    </row>
    <row r="259" spans="1:3">
      <c r="A259" s="1" t="s">
        <v>1925</v>
      </c>
      <c r="B259" s="52" t="s">
        <v>1496</v>
      </c>
      <c r="C259" s="116" t="str">
        <f>INDEX(LegalStatus,child_3!L10)</f>
        <v>Select</v>
      </c>
    </row>
    <row r="260" spans="1:3">
      <c r="A260" s="1" t="s">
        <v>1925</v>
      </c>
      <c r="B260" s="52" t="s">
        <v>1497</v>
      </c>
      <c r="C260" s="116">
        <f>child_3!L12</f>
        <v>0</v>
      </c>
    </row>
    <row r="261" spans="1:3">
      <c r="A261" s="172" t="s">
        <v>1925</v>
      </c>
      <c r="B261" s="173" t="s">
        <v>2080</v>
      </c>
      <c r="C261" s="172" t="str">
        <f>INDEX(yesNo,child_3!L15)</f>
        <v>Select</v>
      </c>
    </row>
    <row r="262" spans="1:3">
      <c r="A262" s="172" t="s">
        <v>1925</v>
      </c>
      <c r="B262" s="173" t="s">
        <v>2081</v>
      </c>
      <c r="C262" s="172" t="str">
        <f>INDEX(yesNo,child_3!L16)</f>
        <v>Select</v>
      </c>
    </row>
    <row r="263" spans="1:3">
      <c r="A263" s="1" t="s">
        <v>1925</v>
      </c>
      <c r="B263" s="52" t="s">
        <v>1498</v>
      </c>
      <c r="C263" s="116">
        <f>child_3!L17</f>
        <v>0</v>
      </c>
    </row>
    <row r="264" spans="1:3">
      <c r="A264" s="1" t="s">
        <v>1925</v>
      </c>
      <c r="B264" s="52" t="s">
        <v>1499</v>
      </c>
      <c r="C264" s="116">
        <f>child_3!L18</f>
        <v>0</v>
      </c>
    </row>
    <row r="265" spans="1:3">
      <c r="A265" s="1" t="s">
        <v>1925</v>
      </c>
      <c r="B265" s="52" t="s">
        <v>1500</v>
      </c>
      <c r="C265" s="116" t="str">
        <f>INDEX(sex,child_3!L19)</f>
        <v>Select</v>
      </c>
    </row>
    <row r="266" spans="1:3">
      <c r="A266" s="1" t="s">
        <v>1925</v>
      </c>
      <c r="B266" s="52" t="s">
        <v>1501</v>
      </c>
      <c r="C266" s="117">
        <f>child_3!L20</f>
        <v>0</v>
      </c>
    </row>
    <row r="267" spans="1:3">
      <c r="A267" s="1" t="s">
        <v>1925</v>
      </c>
      <c r="B267" s="52" t="s">
        <v>1502</v>
      </c>
      <c r="C267" s="116">
        <f>child_3!L21</f>
        <v>0</v>
      </c>
    </row>
    <row r="268" spans="1:3">
      <c r="A268" s="1" t="s">
        <v>1925</v>
      </c>
      <c r="B268" s="52" t="s">
        <v>1503</v>
      </c>
      <c r="C268" s="116" t="str">
        <f>INDEX(CountryOfPassport,child_3!L22)</f>
        <v>Select</v>
      </c>
    </row>
    <row r="269" spans="1:3">
      <c r="A269" s="1" t="s">
        <v>1925</v>
      </c>
      <c r="B269" s="52" t="s">
        <v>1504</v>
      </c>
      <c r="C269" s="116" t="str">
        <f>INDEX(CountryOfPassport,child_3!L23)</f>
        <v>Select</v>
      </c>
    </row>
    <row r="270" spans="1:3">
      <c r="A270" s="1" t="s">
        <v>1925</v>
      </c>
      <c r="B270" s="52" t="s">
        <v>1505</v>
      </c>
      <c r="C270" s="117">
        <f>child_3!L24</f>
        <v>0</v>
      </c>
    </row>
    <row r="271" spans="1:3">
      <c r="A271" s="1" t="s">
        <v>1925</v>
      </c>
      <c r="B271" s="52" t="s">
        <v>1506</v>
      </c>
      <c r="C271" s="117">
        <f>child_3!L25</f>
        <v>0</v>
      </c>
    </row>
    <row r="272" spans="1:3">
      <c r="A272" s="172" t="s">
        <v>1925</v>
      </c>
      <c r="B272" s="173" t="s">
        <v>2082</v>
      </c>
      <c r="C272" s="172" t="str">
        <f>INDEX(ChinaPlaceOfIssue,child_3!L26)</f>
        <v>Select</v>
      </c>
    </row>
    <row r="273" spans="1:3">
      <c r="A273" s="1" t="s">
        <v>1925</v>
      </c>
      <c r="B273" s="52" t="s">
        <v>1507</v>
      </c>
      <c r="C273" s="116">
        <f>child_3!L27</f>
        <v>0</v>
      </c>
    </row>
    <row r="274" spans="1:3">
      <c r="A274" s="1" t="s">
        <v>1925</v>
      </c>
      <c r="B274" s="52" t="s">
        <v>1508</v>
      </c>
      <c r="C274" s="116" t="str">
        <f>INDEX(yesNo,child_3!L30)</f>
        <v>Select</v>
      </c>
    </row>
    <row r="275" spans="1:3">
      <c r="A275" s="1" t="s">
        <v>1925</v>
      </c>
      <c r="B275" s="52" t="s">
        <v>1509</v>
      </c>
      <c r="C275" s="116">
        <f>child_3!L31</f>
        <v>0</v>
      </c>
    </row>
    <row r="276" spans="1:3">
      <c r="A276" s="1" t="s">
        <v>1925</v>
      </c>
      <c r="B276" s="52" t="s">
        <v>1510</v>
      </c>
      <c r="C276" s="116" t="str">
        <f>INDEX(yesNo,child_3!L34)</f>
        <v>Select</v>
      </c>
    </row>
    <row r="277" spans="1:3">
      <c r="A277" s="1" t="s">
        <v>1925</v>
      </c>
      <c r="B277" s="52" t="s">
        <v>1511</v>
      </c>
      <c r="C277" s="116">
        <f>child_3!L35</f>
        <v>0</v>
      </c>
    </row>
    <row r="278" spans="1:3">
      <c r="A278" s="1" t="s">
        <v>1925</v>
      </c>
      <c r="B278" s="52" t="s">
        <v>1512</v>
      </c>
      <c r="C278" s="116">
        <f>child_3!L36</f>
        <v>0</v>
      </c>
    </row>
    <row r="279" spans="1:3">
      <c r="A279" s="1" t="s">
        <v>1925</v>
      </c>
      <c r="B279" s="52" t="s">
        <v>1513</v>
      </c>
      <c r="C279" s="116">
        <f>child_3!L37</f>
        <v>0</v>
      </c>
    </row>
    <row r="280" spans="1:3">
      <c r="A280" s="1" t="s">
        <v>1925</v>
      </c>
      <c r="B280" s="52" t="s">
        <v>1514</v>
      </c>
      <c r="C280" s="116" t="str">
        <f>INDEX(CountryOfIssue,child_3!L38)</f>
        <v>Select</v>
      </c>
    </row>
    <row r="281" spans="1:3">
      <c r="A281" s="1" t="s">
        <v>1925</v>
      </c>
      <c r="B281" s="52" t="s">
        <v>1515</v>
      </c>
      <c r="C281" s="117">
        <f>child_3!L39</f>
        <v>0</v>
      </c>
    </row>
    <row r="282" spans="1:3">
      <c r="A282" s="1" t="s">
        <v>1925</v>
      </c>
      <c r="B282" s="52" t="s">
        <v>1516</v>
      </c>
      <c r="C282" s="117">
        <f>child_3!L40</f>
        <v>0</v>
      </c>
    </row>
    <row r="283" spans="1:3">
      <c r="A283" s="172" t="s">
        <v>1925</v>
      </c>
      <c r="B283" s="173" t="s">
        <v>2083</v>
      </c>
      <c r="C283" s="175">
        <f>child_3!D42</f>
        <v>0</v>
      </c>
    </row>
    <row r="284" spans="1:3">
      <c r="A284" s="1" t="s">
        <v>1925</v>
      </c>
      <c r="B284" s="52" t="s">
        <v>1517</v>
      </c>
      <c r="C284" s="116">
        <f>child_3!L45</f>
        <v>0</v>
      </c>
    </row>
    <row r="285" spans="1:3">
      <c r="A285" s="1" t="s">
        <v>1925</v>
      </c>
      <c r="B285" s="52" t="s">
        <v>1518</v>
      </c>
      <c r="C285" s="116">
        <f>child_3!L46</f>
        <v>0</v>
      </c>
    </row>
    <row r="286" spans="1:3">
      <c r="A286" s="1" t="s">
        <v>1925</v>
      </c>
      <c r="B286" s="52" t="s">
        <v>1519</v>
      </c>
      <c r="C286" s="116" t="str">
        <f>INDEX(CountryOfIssue,child_3!L47)</f>
        <v>Select</v>
      </c>
    </row>
    <row r="287" spans="1:3">
      <c r="A287" s="1" t="s">
        <v>1925</v>
      </c>
      <c r="B287" s="52" t="s">
        <v>1520</v>
      </c>
      <c r="C287" s="116" t="str">
        <f>INDEX(RelationshipStatus,child_3!L50)</f>
        <v>Select</v>
      </c>
    </row>
    <row r="288" spans="1:3">
      <c r="A288" s="1" t="s">
        <v>1925</v>
      </c>
      <c r="B288" s="52" t="s">
        <v>1521</v>
      </c>
      <c r="C288" s="116" t="str">
        <f>INDEX(yesNo,child_3!L53)</f>
        <v>Select</v>
      </c>
    </row>
    <row r="289" spans="1:3">
      <c r="A289" s="1" t="s">
        <v>1925</v>
      </c>
      <c r="B289" s="52" t="s">
        <v>1522</v>
      </c>
      <c r="C289" s="116">
        <f>child_3!L54</f>
        <v>0</v>
      </c>
    </row>
    <row r="290" spans="1:3">
      <c r="A290" s="1" t="s">
        <v>1925</v>
      </c>
      <c r="B290" s="52" t="s">
        <v>1523</v>
      </c>
      <c r="C290" s="116">
        <f>child_3!L55</f>
        <v>0</v>
      </c>
    </row>
    <row r="291" spans="1:3">
      <c r="A291" s="1" t="s">
        <v>1925</v>
      </c>
      <c r="B291" s="52" t="s">
        <v>1524</v>
      </c>
      <c r="C291" s="116" t="str">
        <f>INDEX(ReasonNameChange,child_3!L56)</f>
        <v>Select</v>
      </c>
    </row>
    <row r="292" spans="1:3">
      <c r="A292" s="1" t="s">
        <v>1925</v>
      </c>
      <c r="B292" s="52" t="s">
        <v>1525</v>
      </c>
      <c r="C292" s="116">
        <f>child_3!L58</f>
        <v>0</v>
      </c>
    </row>
    <row r="293" spans="1:3">
      <c r="A293" s="1" t="s">
        <v>1925</v>
      </c>
      <c r="B293" s="52" t="s">
        <v>1526</v>
      </c>
      <c r="C293" s="116" t="str">
        <f>INDEX(yesNo,child_3!L61)</f>
        <v>Select</v>
      </c>
    </row>
    <row r="294" spans="1:3">
      <c r="A294" s="1" t="s">
        <v>1925</v>
      </c>
      <c r="B294" s="52" t="s">
        <v>1527</v>
      </c>
      <c r="C294" s="116" t="str">
        <f>INDEX(yesNo,child_3!L62)</f>
        <v>Select</v>
      </c>
    </row>
    <row r="295" spans="1:3">
      <c r="A295" s="1" t="s">
        <v>1925</v>
      </c>
      <c r="B295" s="52" t="s">
        <v>1528</v>
      </c>
      <c r="C295" s="116" t="str">
        <f>INDEX(CountryOfIssue,child_3!L63)</f>
        <v>Select</v>
      </c>
    </row>
    <row r="296" spans="1:3">
      <c r="A296" s="1" t="s">
        <v>1925</v>
      </c>
      <c r="B296" s="52" t="s">
        <v>1529</v>
      </c>
      <c r="C296" s="116" t="str">
        <f>INDEX(CountryOfIssue,child_3!L64)</f>
        <v>Select</v>
      </c>
    </row>
    <row r="297" spans="1:3">
      <c r="A297" s="1" t="s">
        <v>1925</v>
      </c>
      <c r="B297" s="52" t="s">
        <v>1530</v>
      </c>
      <c r="C297" s="116" t="str">
        <f>INDEX(yesNo,child_3!L66)</f>
        <v>Select</v>
      </c>
    </row>
    <row r="298" spans="1:3">
      <c r="A298" s="1" t="s">
        <v>1925</v>
      </c>
      <c r="B298" s="52" t="s">
        <v>1531</v>
      </c>
      <c r="C298" s="116" t="str">
        <f>INDEX(TypeOfDocument,child_3!L67)</f>
        <v>Select</v>
      </c>
    </row>
    <row r="299" spans="1:3">
      <c r="A299" s="1" t="s">
        <v>1925</v>
      </c>
      <c r="B299" s="52" t="s">
        <v>1532</v>
      </c>
      <c r="C299" s="116">
        <f>child_3!L68</f>
        <v>0</v>
      </c>
    </row>
    <row r="300" spans="1:3">
      <c r="A300" s="1" t="s">
        <v>1925</v>
      </c>
      <c r="B300" s="52" t="s">
        <v>1533</v>
      </c>
      <c r="C300" s="116">
        <f>child_3!L69</f>
        <v>0</v>
      </c>
    </row>
    <row r="301" spans="1:3">
      <c r="A301" s="1" t="s">
        <v>1925</v>
      </c>
      <c r="B301" s="52" t="s">
        <v>1534</v>
      </c>
      <c r="C301" s="116" t="str">
        <f>INDEX(sex,child_3!L70)</f>
        <v>Select</v>
      </c>
    </row>
    <row r="302" spans="1:3">
      <c r="A302" s="1" t="s">
        <v>1925</v>
      </c>
      <c r="B302" s="52" t="s">
        <v>1535</v>
      </c>
      <c r="C302" s="117">
        <f>child_3!L71</f>
        <v>0</v>
      </c>
    </row>
    <row r="303" spans="1:3">
      <c r="A303" s="1" t="s">
        <v>1925</v>
      </c>
      <c r="B303" s="52" t="s">
        <v>1536</v>
      </c>
      <c r="C303" s="116">
        <f>child_3!L72</f>
        <v>0</v>
      </c>
    </row>
    <row r="304" spans="1:3">
      <c r="A304" s="1" t="s">
        <v>1925</v>
      </c>
      <c r="B304" s="52" t="s">
        <v>1537</v>
      </c>
      <c r="C304" s="116" t="str">
        <f>INDEX(CountryOfPassport,child_3!L73)</f>
        <v>Select</v>
      </c>
    </row>
    <row r="305" spans="1:3">
      <c r="A305" s="1" t="s">
        <v>1925</v>
      </c>
      <c r="B305" s="52" t="s">
        <v>1538</v>
      </c>
      <c r="C305" s="116" t="str">
        <f>INDEX(CountryOfPassport,child_3!L74)</f>
        <v>Select</v>
      </c>
    </row>
    <row r="306" spans="1:3">
      <c r="A306" s="1" t="s">
        <v>1925</v>
      </c>
      <c r="B306" s="52" t="s">
        <v>1539</v>
      </c>
      <c r="C306" s="117">
        <f>child_3!L75</f>
        <v>0</v>
      </c>
    </row>
    <row r="307" spans="1:3">
      <c r="A307" s="1" t="s">
        <v>1925</v>
      </c>
      <c r="B307" s="52" t="s">
        <v>1540</v>
      </c>
      <c r="C307" s="117">
        <f>child_3!L76</f>
        <v>0</v>
      </c>
    </row>
    <row r="308" spans="1:3">
      <c r="A308" s="1" t="s">
        <v>1925</v>
      </c>
      <c r="B308" s="52" t="s">
        <v>1541</v>
      </c>
      <c r="C308" s="116">
        <f>child_3!L77</f>
        <v>0</v>
      </c>
    </row>
    <row r="309" spans="1:3">
      <c r="A309" s="1" t="s">
        <v>1925</v>
      </c>
      <c r="B309" s="52" t="s">
        <v>1542</v>
      </c>
      <c r="C309" s="116" t="str">
        <f>INDEX(yesNo,child_3!L80)</f>
        <v>Select</v>
      </c>
    </row>
    <row r="310" spans="1:3">
      <c r="A310" s="1" t="s">
        <v>1925</v>
      </c>
      <c r="B310" s="52" t="s">
        <v>1543</v>
      </c>
      <c r="C310" s="116">
        <f>child_3!L81</f>
        <v>0</v>
      </c>
    </row>
    <row r="311" spans="1:3">
      <c r="A311" s="1" t="s">
        <v>1925</v>
      </c>
      <c r="B311" s="52" t="s">
        <v>1544</v>
      </c>
      <c r="C311" s="116">
        <f>child_3!L82</f>
        <v>0</v>
      </c>
    </row>
    <row r="312" spans="1:3">
      <c r="A312" s="1" t="s">
        <v>1925</v>
      </c>
      <c r="B312" s="52" t="s">
        <v>1545</v>
      </c>
      <c r="C312" s="116" t="str">
        <f>INDEX(OtherTypeOfDocument,child_3!L83)</f>
        <v>Select</v>
      </c>
    </row>
    <row r="313" spans="1:3">
      <c r="A313" s="1" t="s">
        <v>1925</v>
      </c>
      <c r="B313" s="52" t="s">
        <v>1546</v>
      </c>
      <c r="C313" s="116">
        <f>child_3!L84</f>
        <v>0</v>
      </c>
    </row>
    <row r="314" spans="1:3">
      <c r="A314" s="1" t="s">
        <v>1925</v>
      </c>
      <c r="B314" s="52" t="s">
        <v>1547</v>
      </c>
      <c r="C314" s="116" t="str">
        <f>INDEX(CountryOfIssue,child_3!L85)</f>
        <v>Select</v>
      </c>
    </row>
    <row r="315" spans="1:3">
      <c r="A315" s="1" t="s">
        <v>1925</v>
      </c>
      <c r="B315" s="52" t="s">
        <v>1548</v>
      </c>
      <c r="C315" s="116" t="str">
        <f>INDEX(yesNo,child_3!L88)</f>
        <v>Select</v>
      </c>
    </row>
    <row r="316" spans="1:3">
      <c r="A316" s="1" t="s">
        <v>1925</v>
      </c>
      <c r="B316" s="52" t="s">
        <v>1549</v>
      </c>
      <c r="C316" s="116" t="str">
        <f>INDEX(yesNo,child_3!L89)</f>
        <v>Select</v>
      </c>
    </row>
    <row r="317" spans="1:3">
      <c r="A317" s="1" t="s">
        <v>1925</v>
      </c>
      <c r="B317" s="52" t="s">
        <v>1550</v>
      </c>
      <c r="C317" s="116">
        <f>child_3!L91</f>
        <v>0</v>
      </c>
    </row>
    <row r="318" spans="1:3">
      <c r="A318" s="1" t="s">
        <v>1925</v>
      </c>
      <c r="B318" s="52" t="s">
        <v>1551</v>
      </c>
      <c r="C318" s="116" t="str">
        <f>INDEX(yesNo,child_3!L92)</f>
        <v>Select</v>
      </c>
    </row>
    <row r="319" spans="1:3">
      <c r="A319" s="1" t="s">
        <v>1925</v>
      </c>
      <c r="B319" s="52" t="s">
        <v>1552</v>
      </c>
      <c r="C319" s="116">
        <f>child_3!L94</f>
        <v>0</v>
      </c>
    </row>
    <row r="320" spans="1:3">
      <c r="A320" s="1" t="s">
        <v>1925</v>
      </c>
      <c r="B320" s="52" t="s">
        <v>1553</v>
      </c>
      <c r="C320" s="116" t="str">
        <f>INDEX(yesNo,child_3!L95)</f>
        <v>Select</v>
      </c>
    </row>
    <row r="321" spans="1:4">
      <c r="A321" s="1" t="s">
        <v>1925</v>
      </c>
      <c r="B321" s="52" t="s">
        <v>1554</v>
      </c>
      <c r="C321" s="116">
        <f>child_3!L97</f>
        <v>0</v>
      </c>
    </row>
    <row r="322" spans="1:4">
      <c r="A322" s="1" t="s">
        <v>1925</v>
      </c>
      <c r="B322" s="52" t="s">
        <v>1555</v>
      </c>
      <c r="C322" s="116" t="str">
        <f>INDEX(yesNo,child_3!L98)</f>
        <v>Select</v>
      </c>
    </row>
    <row r="323" spans="1:4">
      <c r="A323" s="1" t="s">
        <v>1925</v>
      </c>
      <c r="B323" s="52" t="s">
        <v>1556</v>
      </c>
      <c r="C323" s="116">
        <f>child_3!L100</f>
        <v>0</v>
      </c>
    </row>
    <row r="324" spans="1:4">
      <c r="A324" s="1" t="s">
        <v>1926</v>
      </c>
      <c r="B324" s="52" t="s">
        <v>1557</v>
      </c>
      <c r="C324" s="100" t="str">
        <f>IF(child_4!J6 = 1, "Yes", "No")</f>
        <v>No</v>
      </c>
      <c r="D324" s="1" t="s">
        <v>1937</v>
      </c>
    </row>
    <row r="325" spans="1:4">
      <c r="A325" s="1" t="s">
        <v>1926</v>
      </c>
      <c r="B325" s="52" t="s">
        <v>1558</v>
      </c>
      <c r="C325" s="116" t="str">
        <f>INDEX(RelationshipApplicant,child_4!L6)</f>
        <v>Select</v>
      </c>
    </row>
    <row r="326" spans="1:4">
      <c r="A326" s="1" t="s">
        <v>1926</v>
      </c>
      <c r="B326" s="52" t="s">
        <v>1559</v>
      </c>
      <c r="C326" s="116" t="str">
        <f>INDEX(CountryOfIssue,child_4!L9)</f>
        <v>Select</v>
      </c>
    </row>
    <row r="327" spans="1:4">
      <c r="A327" s="1" t="s">
        <v>1926</v>
      </c>
      <c r="B327" s="52" t="s">
        <v>1560</v>
      </c>
      <c r="C327" s="116" t="str">
        <f>INDEX(LegalStatus,child_4!L10)</f>
        <v>Select</v>
      </c>
    </row>
    <row r="328" spans="1:4">
      <c r="A328" s="1" t="s">
        <v>1926</v>
      </c>
      <c r="B328" s="52" t="s">
        <v>1561</v>
      </c>
      <c r="C328" s="116">
        <f>child_4!L12</f>
        <v>0</v>
      </c>
    </row>
    <row r="329" spans="1:4">
      <c r="A329" s="172" t="s">
        <v>1926</v>
      </c>
      <c r="B329" s="173" t="s">
        <v>2084</v>
      </c>
      <c r="C329" s="172" t="str">
        <f>INDEX(yesNo,child_4!L15)</f>
        <v>Select</v>
      </c>
    </row>
    <row r="330" spans="1:4">
      <c r="A330" s="172" t="s">
        <v>1926</v>
      </c>
      <c r="B330" s="173" t="s">
        <v>2085</v>
      </c>
      <c r="C330" s="172" t="str">
        <f>INDEX(yesNo,child_4!L16)</f>
        <v>Select</v>
      </c>
    </row>
    <row r="331" spans="1:4">
      <c r="A331" s="1" t="s">
        <v>1926</v>
      </c>
      <c r="B331" s="52" t="s">
        <v>1562</v>
      </c>
      <c r="C331" s="116">
        <f>child_4!L17</f>
        <v>0</v>
      </c>
    </row>
    <row r="332" spans="1:4">
      <c r="A332" s="1" t="s">
        <v>1926</v>
      </c>
      <c r="B332" s="52" t="s">
        <v>1563</v>
      </c>
      <c r="C332" s="116">
        <f>child_4!L18</f>
        <v>0</v>
      </c>
    </row>
    <row r="333" spans="1:4">
      <c r="A333" s="1" t="s">
        <v>1926</v>
      </c>
      <c r="B333" s="52" t="s">
        <v>1564</v>
      </c>
      <c r="C333" s="116" t="str">
        <f>INDEX(sex,child_4!L19)</f>
        <v>Select</v>
      </c>
    </row>
    <row r="334" spans="1:4">
      <c r="A334" s="1" t="s">
        <v>1926</v>
      </c>
      <c r="B334" s="52" t="s">
        <v>1565</v>
      </c>
      <c r="C334" s="117">
        <f>child_4!L20</f>
        <v>0</v>
      </c>
    </row>
    <row r="335" spans="1:4">
      <c r="A335" s="1" t="s">
        <v>1926</v>
      </c>
      <c r="B335" s="52" t="s">
        <v>1566</v>
      </c>
      <c r="C335" s="116">
        <f>child_4!L21</f>
        <v>0</v>
      </c>
    </row>
    <row r="336" spans="1:4">
      <c r="A336" s="1" t="s">
        <v>1926</v>
      </c>
      <c r="B336" s="52" t="s">
        <v>1567</v>
      </c>
      <c r="C336" s="116" t="str">
        <f>INDEX(CountryOfPassport,child_4!L22)</f>
        <v>Select</v>
      </c>
    </row>
    <row r="337" spans="1:3">
      <c r="A337" s="1" t="s">
        <v>1926</v>
      </c>
      <c r="B337" s="52" t="s">
        <v>1568</v>
      </c>
      <c r="C337" s="116" t="str">
        <f>INDEX(CountryOfPassport,child_4!L23)</f>
        <v>Select</v>
      </c>
    </row>
    <row r="338" spans="1:3">
      <c r="A338" s="1" t="s">
        <v>1926</v>
      </c>
      <c r="B338" s="52" t="s">
        <v>1569</v>
      </c>
      <c r="C338" s="117">
        <f>child_4!L24</f>
        <v>0</v>
      </c>
    </row>
    <row r="339" spans="1:3">
      <c r="A339" s="1" t="s">
        <v>1926</v>
      </c>
      <c r="B339" s="52" t="s">
        <v>1570</v>
      </c>
      <c r="C339" s="117">
        <f>child_4!L25</f>
        <v>0</v>
      </c>
    </row>
    <row r="340" spans="1:3">
      <c r="A340" s="172" t="s">
        <v>1926</v>
      </c>
      <c r="B340" s="173" t="s">
        <v>2086</v>
      </c>
      <c r="C340" s="172" t="str">
        <f>INDEX(ChinaPlaceOfIssue,child_4!L26)</f>
        <v>Select</v>
      </c>
    </row>
    <row r="341" spans="1:3">
      <c r="A341" s="1" t="s">
        <v>1926</v>
      </c>
      <c r="B341" s="52" t="s">
        <v>1571</v>
      </c>
      <c r="C341" s="116">
        <f>child_4!L27</f>
        <v>0</v>
      </c>
    </row>
    <row r="342" spans="1:3">
      <c r="A342" s="1" t="s">
        <v>1926</v>
      </c>
      <c r="B342" s="52" t="s">
        <v>1572</v>
      </c>
      <c r="C342" s="116" t="str">
        <f>INDEX(yesNo,child_4!L30)</f>
        <v>Select</v>
      </c>
    </row>
    <row r="343" spans="1:3">
      <c r="A343" s="1" t="s">
        <v>1926</v>
      </c>
      <c r="B343" s="52" t="s">
        <v>1573</v>
      </c>
      <c r="C343" s="116">
        <f>child_4!L31</f>
        <v>0</v>
      </c>
    </row>
    <row r="344" spans="1:3">
      <c r="A344" s="1" t="s">
        <v>1926</v>
      </c>
      <c r="B344" s="52" t="s">
        <v>1574</v>
      </c>
      <c r="C344" s="116" t="str">
        <f>INDEX(yesNo,child_4!L34)</f>
        <v>Select</v>
      </c>
    </row>
    <row r="345" spans="1:3">
      <c r="A345" s="1" t="s">
        <v>1926</v>
      </c>
      <c r="B345" s="52" t="s">
        <v>1575</v>
      </c>
      <c r="C345" s="116">
        <f>child_4!L35</f>
        <v>0</v>
      </c>
    </row>
    <row r="346" spans="1:3">
      <c r="A346" s="1" t="s">
        <v>1926</v>
      </c>
      <c r="B346" s="52" t="s">
        <v>1576</v>
      </c>
      <c r="C346" s="116">
        <f>child_4!L36</f>
        <v>0</v>
      </c>
    </row>
    <row r="347" spans="1:3">
      <c r="A347" s="1" t="s">
        <v>1926</v>
      </c>
      <c r="B347" s="52" t="s">
        <v>1577</v>
      </c>
      <c r="C347" s="116">
        <f>child_4!L37</f>
        <v>0</v>
      </c>
    </row>
    <row r="348" spans="1:3">
      <c r="A348" s="1" t="s">
        <v>1926</v>
      </c>
      <c r="B348" s="52" t="s">
        <v>1578</v>
      </c>
      <c r="C348" s="116" t="str">
        <f>INDEX(CountryOfIssue,child_4!L38)</f>
        <v>Select</v>
      </c>
    </row>
    <row r="349" spans="1:3">
      <c r="A349" s="1" t="s">
        <v>1926</v>
      </c>
      <c r="B349" s="52" t="s">
        <v>1579</v>
      </c>
      <c r="C349" s="117">
        <f>child_4!L39</f>
        <v>0</v>
      </c>
    </row>
    <row r="350" spans="1:3">
      <c r="A350" s="1" t="s">
        <v>1926</v>
      </c>
      <c r="B350" s="52" t="s">
        <v>1580</v>
      </c>
      <c r="C350" s="117">
        <f>child_4!L40</f>
        <v>0</v>
      </c>
    </row>
    <row r="351" spans="1:3">
      <c r="A351" s="172" t="s">
        <v>1926</v>
      </c>
      <c r="B351" s="173" t="s">
        <v>2087</v>
      </c>
      <c r="C351" s="175">
        <f>child_4!D42</f>
        <v>0</v>
      </c>
    </row>
    <row r="352" spans="1:3">
      <c r="A352" s="1" t="s">
        <v>1926</v>
      </c>
      <c r="B352" s="52" t="s">
        <v>1581</v>
      </c>
      <c r="C352" s="116">
        <f>child_4!L45</f>
        <v>0</v>
      </c>
    </row>
    <row r="353" spans="1:3">
      <c r="A353" s="1" t="s">
        <v>1926</v>
      </c>
      <c r="B353" s="52" t="s">
        <v>1582</v>
      </c>
      <c r="C353" s="116">
        <f>child_4!L46</f>
        <v>0</v>
      </c>
    </row>
    <row r="354" spans="1:3">
      <c r="A354" s="1" t="s">
        <v>1926</v>
      </c>
      <c r="B354" s="52" t="s">
        <v>1583</v>
      </c>
      <c r="C354" s="116" t="str">
        <f>INDEX(CountryOfIssue,child_4!L47)</f>
        <v>Select</v>
      </c>
    </row>
    <row r="355" spans="1:3">
      <c r="A355" s="1" t="s">
        <v>1926</v>
      </c>
      <c r="B355" s="52" t="s">
        <v>1584</v>
      </c>
      <c r="C355" s="116" t="str">
        <f>INDEX(RelationshipStatus,child_4!L50)</f>
        <v>Select</v>
      </c>
    </row>
    <row r="356" spans="1:3">
      <c r="A356" s="1" t="s">
        <v>1926</v>
      </c>
      <c r="B356" s="52" t="s">
        <v>1585</v>
      </c>
      <c r="C356" s="116" t="str">
        <f>INDEX(yesNo,child_4!L53)</f>
        <v>Select</v>
      </c>
    </row>
    <row r="357" spans="1:3">
      <c r="A357" s="1" t="s">
        <v>1926</v>
      </c>
      <c r="B357" s="52" t="s">
        <v>1586</v>
      </c>
      <c r="C357" s="116">
        <f>child_4!L54</f>
        <v>0</v>
      </c>
    </row>
    <row r="358" spans="1:3">
      <c r="A358" s="1" t="s">
        <v>1926</v>
      </c>
      <c r="B358" s="52" t="s">
        <v>1587</v>
      </c>
      <c r="C358" s="116">
        <f>child_4!L55</f>
        <v>0</v>
      </c>
    </row>
    <row r="359" spans="1:3">
      <c r="A359" s="1" t="s">
        <v>1926</v>
      </c>
      <c r="B359" s="52" t="s">
        <v>1588</v>
      </c>
      <c r="C359" s="116" t="str">
        <f>INDEX(ReasonNameChange,child_4!L56)</f>
        <v>Select</v>
      </c>
    </row>
    <row r="360" spans="1:3">
      <c r="A360" s="1" t="s">
        <v>1926</v>
      </c>
      <c r="B360" s="52" t="s">
        <v>1589</v>
      </c>
      <c r="C360" s="116">
        <f>child_4!L58</f>
        <v>0</v>
      </c>
    </row>
    <row r="361" spans="1:3">
      <c r="A361" s="1" t="s">
        <v>1926</v>
      </c>
      <c r="B361" s="52" t="s">
        <v>1590</v>
      </c>
      <c r="C361" s="116" t="str">
        <f>INDEX(yesNo,child_4!L61)</f>
        <v>Select</v>
      </c>
    </row>
    <row r="362" spans="1:3">
      <c r="A362" s="1" t="s">
        <v>1926</v>
      </c>
      <c r="B362" s="52" t="s">
        <v>1591</v>
      </c>
      <c r="C362" s="116" t="str">
        <f>INDEX(yesNo,child_4!L62)</f>
        <v>Select</v>
      </c>
    </row>
    <row r="363" spans="1:3">
      <c r="A363" s="1" t="s">
        <v>1926</v>
      </c>
      <c r="B363" s="52" t="s">
        <v>1592</v>
      </c>
      <c r="C363" s="116" t="str">
        <f>INDEX(CountryOfIssue,child_4!L63)</f>
        <v>Select</v>
      </c>
    </row>
    <row r="364" spans="1:3">
      <c r="A364" s="1" t="s">
        <v>1926</v>
      </c>
      <c r="B364" s="52" t="s">
        <v>1593</v>
      </c>
      <c r="C364" s="116" t="str">
        <f>INDEX(CountryOfIssue,child_4!L64)</f>
        <v>Select</v>
      </c>
    </row>
    <row r="365" spans="1:3">
      <c r="A365" s="1" t="s">
        <v>1926</v>
      </c>
      <c r="B365" s="52" t="s">
        <v>1594</v>
      </c>
      <c r="C365" s="116" t="str">
        <f>INDEX(yesNo,child_4!L66)</f>
        <v>Select</v>
      </c>
    </row>
    <row r="366" spans="1:3">
      <c r="A366" s="1" t="s">
        <v>1926</v>
      </c>
      <c r="B366" s="52" t="s">
        <v>1595</v>
      </c>
      <c r="C366" s="116" t="str">
        <f>INDEX(TypeOfDocument,child_4!L67)</f>
        <v>Select</v>
      </c>
    </row>
    <row r="367" spans="1:3">
      <c r="A367" s="1" t="s">
        <v>1926</v>
      </c>
      <c r="B367" s="52" t="s">
        <v>1596</v>
      </c>
      <c r="C367" s="116">
        <f>child_4!L68</f>
        <v>0</v>
      </c>
    </row>
    <row r="368" spans="1:3">
      <c r="A368" s="1" t="s">
        <v>1926</v>
      </c>
      <c r="B368" s="52" t="s">
        <v>1597</v>
      </c>
      <c r="C368" s="116">
        <f>child_4!L69</f>
        <v>0</v>
      </c>
    </row>
    <row r="369" spans="1:3">
      <c r="A369" s="1" t="s">
        <v>1926</v>
      </c>
      <c r="B369" s="52" t="s">
        <v>1598</v>
      </c>
      <c r="C369" s="116" t="str">
        <f>INDEX(sex,child_4!L70)</f>
        <v>Select</v>
      </c>
    </row>
    <row r="370" spans="1:3">
      <c r="A370" s="1" t="s">
        <v>1926</v>
      </c>
      <c r="B370" s="52" t="s">
        <v>1599</v>
      </c>
      <c r="C370" s="117">
        <f>child_4!L71</f>
        <v>0</v>
      </c>
    </row>
    <row r="371" spans="1:3">
      <c r="A371" s="1" t="s">
        <v>1926</v>
      </c>
      <c r="B371" s="52" t="s">
        <v>1600</v>
      </c>
      <c r="C371" s="116">
        <f>child_4!L72</f>
        <v>0</v>
      </c>
    </row>
    <row r="372" spans="1:3">
      <c r="A372" s="1" t="s">
        <v>1926</v>
      </c>
      <c r="B372" s="52" t="s">
        <v>1601</v>
      </c>
      <c r="C372" s="116" t="str">
        <f>INDEX(CountryOfPassport,child_4!L73)</f>
        <v>Select</v>
      </c>
    </row>
    <row r="373" spans="1:3">
      <c r="A373" s="1" t="s">
        <v>1926</v>
      </c>
      <c r="B373" s="52" t="s">
        <v>1602</v>
      </c>
      <c r="C373" s="116" t="str">
        <f>INDEX(CountryOfPassport,child_4!L74)</f>
        <v>Select</v>
      </c>
    </row>
    <row r="374" spans="1:3">
      <c r="A374" s="1" t="s">
        <v>1926</v>
      </c>
      <c r="B374" s="52" t="s">
        <v>1603</v>
      </c>
      <c r="C374" s="117">
        <f>child_4!L75</f>
        <v>0</v>
      </c>
    </row>
    <row r="375" spans="1:3">
      <c r="A375" s="1" t="s">
        <v>1926</v>
      </c>
      <c r="B375" s="52" t="s">
        <v>1604</v>
      </c>
      <c r="C375" s="117">
        <f>child_4!L76</f>
        <v>0</v>
      </c>
    </row>
    <row r="376" spans="1:3">
      <c r="A376" s="1" t="s">
        <v>1926</v>
      </c>
      <c r="B376" s="52" t="s">
        <v>1605</v>
      </c>
      <c r="C376" s="116">
        <f>child_4!L77</f>
        <v>0</v>
      </c>
    </row>
    <row r="377" spans="1:3">
      <c r="A377" s="1" t="s">
        <v>1926</v>
      </c>
      <c r="B377" s="52" t="s">
        <v>1606</v>
      </c>
      <c r="C377" s="116" t="str">
        <f>INDEX(yesNo,child_4!L80)</f>
        <v>Select</v>
      </c>
    </row>
    <row r="378" spans="1:3">
      <c r="A378" s="1" t="s">
        <v>1926</v>
      </c>
      <c r="B378" s="52" t="s">
        <v>1607</v>
      </c>
      <c r="C378" s="116">
        <f>child_4!L81</f>
        <v>0</v>
      </c>
    </row>
    <row r="379" spans="1:3">
      <c r="A379" s="1" t="s">
        <v>1926</v>
      </c>
      <c r="B379" s="52" t="s">
        <v>1608</v>
      </c>
      <c r="C379" s="116">
        <f>child_4!L82</f>
        <v>0</v>
      </c>
    </row>
    <row r="380" spans="1:3">
      <c r="A380" s="1" t="s">
        <v>1926</v>
      </c>
      <c r="B380" s="52" t="s">
        <v>1609</v>
      </c>
      <c r="C380" s="116" t="str">
        <f>INDEX(OtherTypeOfDocument,child_4!L83)</f>
        <v>Select</v>
      </c>
    </row>
    <row r="381" spans="1:3">
      <c r="A381" s="1" t="s">
        <v>1926</v>
      </c>
      <c r="B381" s="52" t="s">
        <v>1610</v>
      </c>
      <c r="C381" s="116">
        <f>child_4!L84</f>
        <v>0</v>
      </c>
    </row>
    <row r="382" spans="1:3">
      <c r="A382" s="1" t="s">
        <v>1926</v>
      </c>
      <c r="B382" s="52" t="s">
        <v>1611</v>
      </c>
      <c r="C382" s="116" t="str">
        <f>INDEX(CountryOfIssue,child_4!L85)</f>
        <v>Select</v>
      </c>
    </row>
    <row r="383" spans="1:3">
      <c r="A383" s="1" t="s">
        <v>1926</v>
      </c>
      <c r="B383" s="52" t="s">
        <v>1612</v>
      </c>
      <c r="C383" s="116" t="str">
        <f>INDEX(yesNo,child_4!L88)</f>
        <v>Select</v>
      </c>
    </row>
    <row r="384" spans="1:3">
      <c r="A384" s="1" t="s">
        <v>1926</v>
      </c>
      <c r="B384" s="52" t="s">
        <v>1613</v>
      </c>
      <c r="C384" s="116" t="str">
        <f>INDEX(yesNo,child_4!L89)</f>
        <v>Select</v>
      </c>
    </row>
    <row r="385" spans="1:3">
      <c r="A385" s="1" t="s">
        <v>1926</v>
      </c>
      <c r="B385" s="52" t="s">
        <v>1614</v>
      </c>
      <c r="C385" s="116">
        <f>child_4!L91</f>
        <v>0</v>
      </c>
    </row>
    <row r="386" spans="1:3">
      <c r="A386" s="1" t="s">
        <v>1926</v>
      </c>
      <c r="B386" s="52" t="s">
        <v>1615</v>
      </c>
      <c r="C386" s="116" t="str">
        <f>INDEX(yesNo,child_4!L92)</f>
        <v>Select</v>
      </c>
    </row>
    <row r="387" spans="1:3">
      <c r="A387" s="1" t="s">
        <v>1926</v>
      </c>
      <c r="B387" s="52" t="s">
        <v>1616</v>
      </c>
      <c r="C387" s="116">
        <f>child_4!L94</f>
        <v>0</v>
      </c>
    </row>
    <row r="388" spans="1:3">
      <c r="A388" s="1" t="s">
        <v>1926</v>
      </c>
      <c r="B388" s="52" t="s">
        <v>1617</v>
      </c>
      <c r="C388" s="116" t="str">
        <f>INDEX(yesNo,child_4!L95)</f>
        <v>Select</v>
      </c>
    </row>
    <row r="389" spans="1:3">
      <c r="A389" s="1" t="s">
        <v>1926</v>
      </c>
      <c r="B389" s="52" t="s">
        <v>1618</v>
      </c>
      <c r="C389" s="116">
        <f>child_4!L97</f>
        <v>0</v>
      </c>
    </row>
    <row r="390" spans="1:3">
      <c r="A390" s="1" t="s">
        <v>1926</v>
      </c>
      <c r="B390" s="52" t="s">
        <v>1619</v>
      </c>
      <c r="C390" s="116" t="str">
        <f>INDEX(yesNo,child_4!L98)</f>
        <v>Select</v>
      </c>
    </row>
    <row r="391" spans="1:3">
      <c r="A391" s="1" t="s">
        <v>1926</v>
      </c>
      <c r="B391" s="52" t="s">
        <v>1620</v>
      </c>
      <c r="C391" s="116">
        <f>child_4!L100</f>
        <v>0</v>
      </c>
    </row>
    <row r="392" spans="1:3">
      <c r="A392" s="1" t="s">
        <v>1927</v>
      </c>
      <c r="B392" s="52" t="s">
        <v>1621</v>
      </c>
      <c r="C392" s="1" t="str">
        <f>INDEX(CountryOfIssue,contactDetailsApplicant!L7)</f>
        <v>Select</v>
      </c>
    </row>
    <row r="393" spans="1:3">
      <c r="A393" s="1" t="s">
        <v>1927</v>
      </c>
      <c r="B393" s="52" t="s">
        <v>1622</v>
      </c>
      <c r="C393" s="1" t="str">
        <f>INDEX(CountryOfIssue,contactDetailsApplicant!L10)</f>
        <v>Select</v>
      </c>
    </row>
    <row r="394" spans="1:3">
      <c r="A394" s="1" t="s">
        <v>1927</v>
      </c>
      <c r="B394" s="52" t="s">
        <v>1623</v>
      </c>
      <c r="C394" s="1">
        <f>contactDetailsApplicant!L11</f>
        <v>0</v>
      </c>
    </row>
    <row r="395" spans="1:3">
      <c r="A395" s="1" t="s">
        <v>1927</v>
      </c>
      <c r="B395" s="52" t="s">
        <v>1624</v>
      </c>
      <c r="C395" s="1">
        <f>contactDetailsApplicant!L12</f>
        <v>0</v>
      </c>
    </row>
    <row r="396" spans="1:3">
      <c r="A396" s="1" t="s">
        <v>1927</v>
      </c>
      <c r="B396" s="52" t="s">
        <v>1625</v>
      </c>
      <c r="C396" s="1">
        <f>contactDetailsApplicant!L13</f>
        <v>0</v>
      </c>
    </row>
    <row r="397" spans="1:3">
      <c r="A397" s="1" t="s">
        <v>1927</v>
      </c>
      <c r="B397" s="52" t="s">
        <v>1626</v>
      </c>
      <c r="C397" s="1">
        <f>contactDetailsApplicant!L14</f>
        <v>0</v>
      </c>
    </row>
    <row r="398" spans="1:3">
      <c r="A398" s="1" t="s">
        <v>1927</v>
      </c>
      <c r="B398" s="52" t="s">
        <v>1627</v>
      </c>
      <c r="C398" s="1">
        <f>contactDetailsApplicant!L15</f>
        <v>0</v>
      </c>
    </row>
    <row r="399" spans="1:3">
      <c r="A399" s="1" t="s">
        <v>1927</v>
      </c>
      <c r="B399" s="52" t="s">
        <v>1628</v>
      </c>
      <c r="C399" s="1" t="str">
        <f>INDEX(yesNo,contactDetailsApplicant!L18)</f>
        <v>Select</v>
      </c>
    </row>
    <row r="400" spans="1:3">
      <c r="A400" s="1" t="s">
        <v>1927</v>
      </c>
      <c r="B400" s="52" t="s">
        <v>1629</v>
      </c>
      <c r="C400" s="1" t="str">
        <f>INDEX(CountryOfIssue,contactDetailsApplicant!L19)</f>
        <v>Select</v>
      </c>
    </row>
    <row r="401" spans="1:3">
      <c r="A401" s="1" t="s">
        <v>1927</v>
      </c>
      <c r="B401" s="52" t="s">
        <v>1630</v>
      </c>
      <c r="C401" s="1">
        <f>contactDetailsApplicant!L20</f>
        <v>0</v>
      </c>
    </row>
    <row r="402" spans="1:3">
      <c r="A402" s="1" t="s">
        <v>1927</v>
      </c>
      <c r="B402" s="52" t="s">
        <v>1631</v>
      </c>
      <c r="C402" s="1">
        <f>contactDetailsApplicant!L21</f>
        <v>0</v>
      </c>
    </row>
    <row r="403" spans="1:3">
      <c r="A403" s="1" t="s">
        <v>1927</v>
      </c>
      <c r="B403" s="52" t="s">
        <v>1632</v>
      </c>
      <c r="C403" s="1">
        <f>contactDetailsApplicant!L22</f>
        <v>0</v>
      </c>
    </row>
    <row r="404" spans="1:3">
      <c r="A404" s="1" t="s">
        <v>1927</v>
      </c>
      <c r="B404" s="52" t="s">
        <v>1633</v>
      </c>
      <c r="C404" s="1">
        <f>contactDetailsApplicant!L23</f>
        <v>0</v>
      </c>
    </row>
    <row r="405" spans="1:3">
      <c r="A405" s="1" t="s">
        <v>1927</v>
      </c>
      <c r="B405" s="52" t="s">
        <v>1634</v>
      </c>
      <c r="C405" s="1">
        <f>contactDetailsApplicant!L24</f>
        <v>0</v>
      </c>
    </row>
    <row r="406" spans="1:3">
      <c r="A406" s="1" t="s">
        <v>1927</v>
      </c>
      <c r="B406" s="52" t="s">
        <v>1635</v>
      </c>
      <c r="C406" s="1">
        <f>contactDetailsApplicant!L27</f>
        <v>0</v>
      </c>
    </row>
    <row r="407" spans="1:3">
      <c r="A407" s="1" t="s">
        <v>1927</v>
      </c>
      <c r="B407" s="52" t="s">
        <v>1636</v>
      </c>
      <c r="C407" s="1">
        <f>contactDetailsApplicant!L28</f>
        <v>0</v>
      </c>
    </row>
    <row r="408" spans="1:3">
      <c r="A408" s="1" t="s">
        <v>1927</v>
      </c>
      <c r="B408" s="52" t="s">
        <v>1637</v>
      </c>
      <c r="C408" s="1">
        <f>contactDetailsApplicant!L29</f>
        <v>84158811</v>
      </c>
    </row>
    <row r="409" spans="1:3">
      <c r="A409" s="1" t="s">
        <v>1927</v>
      </c>
      <c r="B409" s="52" t="s">
        <v>1638</v>
      </c>
      <c r="C409" s="1" t="str">
        <f>contactDetailsApplicant!L32</f>
        <v>australia.visa@tcs.com</v>
      </c>
    </row>
    <row r="410" spans="1:3">
      <c r="A410" s="1" t="s">
        <v>1928</v>
      </c>
      <c r="B410" s="52" t="s">
        <v>1639</v>
      </c>
      <c r="C410" s="1" t="str">
        <f>INDEX(Applicants,countryOfResidenceAllApplicants!L9)</f>
        <v>Select</v>
      </c>
    </row>
    <row r="411" spans="1:3">
      <c r="A411" s="1" t="s">
        <v>1928</v>
      </c>
      <c r="B411" s="52" t="s">
        <v>1640</v>
      </c>
      <c r="C411" s="95">
        <f>countryOfResidenceAllApplicants!L10</f>
        <v>0</v>
      </c>
    </row>
    <row r="412" spans="1:3">
      <c r="A412" s="1" t="s">
        <v>1928</v>
      </c>
      <c r="B412" s="52" t="s">
        <v>1641</v>
      </c>
      <c r="C412" s="95">
        <f>countryOfResidenceAllApplicants!L11</f>
        <v>0</v>
      </c>
    </row>
    <row r="413" spans="1:3">
      <c r="A413" s="1" t="s">
        <v>1928</v>
      </c>
      <c r="B413" s="52" t="s">
        <v>1642</v>
      </c>
      <c r="C413" s="1" t="str">
        <f>INDEX(CountryOfIssue,countryOfResidenceAllApplicants!L14)</f>
        <v>Select</v>
      </c>
    </row>
    <row r="414" spans="1:3">
      <c r="A414" s="1" t="s">
        <v>1928</v>
      </c>
      <c r="B414" s="52" t="s">
        <v>1643</v>
      </c>
      <c r="C414" s="1">
        <f>countryOfResidenceAllApplicants!L15</f>
        <v>0</v>
      </c>
    </row>
    <row r="415" spans="1:3">
      <c r="A415" s="1" t="s">
        <v>1928</v>
      </c>
      <c r="B415" s="52" t="s">
        <v>1644</v>
      </c>
      <c r="C415" s="1">
        <f>countryOfResidenceAllApplicants!L16</f>
        <v>0</v>
      </c>
    </row>
    <row r="416" spans="1:3">
      <c r="A416" s="1" t="s">
        <v>1928</v>
      </c>
      <c r="B416" s="52" t="s">
        <v>1645</v>
      </c>
      <c r="C416" s="1">
        <f>countryOfResidenceAllApplicants!L17</f>
        <v>0</v>
      </c>
    </row>
    <row r="417" spans="1:3">
      <c r="A417" s="1" t="s">
        <v>1928</v>
      </c>
      <c r="B417" s="52" t="s">
        <v>1646</v>
      </c>
      <c r="C417" s="1">
        <f>countryOfResidenceAllApplicants!L18</f>
        <v>0</v>
      </c>
    </row>
    <row r="418" spans="1:3">
      <c r="A418" s="1" t="s">
        <v>1928</v>
      </c>
      <c r="B418" s="52" t="s">
        <v>1647</v>
      </c>
      <c r="C418" s="1">
        <f>countryOfResidenceAllApplicants!L19</f>
        <v>0</v>
      </c>
    </row>
    <row r="419" spans="1:3">
      <c r="A419" s="1" t="s">
        <v>1928</v>
      </c>
      <c r="B419" s="52" t="s">
        <v>1648</v>
      </c>
      <c r="C419" s="1" t="str">
        <f>INDEX(constants!N3:N9,countryOfResidenceAllApplicants!L22)</f>
        <v>Select</v>
      </c>
    </row>
    <row r="420" spans="1:3">
      <c r="A420" s="1" t="s">
        <v>1928</v>
      </c>
      <c r="B420" s="52" t="s">
        <v>1649</v>
      </c>
      <c r="C420" s="95">
        <f>countryOfResidenceAllApplicants!L23</f>
        <v>0</v>
      </c>
    </row>
    <row r="421" spans="1:3">
      <c r="A421" s="1" t="s">
        <v>1928</v>
      </c>
      <c r="B421" s="52" t="s">
        <v>1650</v>
      </c>
      <c r="C421" s="95">
        <f>countryOfResidenceAllApplicants!L24</f>
        <v>0</v>
      </c>
    </row>
    <row r="422" spans="1:3">
      <c r="A422" s="1" t="s">
        <v>1928</v>
      </c>
      <c r="B422" s="52" t="s">
        <v>1651</v>
      </c>
      <c r="C422" s="1" t="str">
        <f>INDEX(CountryOfIssue,countryOfResidenceAllApplicants!L27)</f>
        <v>Select</v>
      </c>
    </row>
    <row r="423" spans="1:3">
      <c r="A423" s="1" t="s">
        <v>1928</v>
      </c>
      <c r="B423" s="52" t="s">
        <v>1652</v>
      </c>
      <c r="C423" s="1">
        <f>countryOfResidenceAllApplicants!L28</f>
        <v>0</v>
      </c>
    </row>
    <row r="424" spans="1:3">
      <c r="A424" s="1" t="s">
        <v>1928</v>
      </c>
      <c r="B424" s="52" t="s">
        <v>1653</v>
      </c>
      <c r="C424" s="1">
        <f>countryOfResidenceAllApplicants!L29</f>
        <v>0</v>
      </c>
    </row>
    <row r="425" spans="1:3">
      <c r="A425" s="1" t="s">
        <v>1928</v>
      </c>
      <c r="B425" s="52" t="s">
        <v>1654</v>
      </c>
      <c r="C425" s="1">
        <f>countryOfResidenceAllApplicants!L30</f>
        <v>0</v>
      </c>
    </row>
    <row r="426" spans="1:3">
      <c r="A426" s="1" t="s">
        <v>1928</v>
      </c>
      <c r="B426" s="52" t="s">
        <v>1655</v>
      </c>
      <c r="C426" s="1">
        <f>countryOfResidenceAllApplicants!L31</f>
        <v>0</v>
      </c>
    </row>
    <row r="427" spans="1:3">
      <c r="A427" s="1" t="s">
        <v>1928</v>
      </c>
      <c r="B427" s="52" t="s">
        <v>1656</v>
      </c>
      <c r="C427" s="1">
        <f>countryOfResidenceAllApplicants!L32</f>
        <v>0</v>
      </c>
    </row>
    <row r="428" spans="1:3">
      <c r="A428" s="1" t="s">
        <v>1928</v>
      </c>
      <c r="B428" s="52" t="s">
        <v>1657</v>
      </c>
      <c r="C428" s="1" t="str">
        <f>INDEX(Applicants,countryOfResidenceAllApplicants!L35)</f>
        <v>Select</v>
      </c>
    </row>
    <row r="429" spans="1:3">
      <c r="A429" s="1" t="s">
        <v>1928</v>
      </c>
      <c r="B429" s="52" t="s">
        <v>1658</v>
      </c>
      <c r="C429" s="95">
        <f>countryOfResidenceAllApplicants!L36</f>
        <v>0</v>
      </c>
    </row>
    <row r="430" spans="1:3">
      <c r="A430" s="1" t="s">
        <v>1928</v>
      </c>
      <c r="B430" s="52" t="s">
        <v>1659</v>
      </c>
      <c r="C430" s="95">
        <f>countryOfResidenceAllApplicants!L37</f>
        <v>0</v>
      </c>
    </row>
    <row r="431" spans="1:3">
      <c r="A431" s="1" t="s">
        <v>1928</v>
      </c>
      <c r="B431" s="52" t="s">
        <v>1660</v>
      </c>
      <c r="C431" s="1" t="str">
        <f>INDEX(CountryOfIssue,countryOfResidenceAllApplicants!L40)</f>
        <v>Select</v>
      </c>
    </row>
    <row r="432" spans="1:3">
      <c r="A432" s="1" t="s">
        <v>1928</v>
      </c>
      <c r="B432" s="52" t="s">
        <v>1661</v>
      </c>
      <c r="C432" s="1">
        <f>countryOfResidenceAllApplicants!L41</f>
        <v>0</v>
      </c>
    </row>
    <row r="433" spans="1:3">
      <c r="A433" s="1" t="s">
        <v>1928</v>
      </c>
      <c r="B433" s="52" t="s">
        <v>1662</v>
      </c>
      <c r="C433" s="1">
        <f>countryOfResidenceAllApplicants!L42</f>
        <v>0</v>
      </c>
    </row>
    <row r="434" spans="1:3">
      <c r="A434" s="1" t="s">
        <v>1928</v>
      </c>
      <c r="B434" s="52" t="s">
        <v>1663</v>
      </c>
      <c r="C434" s="1">
        <f>countryOfResidenceAllApplicants!L43</f>
        <v>0</v>
      </c>
    </row>
    <row r="435" spans="1:3">
      <c r="A435" s="1" t="s">
        <v>1928</v>
      </c>
      <c r="B435" s="52" t="s">
        <v>1664</v>
      </c>
      <c r="C435" s="1">
        <f>countryOfResidenceAllApplicants!L44</f>
        <v>0</v>
      </c>
    </row>
    <row r="436" spans="1:3">
      <c r="A436" s="1" t="s">
        <v>1928</v>
      </c>
      <c r="B436" s="52" t="s">
        <v>1665</v>
      </c>
      <c r="C436" s="1">
        <f>countryOfResidenceAllApplicants!L45</f>
        <v>0</v>
      </c>
    </row>
    <row r="437" spans="1:3">
      <c r="A437" s="1" t="s">
        <v>1928</v>
      </c>
      <c r="B437" s="52" t="s">
        <v>1666</v>
      </c>
      <c r="C437" s="1" t="str">
        <f>INDEX(Applicants,countryOfResidenceAllApplicants!L48)</f>
        <v>Select</v>
      </c>
    </row>
    <row r="438" spans="1:3">
      <c r="A438" s="1" t="s">
        <v>1928</v>
      </c>
      <c r="B438" s="52" t="s">
        <v>1667</v>
      </c>
      <c r="C438" s="95">
        <f>countryOfResidenceAllApplicants!L49</f>
        <v>0</v>
      </c>
    </row>
    <row r="439" spans="1:3">
      <c r="A439" s="1" t="s">
        <v>1928</v>
      </c>
      <c r="B439" s="52" t="s">
        <v>1668</v>
      </c>
      <c r="C439" s="95">
        <f>countryOfResidenceAllApplicants!L50</f>
        <v>0</v>
      </c>
    </row>
    <row r="440" spans="1:3">
      <c r="A440" s="1" t="s">
        <v>1928</v>
      </c>
      <c r="B440" s="52" t="s">
        <v>1669</v>
      </c>
      <c r="C440" s="1" t="str">
        <f>INDEX(CountryOfIssue,countryOfResidenceAllApplicants!L53)</f>
        <v>Select</v>
      </c>
    </row>
    <row r="441" spans="1:3">
      <c r="A441" s="1" t="s">
        <v>1928</v>
      </c>
      <c r="B441" s="52" t="s">
        <v>1670</v>
      </c>
      <c r="C441" s="1">
        <f>countryOfResidenceAllApplicants!L54</f>
        <v>0</v>
      </c>
    </row>
    <row r="442" spans="1:3">
      <c r="A442" s="1" t="s">
        <v>1928</v>
      </c>
      <c r="B442" s="52" t="s">
        <v>1671</v>
      </c>
      <c r="C442" s="1">
        <f>countryOfResidenceAllApplicants!L55</f>
        <v>0</v>
      </c>
    </row>
    <row r="443" spans="1:3">
      <c r="A443" s="1" t="s">
        <v>1928</v>
      </c>
      <c r="B443" s="52" t="s">
        <v>1672</v>
      </c>
      <c r="C443" s="1">
        <f>countryOfResidenceAllApplicants!L56</f>
        <v>0</v>
      </c>
    </row>
    <row r="444" spans="1:3">
      <c r="A444" s="1" t="s">
        <v>1928</v>
      </c>
      <c r="B444" s="52" t="s">
        <v>1673</v>
      </c>
      <c r="C444" s="1">
        <f>countryOfResidenceAllApplicants!L57</f>
        <v>0</v>
      </c>
    </row>
    <row r="445" spans="1:3">
      <c r="A445" s="1" t="s">
        <v>1928</v>
      </c>
      <c r="B445" s="52" t="s">
        <v>1674</v>
      </c>
      <c r="C445" s="1">
        <f>countryOfResidenceAllApplicants!L58</f>
        <v>0</v>
      </c>
    </row>
    <row r="446" spans="1:3">
      <c r="A446" s="1" t="s">
        <v>1928</v>
      </c>
      <c r="B446" s="52" t="s">
        <v>1675</v>
      </c>
      <c r="C446" s="1" t="str">
        <f>INDEX(constants!N3:N9,countryOfResidenceAllApplicants!L61)</f>
        <v>Select</v>
      </c>
    </row>
    <row r="447" spans="1:3">
      <c r="A447" s="1" t="s">
        <v>1928</v>
      </c>
      <c r="B447" s="52" t="s">
        <v>1676</v>
      </c>
      <c r="C447" s="95">
        <f>countryOfResidenceAllApplicants!L62</f>
        <v>0</v>
      </c>
    </row>
    <row r="448" spans="1:3">
      <c r="A448" s="1" t="s">
        <v>1928</v>
      </c>
      <c r="B448" s="52" t="s">
        <v>1677</v>
      </c>
      <c r="C448" s="95">
        <f>countryOfResidenceAllApplicants!L63</f>
        <v>0</v>
      </c>
    </row>
    <row r="449" spans="1:3">
      <c r="A449" s="1" t="s">
        <v>1928</v>
      </c>
      <c r="B449" s="52" t="s">
        <v>1678</v>
      </c>
      <c r="C449" s="1" t="str">
        <f>INDEX(CountryOfIssue,countryOfResidenceAllApplicants!L66)</f>
        <v>Select</v>
      </c>
    </row>
    <row r="450" spans="1:3">
      <c r="A450" s="1" t="s">
        <v>1928</v>
      </c>
      <c r="B450" s="52" t="s">
        <v>1679</v>
      </c>
      <c r="C450" s="1">
        <f>countryOfResidenceAllApplicants!L67</f>
        <v>0</v>
      </c>
    </row>
    <row r="451" spans="1:3">
      <c r="A451" s="1" t="s">
        <v>1928</v>
      </c>
      <c r="B451" s="52" t="s">
        <v>1680</v>
      </c>
      <c r="C451" s="1">
        <f>countryOfResidenceAllApplicants!L68</f>
        <v>0</v>
      </c>
    </row>
    <row r="452" spans="1:3">
      <c r="A452" s="1" t="s">
        <v>1928</v>
      </c>
      <c r="B452" s="52" t="s">
        <v>1681</v>
      </c>
      <c r="C452" s="1">
        <f>countryOfResidenceAllApplicants!L69</f>
        <v>0</v>
      </c>
    </row>
    <row r="453" spans="1:3">
      <c r="A453" s="1" t="s">
        <v>1928</v>
      </c>
      <c r="B453" s="52" t="s">
        <v>1682</v>
      </c>
      <c r="C453" s="1">
        <f>countryOfResidenceAllApplicants!L70</f>
        <v>0</v>
      </c>
    </row>
    <row r="454" spans="1:3">
      <c r="A454" s="1" t="s">
        <v>1928</v>
      </c>
      <c r="B454" s="52" t="s">
        <v>1683</v>
      </c>
      <c r="C454" s="1">
        <f>countryOfResidenceAllApplicants!L71</f>
        <v>0</v>
      </c>
    </row>
    <row r="455" spans="1:3">
      <c r="A455" s="1" t="s">
        <v>1928</v>
      </c>
      <c r="B455" s="52" t="s">
        <v>1684</v>
      </c>
      <c r="C455" s="1" t="str">
        <f>INDEX(constants!N3:N9,countryOfResidenceAllApplicants!L74)</f>
        <v>Select</v>
      </c>
    </row>
    <row r="456" spans="1:3">
      <c r="A456" s="1" t="s">
        <v>1928</v>
      </c>
      <c r="B456" s="52" t="s">
        <v>1685</v>
      </c>
      <c r="C456" s="95">
        <f>countryOfResidenceAllApplicants!L75</f>
        <v>0</v>
      </c>
    </row>
    <row r="457" spans="1:3">
      <c r="A457" s="1" t="s">
        <v>1928</v>
      </c>
      <c r="B457" s="52" t="s">
        <v>1686</v>
      </c>
      <c r="C457" s="95">
        <f>countryOfResidenceAllApplicants!L76</f>
        <v>0</v>
      </c>
    </row>
    <row r="458" spans="1:3">
      <c r="A458" s="1" t="s">
        <v>1928</v>
      </c>
      <c r="B458" s="52" t="s">
        <v>1687</v>
      </c>
      <c r="C458" s="1" t="str">
        <f>INDEX(CountryOfIssue,countryOfResidenceAllApplicants!L79)</f>
        <v>Select</v>
      </c>
    </row>
    <row r="459" spans="1:3">
      <c r="A459" s="1" t="s">
        <v>1928</v>
      </c>
      <c r="B459" s="52" t="s">
        <v>1688</v>
      </c>
      <c r="C459" s="1">
        <f>countryOfResidenceAllApplicants!L80</f>
        <v>0</v>
      </c>
    </row>
    <row r="460" spans="1:3">
      <c r="A460" s="1" t="s">
        <v>1928</v>
      </c>
      <c r="B460" s="52" t="s">
        <v>1689</v>
      </c>
      <c r="C460" s="1">
        <f>countryOfResidenceAllApplicants!L81</f>
        <v>0</v>
      </c>
    </row>
    <row r="461" spans="1:3">
      <c r="A461" s="1" t="s">
        <v>1928</v>
      </c>
      <c r="B461" s="52" t="s">
        <v>1690</v>
      </c>
      <c r="C461" s="1">
        <f>countryOfResidenceAllApplicants!L82</f>
        <v>0</v>
      </c>
    </row>
    <row r="462" spans="1:3">
      <c r="A462" s="1" t="s">
        <v>1928</v>
      </c>
      <c r="B462" s="52" t="s">
        <v>1691</v>
      </c>
      <c r="C462" s="1">
        <f>countryOfResidenceAllApplicants!L83</f>
        <v>0</v>
      </c>
    </row>
    <row r="463" spans="1:3">
      <c r="A463" s="1" t="s">
        <v>1928</v>
      </c>
      <c r="B463" s="52" t="s">
        <v>1692</v>
      </c>
      <c r="C463" s="1">
        <f>countryOfResidenceAllApplicants!L84</f>
        <v>0</v>
      </c>
    </row>
    <row r="464" spans="1:3">
      <c r="A464" s="1" t="s">
        <v>1929</v>
      </c>
      <c r="B464" s="52" t="s">
        <v>1693</v>
      </c>
      <c r="C464" s="1" t="str">
        <f>INDEX(HighestQualification,educationHistoryPrimarApplic!L6)</f>
        <v>Bachelor Degree in Science, Business or Technology</v>
      </c>
    </row>
    <row r="465" spans="1:3">
      <c r="A465" s="1" t="s">
        <v>1929</v>
      </c>
      <c r="B465" s="52" t="s">
        <v>1694</v>
      </c>
      <c r="C465" s="1" t="str">
        <f>INDEX(yesNo,educationHistoryPrimarApplic!L7)</f>
        <v>Select</v>
      </c>
    </row>
    <row r="466" spans="1:3">
      <c r="A466" s="1" t="s">
        <v>1929</v>
      </c>
      <c r="B466" s="52" t="s">
        <v>1695</v>
      </c>
      <c r="C466" s="1" t="str">
        <f>INDEX(HighestQualification,educationHistoryPrimarApplic!L10)</f>
        <v>Select</v>
      </c>
    </row>
    <row r="467" spans="1:3">
      <c r="A467" s="1" t="s">
        <v>1929</v>
      </c>
      <c r="B467" s="52" t="s">
        <v>1696</v>
      </c>
      <c r="C467" s="1">
        <f>educationHistoryPrimarApplic!L11</f>
        <v>0</v>
      </c>
    </row>
    <row r="468" spans="1:3">
      <c r="A468" s="1" t="s">
        <v>1929</v>
      </c>
      <c r="B468" s="52" t="s">
        <v>1697</v>
      </c>
      <c r="C468" s="1">
        <f>educationHistoryPrimarApplic!L12</f>
        <v>0</v>
      </c>
    </row>
    <row r="469" spans="1:3">
      <c r="A469" s="1" t="s">
        <v>1929</v>
      </c>
      <c r="B469" s="52" t="s">
        <v>1698</v>
      </c>
      <c r="C469" s="1" t="str">
        <f>INDEX(CountryOfIssue,educationHistoryPrimarApplic!L13)</f>
        <v>Select</v>
      </c>
    </row>
    <row r="470" spans="1:3">
      <c r="A470" s="1" t="s">
        <v>1929</v>
      </c>
      <c r="B470" s="52" t="s">
        <v>1699</v>
      </c>
      <c r="C470" s="95">
        <f>educationHistoryPrimarApplic!L14</f>
        <v>0</v>
      </c>
    </row>
    <row r="471" spans="1:3">
      <c r="A471" s="1" t="s">
        <v>1929</v>
      </c>
      <c r="B471" s="52" t="s">
        <v>1700</v>
      </c>
      <c r="C471" s="95">
        <f>educationHistoryPrimarApplic!L15</f>
        <v>0</v>
      </c>
    </row>
    <row r="472" spans="1:3">
      <c r="A472" s="1" t="s">
        <v>1929</v>
      </c>
      <c r="B472" s="52" t="s">
        <v>1701</v>
      </c>
      <c r="C472" s="1" t="str">
        <f>INDEX(HighestQualification,educationHistoryPrimarApplic!L18)</f>
        <v>Select</v>
      </c>
    </row>
    <row r="473" spans="1:3">
      <c r="A473" s="1" t="s">
        <v>1929</v>
      </c>
      <c r="B473" s="52" t="s">
        <v>1702</v>
      </c>
      <c r="C473" s="1">
        <f>educationHistoryPrimarApplic!L19</f>
        <v>0</v>
      </c>
    </row>
    <row r="474" spans="1:3">
      <c r="A474" s="1" t="s">
        <v>1929</v>
      </c>
      <c r="B474" s="52" t="s">
        <v>1703</v>
      </c>
      <c r="C474" s="1">
        <f>educationHistoryPrimarApplic!L20</f>
        <v>0</v>
      </c>
    </row>
    <row r="475" spans="1:3">
      <c r="A475" s="1" t="s">
        <v>1929</v>
      </c>
      <c r="B475" s="52" t="s">
        <v>1704</v>
      </c>
      <c r="C475" s="1" t="str">
        <f>INDEX(CountryOfIssue,educationHistoryPrimarApplic!L21)</f>
        <v>Select</v>
      </c>
    </row>
    <row r="476" spans="1:3">
      <c r="A476" s="1" t="s">
        <v>1929</v>
      </c>
      <c r="B476" s="52" t="s">
        <v>1705</v>
      </c>
      <c r="C476" s="95">
        <f>educationHistoryPrimarApplic!L22</f>
        <v>0</v>
      </c>
    </row>
    <row r="477" spans="1:3">
      <c r="A477" s="1" t="s">
        <v>1929</v>
      </c>
      <c r="B477" s="52" t="s">
        <v>1706</v>
      </c>
      <c r="C477" s="95">
        <f>educationHistoryPrimarApplic!L23</f>
        <v>0</v>
      </c>
    </row>
    <row r="478" spans="1:3">
      <c r="A478" s="1" t="s">
        <v>1929</v>
      </c>
      <c r="B478" s="52" t="s">
        <v>1707</v>
      </c>
      <c r="C478" s="1" t="str">
        <f>INDEX(HighestQualification,educationHistoryPrimarApplic!L26)</f>
        <v>Select</v>
      </c>
    </row>
    <row r="479" spans="1:3">
      <c r="A479" s="1" t="s">
        <v>1929</v>
      </c>
      <c r="B479" s="52" t="s">
        <v>1708</v>
      </c>
      <c r="C479" s="1">
        <f>educationHistoryPrimarApplic!L27</f>
        <v>0</v>
      </c>
    </row>
    <row r="480" spans="1:3">
      <c r="A480" s="1" t="s">
        <v>1929</v>
      </c>
      <c r="B480" s="52" t="s">
        <v>1709</v>
      </c>
      <c r="C480" s="1">
        <f>educationHistoryPrimarApplic!L28</f>
        <v>0</v>
      </c>
    </row>
    <row r="481" spans="1:3">
      <c r="A481" s="1" t="s">
        <v>1929</v>
      </c>
      <c r="B481" s="52" t="s">
        <v>1710</v>
      </c>
      <c r="C481" s="1" t="str">
        <f>INDEX(CountryOfIssue,educationHistoryPrimarApplic!L29)</f>
        <v>Select</v>
      </c>
    </row>
    <row r="482" spans="1:3">
      <c r="A482" s="1" t="s">
        <v>1929</v>
      </c>
      <c r="B482" s="52" t="s">
        <v>1711</v>
      </c>
      <c r="C482" s="95">
        <f>educationHistoryPrimarApplic!L30</f>
        <v>0</v>
      </c>
    </row>
    <row r="483" spans="1:3">
      <c r="A483" s="1" t="s">
        <v>1929</v>
      </c>
      <c r="B483" s="52" t="s">
        <v>1712</v>
      </c>
      <c r="C483" s="95">
        <f>educationHistoryPrimarApplic!L31</f>
        <v>0</v>
      </c>
    </row>
    <row r="484" spans="1:3">
      <c r="A484" s="1" t="s">
        <v>1929</v>
      </c>
      <c r="B484" s="52" t="s">
        <v>1713</v>
      </c>
      <c r="C484" s="1" t="str">
        <f>INDEX(HighestQualification,educationHistoryPrimarApplic!L34)</f>
        <v>Select</v>
      </c>
    </row>
    <row r="485" spans="1:3">
      <c r="A485" s="1" t="s">
        <v>1929</v>
      </c>
      <c r="B485" s="52" t="s">
        <v>1714</v>
      </c>
      <c r="C485" s="1">
        <f>educationHistoryPrimarApplic!L35</f>
        <v>0</v>
      </c>
    </row>
    <row r="486" spans="1:3">
      <c r="A486" s="1" t="s">
        <v>1929</v>
      </c>
      <c r="B486" s="52" t="s">
        <v>1715</v>
      </c>
      <c r="C486" s="1">
        <f>educationHistoryPrimarApplic!L36</f>
        <v>0</v>
      </c>
    </row>
    <row r="487" spans="1:3">
      <c r="A487" s="1" t="s">
        <v>1929</v>
      </c>
      <c r="B487" s="52" t="s">
        <v>1716</v>
      </c>
      <c r="C487" s="1" t="str">
        <f>INDEX(CountryOfIssue,educationHistoryPrimarApplic!L37)</f>
        <v>Select</v>
      </c>
    </row>
    <row r="488" spans="1:3">
      <c r="A488" s="1" t="s">
        <v>1929</v>
      </c>
      <c r="B488" s="52" t="s">
        <v>1717</v>
      </c>
      <c r="C488" s="95">
        <f>educationHistoryPrimarApplic!L38</f>
        <v>0</v>
      </c>
    </row>
    <row r="489" spans="1:3">
      <c r="A489" s="1" t="s">
        <v>1929</v>
      </c>
      <c r="B489" s="52" t="s">
        <v>1718</v>
      </c>
      <c r="C489" s="95">
        <f>educationHistoryPrimarApplic!L39</f>
        <v>0</v>
      </c>
    </row>
    <row r="490" spans="1:3">
      <c r="A490" s="1" t="s">
        <v>1930</v>
      </c>
      <c r="B490" s="52" t="s">
        <v>1719</v>
      </c>
      <c r="C490" s="1" t="str">
        <f>INDEX(yesNo,languageSkills!L7)</f>
        <v>Select</v>
      </c>
    </row>
    <row r="491" spans="1:3">
      <c r="A491" s="1" t="s">
        <v>1930</v>
      </c>
      <c r="B491" s="52" t="s">
        <v>1720</v>
      </c>
      <c r="C491" s="1" t="str">
        <f>INDEX(MainLanguage,languageSkills!L8)</f>
        <v>Select</v>
      </c>
    </row>
    <row r="492" spans="1:3">
      <c r="A492" s="1" t="s">
        <v>1930</v>
      </c>
      <c r="B492" s="52" t="s">
        <v>1721</v>
      </c>
      <c r="C492" s="1" t="str">
        <f>INDEX(yesNo,languageSkills!L11)</f>
        <v>Select</v>
      </c>
    </row>
    <row r="493" spans="1:3">
      <c r="A493" s="1" t="s">
        <v>1930</v>
      </c>
      <c r="B493" s="52" t="s">
        <v>1722</v>
      </c>
      <c r="C493" s="1">
        <f>languageSkills!L13</f>
        <v>0</v>
      </c>
    </row>
    <row r="494" spans="1:3">
      <c r="A494" s="1" t="s">
        <v>1930</v>
      </c>
      <c r="B494" s="52" t="s">
        <v>1723</v>
      </c>
      <c r="C494" s="1" t="str">
        <f>INDEX(yesNo,languageSkills!L14)</f>
        <v>Select</v>
      </c>
    </row>
    <row r="495" spans="1:3">
      <c r="A495" s="1" t="s">
        <v>1930</v>
      </c>
      <c r="B495" s="52" t="s">
        <v>1724</v>
      </c>
      <c r="C495" s="134" t="str">
        <f>INDEX(EnglishTest,languageSkills!L17)</f>
        <v>Select</v>
      </c>
    </row>
    <row r="496" spans="1:3">
      <c r="A496" s="1" t="s">
        <v>1930</v>
      </c>
      <c r="B496" s="52" t="s">
        <v>1725</v>
      </c>
      <c r="C496" s="95">
        <f>languageSkills!L18</f>
        <v>0</v>
      </c>
    </row>
    <row r="497" spans="1:3">
      <c r="A497" s="1" t="s">
        <v>1930</v>
      </c>
      <c r="B497" s="52" t="s">
        <v>1726</v>
      </c>
      <c r="C497" s="95">
        <f>languageSkills!L19</f>
        <v>0</v>
      </c>
    </row>
    <row r="498" spans="1:3">
      <c r="A498" s="1" t="s">
        <v>1930</v>
      </c>
      <c r="B498" s="52" t="s">
        <v>1727</v>
      </c>
      <c r="C498" s="1" t="str">
        <f>INDEX(CountryOfIssue,languageSkills!L20)</f>
        <v>Select</v>
      </c>
    </row>
    <row r="499" spans="1:3">
      <c r="A499" s="1" t="s">
        <v>1930</v>
      </c>
      <c r="B499" s="52" t="s">
        <v>1728</v>
      </c>
      <c r="C499" s="1">
        <f>languageSkills!L21</f>
        <v>0</v>
      </c>
    </row>
    <row r="500" spans="1:3">
      <c r="A500" s="1" t="s">
        <v>1930</v>
      </c>
      <c r="B500" s="52" t="s">
        <v>1729</v>
      </c>
      <c r="C500" s="1">
        <f>languageSkills!L22</f>
        <v>0</v>
      </c>
    </row>
    <row r="501" spans="1:3">
      <c r="A501" s="1" t="s">
        <v>1930</v>
      </c>
      <c r="B501" s="52" t="s">
        <v>1730</v>
      </c>
      <c r="C501" s="1">
        <f>languageSkills!L23</f>
        <v>0</v>
      </c>
    </row>
    <row r="502" spans="1:3">
      <c r="A502" s="1" t="s">
        <v>1930</v>
      </c>
      <c r="B502" s="52" t="s">
        <v>1731</v>
      </c>
      <c r="C502" s="1">
        <f>languageSkills!L24</f>
        <v>0</v>
      </c>
    </row>
    <row r="503" spans="1:3">
      <c r="A503" s="1" t="s">
        <v>1930</v>
      </c>
      <c r="B503" s="52" t="s">
        <v>1732</v>
      </c>
      <c r="C503" s="1">
        <f>languageSkills!L25</f>
        <v>0</v>
      </c>
    </row>
    <row r="504" spans="1:3">
      <c r="A504" s="1" t="s">
        <v>1931</v>
      </c>
      <c r="B504" s="52" t="s">
        <v>1733</v>
      </c>
      <c r="C504" s="1" t="str">
        <f>INDEX(yesNo,registrationLicensing!L6)</f>
        <v>Select</v>
      </c>
    </row>
    <row r="505" spans="1:3">
      <c r="A505" s="1" t="s">
        <v>1931</v>
      </c>
      <c r="B505" s="52" t="s">
        <v>1734</v>
      </c>
      <c r="C505" s="1">
        <f>registrationLicensing!L7</f>
        <v>0</v>
      </c>
    </row>
    <row r="506" spans="1:3">
      <c r="A506" s="1" t="s">
        <v>1931</v>
      </c>
      <c r="B506" s="52" t="s">
        <v>1735</v>
      </c>
      <c r="C506" s="1">
        <f>registrationLicensing!L8</f>
        <v>0</v>
      </c>
    </row>
    <row r="507" spans="1:3">
      <c r="A507" s="1" t="s">
        <v>1931</v>
      </c>
      <c r="B507" s="52" t="s">
        <v>1736</v>
      </c>
      <c r="C507" s="1" t="str">
        <f>INDEX(yesNo,registrationLicensing!L9)</f>
        <v>Select</v>
      </c>
    </row>
    <row r="508" spans="1:3">
      <c r="A508" s="1" t="s">
        <v>1931</v>
      </c>
      <c r="B508" s="52" t="s">
        <v>1737</v>
      </c>
      <c r="C508" s="1">
        <f>registrationLicensing!L11</f>
        <v>0</v>
      </c>
    </row>
    <row r="509" spans="1:3">
      <c r="A509" s="1" t="s">
        <v>1932</v>
      </c>
      <c r="B509" s="52" t="s">
        <v>1738</v>
      </c>
      <c r="C509" s="1" t="str">
        <f>INDEX(yesNo,employmentHistory!L8)</f>
        <v>Select</v>
      </c>
    </row>
    <row r="510" spans="1:3">
      <c r="A510" s="1" t="s">
        <v>1932</v>
      </c>
      <c r="B510" s="52" t="s">
        <v>1739</v>
      </c>
      <c r="C510" s="1" t="str">
        <f>INDEX(yesNo,employmentHistory!L11)</f>
        <v>Select</v>
      </c>
    </row>
    <row r="511" spans="1:3">
      <c r="A511" s="1" t="s">
        <v>1932</v>
      </c>
      <c r="B511" s="52" t="s">
        <v>1740</v>
      </c>
      <c r="C511" s="1">
        <f>employmentHistory!L12</f>
        <v>0</v>
      </c>
    </row>
    <row r="512" spans="1:3">
      <c r="A512" s="1" t="s">
        <v>1932</v>
      </c>
      <c r="B512" s="52" t="s">
        <v>1741</v>
      </c>
      <c r="C512" s="1" t="str">
        <f>INDEX(PositionType,employmentHistory!L13)</f>
        <v>Select</v>
      </c>
    </row>
    <row r="513" spans="1:3">
      <c r="A513" s="1" t="s">
        <v>1932</v>
      </c>
      <c r="B513" s="52" t="s">
        <v>1742</v>
      </c>
      <c r="C513" s="1">
        <f>employmentHistory!L14</f>
        <v>0</v>
      </c>
    </row>
    <row r="514" spans="1:3">
      <c r="A514" s="1" t="s">
        <v>1932</v>
      </c>
      <c r="B514" s="52" t="s">
        <v>1743</v>
      </c>
      <c r="C514" s="1" t="str">
        <f>INDEX(CountryOfIssue,employmentHistory!L15)</f>
        <v>Select</v>
      </c>
    </row>
    <row r="515" spans="1:3">
      <c r="A515" s="1" t="s">
        <v>1932</v>
      </c>
      <c r="B515" s="52" t="s">
        <v>1744</v>
      </c>
      <c r="C515" s="95">
        <f>employmentHistory!L16</f>
        <v>0</v>
      </c>
    </row>
    <row r="516" spans="1:3">
      <c r="A516" s="1" t="s">
        <v>1932</v>
      </c>
      <c r="B516" s="52" t="s">
        <v>1745</v>
      </c>
      <c r="C516" s="95">
        <f>employmentHistory!L17</f>
        <v>0</v>
      </c>
    </row>
    <row r="517" spans="1:3">
      <c r="A517" s="1" t="s">
        <v>1932</v>
      </c>
      <c r="B517" s="52" t="s">
        <v>1746</v>
      </c>
      <c r="C517" s="118" t="e">
        <f>employmentHistory!#REF!</f>
        <v>#REF!</v>
      </c>
    </row>
    <row r="518" spans="1:3">
      <c r="A518" s="1" t="s">
        <v>1932</v>
      </c>
      <c r="B518" s="52" t="s">
        <v>1747</v>
      </c>
      <c r="C518" s="1" t="str">
        <f>INDEX(yesNo,employmentHistory!L19)</f>
        <v>Select</v>
      </c>
    </row>
    <row r="519" spans="1:3">
      <c r="A519" s="1" t="s">
        <v>1932</v>
      </c>
      <c r="B519" s="52" t="s">
        <v>1748</v>
      </c>
      <c r="C519" s="1" t="str">
        <f>INDEX(yesNo,employmentHistory!L23)</f>
        <v>Select</v>
      </c>
    </row>
    <row r="520" spans="1:3">
      <c r="A520" s="1" t="s">
        <v>1932</v>
      </c>
      <c r="B520" s="52" t="s">
        <v>1749</v>
      </c>
      <c r="C520" s="1">
        <f>employmentHistory!L24</f>
        <v>0</v>
      </c>
    </row>
    <row r="521" spans="1:3">
      <c r="A521" s="1" t="s">
        <v>1932</v>
      </c>
      <c r="B521" s="52" t="s">
        <v>1750</v>
      </c>
      <c r="C521" s="1" t="str">
        <f>INDEX(PositionType,employmentHistory!L25)</f>
        <v>Select</v>
      </c>
    </row>
    <row r="522" spans="1:3">
      <c r="A522" s="1" t="s">
        <v>1932</v>
      </c>
      <c r="B522" s="52" t="s">
        <v>1751</v>
      </c>
      <c r="C522" s="1">
        <f>employmentHistory!L26</f>
        <v>0</v>
      </c>
    </row>
    <row r="523" spans="1:3">
      <c r="A523" s="1" t="s">
        <v>1932</v>
      </c>
      <c r="B523" s="52" t="s">
        <v>1752</v>
      </c>
      <c r="C523" s="1" t="str">
        <f>INDEX(CountryOfIssue,employmentHistory!L27)</f>
        <v>Select</v>
      </c>
    </row>
    <row r="524" spans="1:3">
      <c r="A524" s="1" t="s">
        <v>1932</v>
      </c>
      <c r="B524" s="52" t="s">
        <v>1753</v>
      </c>
      <c r="C524" s="95">
        <f>employmentHistory!L28</f>
        <v>0</v>
      </c>
    </row>
    <row r="525" spans="1:3">
      <c r="A525" s="1" t="s">
        <v>1932</v>
      </c>
      <c r="B525" s="52" t="s">
        <v>1754</v>
      </c>
      <c r="C525" s="95">
        <f>employmentHistory!L29</f>
        <v>0</v>
      </c>
    </row>
    <row r="526" spans="1:3">
      <c r="A526" s="1" t="s">
        <v>1932</v>
      </c>
      <c r="B526" s="52" t="s">
        <v>1755</v>
      </c>
      <c r="C526" s="118" t="e">
        <f>employmentHistory!#REF!</f>
        <v>#REF!</v>
      </c>
    </row>
    <row r="527" spans="1:3">
      <c r="A527" s="1" t="s">
        <v>1932</v>
      </c>
      <c r="B527" s="52" t="s">
        <v>1756</v>
      </c>
      <c r="C527" s="1" t="str">
        <f>INDEX(yesNo,employmentHistory!L31)</f>
        <v>Select</v>
      </c>
    </row>
    <row r="528" spans="1:3">
      <c r="A528" s="1" t="s">
        <v>1932</v>
      </c>
      <c r="B528" s="52" t="s">
        <v>1757</v>
      </c>
      <c r="C528" s="1" t="str">
        <f>INDEX(yesNo,employmentHistory!L34)</f>
        <v>Select</v>
      </c>
    </row>
    <row r="529" spans="1:3">
      <c r="A529" s="1" t="s">
        <v>1932</v>
      </c>
      <c r="B529" s="52" t="s">
        <v>1758</v>
      </c>
      <c r="C529" s="1">
        <f>employmentHistory!L35</f>
        <v>0</v>
      </c>
    </row>
    <row r="530" spans="1:3">
      <c r="A530" s="1" t="s">
        <v>1932</v>
      </c>
      <c r="B530" s="52" t="s">
        <v>1759</v>
      </c>
      <c r="C530" s="1" t="str">
        <f>INDEX(PositionType,employmentHistory!L36)</f>
        <v>Select</v>
      </c>
    </row>
    <row r="531" spans="1:3">
      <c r="A531" s="1" t="s">
        <v>1932</v>
      </c>
      <c r="B531" s="52" t="s">
        <v>1760</v>
      </c>
      <c r="C531" s="1">
        <f>employmentHistory!L37</f>
        <v>0</v>
      </c>
    </row>
    <row r="532" spans="1:3">
      <c r="A532" s="1" t="s">
        <v>1932</v>
      </c>
      <c r="B532" s="52" t="s">
        <v>1761</v>
      </c>
      <c r="C532" s="1" t="str">
        <f>INDEX(CountryOfIssue,employmentHistory!L38)</f>
        <v>Select</v>
      </c>
    </row>
    <row r="533" spans="1:3">
      <c r="A533" s="1" t="s">
        <v>1932</v>
      </c>
      <c r="B533" s="52" t="s">
        <v>1762</v>
      </c>
      <c r="C533" s="95">
        <f>employmentHistory!L39</f>
        <v>0</v>
      </c>
    </row>
    <row r="534" spans="1:3">
      <c r="A534" s="1" t="s">
        <v>1932</v>
      </c>
      <c r="B534" s="52" t="s">
        <v>1763</v>
      </c>
      <c r="C534" s="95">
        <f>employmentHistory!L40</f>
        <v>0</v>
      </c>
    </row>
    <row r="535" spans="1:3">
      <c r="A535" s="1" t="s">
        <v>1932</v>
      </c>
      <c r="B535" s="52" t="s">
        <v>1764</v>
      </c>
      <c r="C535" s="118" t="e">
        <f>employmentHistory!#REF!</f>
        <v>#REF!</v>
      </c>
    </row>
    <row r="536" spans="1:3">
      <c r="A536" s="1" t="s">
        <v>1932</v>
      </c>
      <c r="B536" s="52" t="s">
        <v>1765</v>
      </c>
      <c r="C536" s="1" t="str">
        <f>INDEX(yesNo,employmentHistory!L42)</f>
        <v>Select</v>
      </c>
    </row>
    <row r="537" spans="1:3">
      <c r="A537" s="1" t="s">
        <v>1932</v>
      </c>
      <c r="B537" s="52" t="s">
        <v>1766</v>
      </c>
      <c r="C537" s="1" t="str">
        <f>INDEX(yesNo,employmentHistory!L45)</f>
        <v>Select</v>
      </c>
    </row>
    <row r="538" spans="1:3">
      <c r="A538" s="1" t="s">
        <v>1932</v>
      </c>
      <c r="B538" s="52" t="s">
        <v>1767</v>
      </c>
      <c r="C538" s="1">
        <f>employmentHistory!L46</f>
        <v>0</v>
      </c>
    </row>
    <row r="539" spans="1:3">
      <c r="A539" s="1" t="s">
        <v>1932</v>
      </c>
      <c r="B539" s="52" t="s">
        <v>1768</v>
      </c>
      <c r="C539" s="1" t="str">
        <f>INDEX(PositionType,employmentHistory!L47)</f>
        <v>Select</v>
      </c>
    </row>
    <row r="540" spans="1:3">
      <c r="A540" s="1" t="s">
        <v>1932</v>
      </c>
      <c r="B540" s="52" t="s">
        <v>1769</v>
      </c>
      <c r="C540" s="1">
        <f>employmentHistory!L48</f>
        <v>0</v>
      </c>
    </row>
    <row r="541" spans="1:3">
      <c r="A541" s="1" t="s">
        <v>1932</v>
      </c>
      <c r="B541" s="52" t="s">
        <v>1770</v>
      </c>
      <c r="C541" s="1" t="str">
        <f>INDEX(CountryOfIssue,employmentHistory!L49)</f>
        <v>Select</v>
      </c>
    </row>
    <row r="542" spans="1:3">
      <c r="A542" s="1" t="s">
        <v>1932</v>
      </c>
      <c r="B542" s="52" t="s">
        <v>1771</v>
      </c>
      <c r="C542" s="95">
        <f>employmentHistory!L50</f>
        <v>0</v>
      </c>
    </row>
    <row r="543" spans="1:3">
      <c r="A543" s="1" t="s">
        <v>1932</v>
      </c>
      <c r="B543" s="52" t="s">
        <v>1772</v>
      </c>
      <c r="C543" s="95">
        <f>employmentHistory!L51</f>
        <v>0</v>
      </c>
    </row>
    <row r="544" spans="1:3">
      <c r="A544" s="1" t="s">
        <v>1932</v>
      </c>
      <c r="B544" s="52" t="s">
        <v>1773</v>
      </c>
      <c r="C544" s="118" t="e">
        <f>employmentHistory!#REF!</f>
        <v>#REF!</v>
      </c>
    </row>
    <row r="545" spans="1:3">
      <c r="A545" s="1" t="s">
        <v>1932</v>
      </c>
      <c r="B545" s="52" t="s">
        <v>1774</v>
      </c>
      <c r="C545" s="1" t="str">
        <f>INDEX(yesNo,employmentHistory!L53)</f>
        <v>Select</v>
      </c>
    </row>
    <row r="546" spans="1:3">
      <c r="A546" s="1" t="s">
        <v>1933</v>
      </c>
      <c r="B546" s="52" t="s">
        <v>1775</v>
      </c>
      <c r="C546" s="1" t="str">
        <f>INDEX(yesNo,healthDeclarations!L6)</f>
        <v>Select</v>
      </c>
    </row>
    <row r="547" spans="1:3">
      <c r="A547" s="1" t="s">
        <v>1933</v>
      </c>
      <c r="B547" s="52" t="s">
        <v>1776</v>
      </c>
      <c r="C547" s="1" t="str">
        <f>INDEX(Applicants,healthDeclarations!L9)</f>
        <v>Select</v>
      </c>
    </row>
    <row r="548" spans="1:3">
      <c r="A548" s="1" t="s">
        <v>1933</v>
      </c>
      <c r="B548" s="52" t="s">
        <v>1777</v>
      </c>
      <c r="C548" s="1" t="str">
        <f>INDEX(CountryOfIssue,healthDeclarations!L10)</f>
        <v>Select</v>
      </c>
    </row>
    <row r="549" spans="1:3">
      <c r="A549" s="1" t="s">
        <v>1933</v>
      </c>
      <c r="B549" s="52" t="s">
        <v>1778</v>
      </c>
      <c r="C549" s="95">
        <f>healthDeclarations!L11</f>
        <v>0</v>
      </c>
    </row>
    <row r="550" spans="1:3">
      <c r="A550" s="1" t="s">
        <v>1933</v>
      </c>
      <c r="B550" s="52" t="s">
        <v>1779</v>
      </c>
      <c r="C550" s="95">
        <f>healthDeclarations!L12</f>
        <v>0</v>
      </c>
    </row>
    <row r="551" spans="1:3">
      <c r="A551" s="1" t="s">
        <v>1933</v>
      </c>
      <c r="B551" s="52" t="s">
        <v>1780</v>
      </c>
      <c r="C551" s="1" t="str">
        <f>INDEX(Applicants,healthDeclarations!L15)</f>
        <v>Select</v>
      </c>
    </row>
    <row r="552" spans="1:3">
      <c r="A552" s="1" t="s">
        <v>1933</v>
      </c>
      <c r="B552" s="52" t="s">
        <v>1781</v>
      </c>
      <c r="C552" s="1" t="str">
        <f>INDEX(CountryOfIssue,healthDeclarations!L16)</f>
        <v>Select</v>
      </c>
    </row>
    <row r="553" spans="1:3">
      <c r="A553" s="1" t="s">
        <v>1933</v>
      </c>
      <c r="B553" s="52" t="s">
        <v>1782</v>
      </c>
      <c r="C553" s="95">
        <f>healthDeclarations!L17</f>
        <v>0</v>
      </c>
    </row>
    <row r="554" spans="1:3">
      <c r="A554" s="1" t="s">
        <v>1933</v>
      </c>
      <c r="B554" s="52" t="s">
        <v>1783</v>
      </c>
      <c r="C554" s="95">
        <f>healthDeclarations!L18</f>
        <v>0</v>
      </c>
    </row>
    <row r="555" spans="1:3">
      <c r="A555" s="1" t="s">
        <v>1933</v>
      </c>
      <c r="B555" s="52" t="s">
        <v>1784</v>
      </c>
      <c r="C555" s="1" t="str">
        <f>INDEX(Applicants,healthDeclarations!L21)</f>
        <v>Select</v>
      </c>
    </row>
    <row r="556" spans="1:3">
      <c r="A556" s="1" t="s">
        <v>1933</v>
      </c>
      <c r="B556" s="52" t="s">
        <v>1785</v>
      </c>
      <c r="C556" s="1" t="str">
        <f>INDEX(CountryOfIssue,healthDeclarations!L22)</f>
        <v>Select</v>
      </c>
    </row>
    <row r="557" spans="1:3">
      <c r="A557" s="1" t="s">
        <v>1933</v>
      </c>
      <c r="B557" s="52" t="s">
        <v>1786</v>
      </c>
      <c r="C557" s="95">
        <f>healthDeclarations!L23</f>
        <v>0</v>
      </c>
    </row>
    <row r="558" spans="1:3">
      <c r="A558" s="1" t="s">
        <v>1933</v>
      </c>
      <c r="B558" s="52" t="s">
        <v>1787</v>
      </c>
      <c r="C558" s="95">
        <f>healthDeclarations!L24</f>
        <v>0</v>
      </c>
    </row>
    <row r="559" spans="1:3">
      <c r="A559" s="1" t="s">
        <v>1933</v>
      </c>
      <c r="B559" s="52" t="s">
        <v>1788</v>
      </c>
      <c r="C559" s="1" t="str">
        <f>INDEX(Applicants,healthDeclarations!L27)</f>
        <v>Select</v>
      </c>
    </row>
    <row r="560" spans="1:3">
      <c r="A560" s="1" t="s">
        <v>1933</v>
      </c>
      <c r="B560" s="52" t="s">
        <v>1789</v>
      </c>
      <c r="C560" s="1" t="str">
        <f>INDEX(CountryOfIssue,healthDeclarations!L28)</f>
        <v>Select</v>
      </c>
    </row>
    <row r="561" spans="1:3">
      <c r="A561" s="1" t="s">
        <v>1933</v>
      </c>
      <c r="B561" s="52" t="s">
        <v>1790</v>
      </c>
      <c r="C561" s="95">
        <f>healthDeclarations!L29</f>
        <v>0</v>
      </c>
    </row>
    <row r="562" spans="1:3">
      <c r="A562" s="1" t="s">
        <v>1933</v>
      </c>
      <c r="B562" s="52" t="s">
        <v>1791</v>
      </c>
      <c r="C562" s="95">
        <f>healthDeclarations!L30</f>
        <v>0</v>
      </c>
    </row>
    <row r="563" spans="1:3">
      <c r="A563" s="1" t="s">
        <v>1933</v>
      </c>
      <c r="B563" s="52" t="s">
        <v>1792</v>
      </c>
      <c r="C563" s="1" t="str">
        <f>INDEX(Applicants,healthDeclarations!L33)</f>
        <v>Select</v>
      </c>
    </row>
    <row r="564" spans="1:3">
      <c r="A564" s="1" t="s">
        <v>1933</v>
      </c>
      <c r="B564" s="52" t="s">
        <v>1793</v>
      </c>
      <c r="C564" s="1" t="str">
        <f>INDEX(CountryOfIssue,healthDeclarations!L34)</f>
        <v>Select</v>
      </c>
    </row>
    <row r="565" spans="1:3">
      <c r="A565" s="1" t="s">
        <v>1933</v>
      </c>
      <c r="B565" s="52" t="s">
        <v>1794</v>
      </c>
      <c r="C565" s="95">
        <f>healthDeclarations!L35</f>
        <v>0</v>
      </c>
    </row>
    <row r="566" spans="1:3">
      <c r="A566" s="1" t="s">
        <v>1933</v>
      </c>
      <c r="B566" s="52" t="s">
        <v>1795</v>
      </c>
      <c r="C566" s="95">
        <f>healthDeclarations!L36</f>
        <v>0</v>
      </c>
    </row>
    <row r="567" spans="1:3">
      <c r="A567" s="1" t="s">
        <v>1933</v>
      </c>
      <c r="B567" s="52" t="s">
        <v>1796</v>
      </c>
      <c r="C567" s="1" t="str">
        <f>INDEX(Applicants,healthDeclarations!L39)</f>
        <v>Select</v>
      </c>
    </row>
    <row r="568" spans="1:3">
      <c r="A568" s="1" t="s">
        <v>1933</v>
      </c>
      <c r="B568" s="52" t="s">
        <v>1797</v>
      </c>
      <c r="C568" s="1" t="str">
        <f>INDEX(CountryOfIssue,healthDeclarations!L40)</f>
        <v>Select</v>
      </c>
    </row>
    <row r="569" spans="1:3">
      <c r="A569" s="1" t="s">
        <v>1933</v>
      </c>
      <c r="B569" s="52" t="s">
        <v>1798</v>
      </c>
      <c r="C569" s="95">
        <f>healthDeclarations!L41</f>
        <v>0</v>
      </c>
    </row>
    <row r="570" spans="1:3">
      <c r="A570" s="1" t="s">
        <v>1933</v>
      </c>
      <c r="B570" s="52" t="s">
        <v>1799</v>
      </c>
      <c r="C570" s="95">
        <f>healthDeclarations!L42</f>
        <v>0</v>
      </c>
    </row>
    <row r="571" spans="1:3">
      <c r="A571" s="1" t="s">
        <v>1932</v>
      </c>
      <c r="B571" s="131" t="s">
        <v>1800</v>
      </c>
      <c r="C571" s="1" t="str">
        <f>INDEX(yesNo,employmentHistory!L56)</f>
        <v>No</v>
      </c>
    </row>
    <row r="572" spans="1:3">
      <c r="A572" s="1" t="s">
        <v>1932</v>
      </c>
      <c r="B572" s="131" t="s">
        <v>1801</v>
      </c>
      <c r="C572" s="1">
        <f>employmentHistory!L58</f>
        <v>0</v>
      </c>
    </row>
    <row r="573" spans="1:3">
      <c r="A573" s="1" t="s">
        <v>1933</v>
      </c>
      <c r="B573" s="52" t="s">
        <v>1802</v>
      </c>
      <c r="C573" s="1" t="str">
        <f>INDEX(yesNo,healthDeclarations!L45)</f>
        <v>Select</v>
      </c>
    </row>
    <row r="574" spans="1:3">
      <c r="A574" s="1" t="s">
        <v>1933</v>
      </c>
      <c r="B574" s="52" t="s">
        <v>1803</v>
      </c>
      <c r="C574" s="1" t="str">
        <f>INDEX(Applicants,healthDeclarations!L46)</f>
        <v>Select</v>
      </c>
    </row>
    <row r="575" spans="1:3">
      <c r="A575" s="1" t="s">
        <v>1933</v>
      </c>
      <c r="B575" s="52" t="s">
        <v>1804</v>
      </c>
      <c r="C575" s="1" t="str">
        <f>INDEX(HospitalReasons,healthDeclarations!L47)</f>
        <v>Select</v>
      </c>
    </row>
    <row r="576" spans="1:3">
      <c r="A576" s="1" t="s">
        <v>1933</v>
      </c>
      <c r="B576" s="52" t="s">
        <v>1805</v>
      </c>
      <c r="C576" s="1">
        <f>healthDeclarations!L49</f>
        <v>0</v>
      </c>
    </row>
    <row r="577" spans="1:3">
      <c r="A577" s="1" t="s">
        <v>1933</v>
      </c>
      <c r="B577" s="52" t="s">
        <v>1806</v>
      </c>
      <c r="C577" s="1" t="str">
        <f>INDEX(Applicants,healthDeclarations!L52)</f>
        <v>Select</v>
      </c>
    </row>
    <row r="578" spans="1:3">
      <c r="A578" s="1" t="s">
        <v>1933</v>
      </c>
      <c r="B578" s="52" t="s">
        <v>1807</v>
      </c>
      <c r="C578" s="1" t="str">
        <f>INDEX(HospitalReasons,healthDeclarations!L53)</f>
        <v>Select</v>
      </c>
    </row>
    <row r="579" spans="1:3">
      <c r="A579" s="1" t="s">
        <v>1933</v>
      </c>
      <c r="B579" s="52" t="s">
        <v>1808</v>
      </c>
      <c r="C579" s="1">
        <f>healthDeclarations!L55</f>
        <v>0</v>
      </c>
    </row>
    <row r="580" spans="1:3">
      <c r="A580" s="1" t="s">
        <v>1933</v>
      </c>
      <c r="B580" s="52" t="s">
        <v>1809</v>
      </c>
      <c r="C580" s="1" t="str">
        <f>INDEX(yesNo,healthDeclarations!L58)</f>
        <v>Select</v>
      </c>
    </row>
    <row r="581" spans="1:3">
      <c r="A581" s="1" t="s">
        <v>1933</v>
      </c>
      <c r="B581" s="52" t="s">
        <v>1810</v>
      </c>
      <c r="C581" s="1" t="str">
        <f>INDEX(Applicants,healthDeclarations!L59)</f>
        <v>Select</v>
      </c>
    </row>
    <row r="582" spans="1:3">
      <c r="A582" s="1" t="s">
        <v>1933</v>
      </c>
      <c r="B582" s="52" t="s">
        <v>1811</v>
      </c>
      <c r="C582" s="1">
        <f>healthDeclarations!L61</f>
        <v>0</v>
      </c>
    </row>
    <row r="583" spans="1:3">
      <c r="A583" s="1" t="s">
        <v>1933</v>
      </c>
      <c r="B583" s="52" t="s">
        <v>1812</v>
      </c>
      <c r="C583" s="1">
        <f>healthDeclarations!L64</f>
        <v>1</v>
      </c>
    </row>
    <row r="584" spans="1:3">
      <c r="A584" s="1" t="s">
        <v>1933</v>
      </c>
      <c r="B584" s="52" t="s">
        <v>1813</v>
      </c>
      <c r="C584" s="1">
        <f>healthDeclarations!L66</f>
        <v>0</v>
      </c>
    </row>
    <row r="585" spans="1:3">
      <c r="A585" s="1" t="s">
        <v>1933</v>
      </c>
      <c r="B585" s="52" t="s">
        <v>1814</v>
      </c>
      <c r="C585" s="1" t="str">
        <f>INDEX(yesNo,healthDeclarations!L69)</f>
        <v>Select</v>
      </c>
    </row>
    <row r="586" spans="1:3">
      <c r="A586" s="1" t="s">
        <v>1933</v>
      </c>
      <c r="B586" s="52" t="s">
        <v>1815</v>
      </c>
      <c r="C586" s="1" t="str">
        <f>INDEX(Applicants,healthDeclarations!L70)</f>
        <v>Select</v>
      </c>
    </row>
    <row r="587" spans="1:3">
      <c r="A587" s="1" t="s">
        <v>1933</v>
      </c>
      <c r="B587" s="52" t="s">
        <v>1816</v>
      </c>
      <c r="C587" s="1">
        <f>healthDeclarations!L72</f>
        <v>0</v>
      </c>
    </row>
    <row r="588" spans="1:3">
      <c r="A588" s="1" t="s">
        <v>1933</v>
      </c>
      <c r="B588" s="52" t="s">
        <v>1817</v>
      </c>
      <c r="C588" s="1" t="str">
        <f>INDEX(Applicants,healthDeclarations!L75)</f>
        <v>Select</v>
      </c>
    </row>
    <row r="589" spans="1:3">
      <c r="A589" s="1" t="s">
        <v>1933</v>
      </c>
      <c r="B589" s="52" t="s">
        <v>1818</v>
      </c>
      <c r="C589" s="1">
        <f>healthDeclarations!L77</f>
        <v>0</v>
      </c>
    </row>
    <row r="590" spans="1:3">
      <c r="A590" s="1" t="s">
        <v>1933</v>
      </c>
      <c r="B590" s="52" t="s">
        <v>1819</v>
      </c>
      <c r="C590" s="1" t="str">
        <f>INDEX(yesNo,healthDeclarations!L80)</f>
        <v>Select</v>
      </c>
    </row>
    <row r="591" spans="1:3">
      <c r="A591" s="1" t="s">
        <v>1933</v>
      </c>
      <c r="B591" s="52" t="s">
        <v>1820</v>
      </c>
      <c r="C591" s="1" t="str">
        <f>INDEX(Applicants,healthDeclarations!L81)</f>
        <v>Select</v>
      </c>
    </row>
    <row r="592" spans="1:3">
      <c r="A592" s="1" t="s">
        <v>1933</v>
      </c>
      <c r="B592" s="52" t="s">
        <v>1821</v>
      </c>
      <c r="C592" s="1">
        <f>healthDeclarations!L83</f>
        <v>0</v>
      </c>
    </row>
    <row r="593" spans="1:3">
      <c r="A593" s="1" t="s">
        <v>1933</v>
      </c>
      <c r="B593" s="52" t="s">
        <v>1822</v>
      </c>
      <c r="C593" s="1" t="str">
        <f>INDEX(Applicants,healthDeclarations!L86)</f>
        <v>Select</v>
      </c>
    </row>
    <row r="594" spans="1:3">
      <c r="A594" s="1" t="s">
        <v>1933</v>
      </c>
      <c r="B594" s="52" t="s">
        <v>1823</v>
      </c>
      <c r="C594" s="1">
        <f>healthDeclarations!L88</f>
        <v>0</v>
      </c>
    </row>
    <row r="595" spans="1:3">
      <c r="A595" s="1" t="s">
        <v>1933</v>
      </c>
      <c r="B595" s="52" t="s">
        <v>1824</v>
      </c>
      <c r="C595" s="1" t="str">
        <f>INDEX(yesNo,healthDeclarations!L92)</f>
        <v>Select</v>
      </c>
    </row>
    <row r="596" spans="1:3">
      <c r="A596" s="1" t="s">
        <v>1933</v>
      </c>
      <c r="B596" s="52" t="s">
        <v>1825</v>
      </c>
      <c r="C596" s="1" t="str">
        <f>INDEX(Applicants,healthDeclarations!L93)</f>
        <v>Select</v>
      </c>
    </row>
    <row r="597" spans="1:3">
      <c r="A597" s="1" t="s">
        <v>1933</v>
      </c>
      <c r="B597" s="52" t="s">
        <v>1826</v>
      </c>
      <c r="C597" s="1" t="str">
        <f>INDEX(HealthCondition,healthDeclarations!L94)</f>
        <v>Select</v>
      </c>
    </row>
    <row r="598" spans="1:3">
      <c r="A598" s="1" t="s">
        <v>1933</v>
      </c>
      <c r="B598" s="52" t="s">
        <v>1827</v>
      </c>
      <c r="C598" s="1">
        <f>healthDeclarations!L96</f>
        <v>0</v>
      </c>
    </row>
    <row r="599" spans="1:3">
      <c r="A599" s="1" t="s">
        <v>1933</v>
      </c>
      <c r="B599" s="52" t="s">
        <v>1828</v>
      </c>
      <c r="C599" s="1" t="str">
        <f>INDEX(Applicants,healthDeclarations!L99)</f>
        <v>Select</v>
      </c>
    </row>
    <row r="600" spans="1:3">
      <c r="A600" s="1" t="s">
        <v>1933</v>
      </c>
      <c r="B600" s="52" t="s">
        <v>1829</v>
      </c>
      <c r="C600" s="1" t="str">
        <f>INDEX(HealthCondition,healthDeclarations!L100)</f>
        <v>Select</v>
      </c>
    </row>
    <row r="601" spans="1:3">
      <c r="A601" s="1" t="s">
        <v>1933</v>
      </c>
      <c r="B601" s="52" t="s">
        <v>1830</v>
      </c>
      <c r="C601" s="1">
        <f>healthDeclarations!L102</f>
        <v>0</v>
      </c>
    </row>
    <row r="602" spans="1:3">
      <c r="A602" s="1" t="s">
        <v>1933</v>
      </c>
      <c r="B602" s="52" t="s">
        <v>1831</v>
      </c>
      <c r="C602" s="1" t="str">
        <f>INDEX(yesNo,healthDeclarations!L105)</f>
        <v>Select</v>
      </c>
    </row>
    <row r="603" spans="1:3">
      <c r="A603" s="1" t="s">
        <v>1933</v>
      </c>
      <c r="B603" s="52" t="s">
        <v>1832</v>
      </c>
      <c r="C603" s="1" t="str">
        <f>INDEX(Applicants,healthDeclarations!L106)</f>
        <v>Select</v>
      </c>
    </row>
    <row r="604" spans="1:3">
      <c r="A604" s="1" t="s">
        <v>1933</v>
      </c>
      <c r="B604" s="52" t="s">
        <v>1833</v>
      </c>
      <c r="C604" s="1">
        <f>healthDeclarations!L108</f>
        <v>0</v>
      </c>
    </row>
    <row r="605" spans="1:3">
      <c r="A605" s="1" t="s">
        <v>1933</v>
      </c>
      <c r="B605" s="52" t="s">
        <v>1834</v>
      </c>
      <c r="C605" s="1" t="str">
        <f>INDEX(Applicants,healthDeclarations!L111)</f>
        <v>Select</v>
      </c>
    </row>
    <row r="606" spans="1:3">
      <c r="A606" s="1" t="s">
        <v>1933</v>
      </c>
      <c r="B606" s="52" t="s">
        <v>1835</v>
      </c>
      <c r="C606" s="1">
        <f>healthDeclarations!L113</f>
        <v>0</v>
      </c>
    </row>
    <row r="607" spans="1:3">
      <c r="A607" s="1" t="s">
        <v>1933</v>
      </c>
      <c r="B607" s="52" t="s">
        <v>1836</v>
      </c>
      <c r="C607" s="1" t="str">
        <f>INDEX(yesNo,healthDeclarations!L116)</f>
        <v>Select</v>
      </c>
    </row>
    <row r="608" spans="1:3">
      <c r="A608" s="1" t="s">
        <v>1933</v>
      </c>
      <c r="B608" s="52" t="s">
        <v>1837</v>
      </c>
      <c r="C608" s="1" t="str">
        <f>INDEX(Applicants,healthDeclarations!L117)</f>
        <v>Select</v>
      </c>
    </row>
    <row r="609" spans="1:3">
      <c r="A609" s="1" t="s">
        <v>1933</v>
      </c>
      <c r="B609" s="52" t="s">
        <v>1838</v>
      </c>
      <c r="C609" s="1">
        <f>healthDeclarations!L119</f>
        <v>0</v>
      </c>
    </row>
    <row r="610" spans="1:3">
      <c r="A610" s="1" t="s">
        <v>1933</v>
      </c>
      <c r="B610" s="52" t="s">
        <v>1839</v>
      </c>
      <c r="C610" s="1" t="str">
        <f>INDEX(Applicants,healthDeclarations!L122)</f>
        <v>Select</v>
      </c>
    </row>
    <row r="611" spans="1:3">
      <c r="A611" s="1" t="s">
        <v>1933</v>
      </c>
      <c r="B611" s="52" t="s">
        <v>1840</v>
      </c>
      <c r="C611" s="1">
        <f>healthDeclarations!L124</f>
        <v>0</v>
      </c>
    </row>
    <row r="612" spans="1:3">
      <c r="A612" s="1" t="s">
        <v>1934</v>
      </c>
      <c r="B612" s="52" t="s">
        <v>1841</v>
      </c>
      <c r="C612" s="1" t="str">
        <f>INDEX(yesNo,characterDeclarations!L6)</f>
        <v>Select</v>
      </c>
    </row>
    <row r="613" spans="1:3">
      <c r="A613" s="172" t="s">
        <v>1934</v>
      </c>
      <c r="B613" s="173" t="s">
        <v>2000</v>
      </c>
      <c r="C613" s="172" t="str">
        <f>INDEX(nameList,characterDeclarations!L8)</f>
        <v>Select</v>
      </c>
    </row>
    <row r="614" spans="1:3">
      <c r="A614" s="172" t="s">
        <v>1934</v>
      </c>
      <c r="B614" s="173" t="s">
        <v>2001</v>
      </c>
      <c r="C614" s="172" t="str">
        <f>INDEX(OffenceTypes,characterDeclarations!L9)</f>
        <v>Select</v>
      </c>
    </row>
    <row r="615" spans="1:3">
      <c r="A615" s="172" t="s">
        <v>1934</v>
      </c>
      <c r="B615" s="173" t="s">
        <v>2002</v>
      </c>
      <c r="C615" s="174">
        <f>characterDeclarations!E10</f>
        <v>0</v>
      </c>
    </row>
    <row r="616" spans="1:3">
      <c r="A616" s="1" t="s">
        <v>1934</v>
      </c>
      <c r="B616" s="52" t="s">
        <v>1842</v>
      </c>
      <c r="C616" s="1">
        <f>characterDeclarations!L12</f>
        <v>0</v>
      </c>
    </row>
    <row r="617" spans="1:3">
      <c r="A617" s="1" t="s">
        <v>1934</v>
      </c>
      <c r="B617" s="52" t="s">
        <v>1843</v>
      </c>
      <c r="C617" s="1" t="str">
        <f>INDEX(yesNo,characterDeclarations!L13)</f>
        <v>Select</v>
      </c>
    </row>
    <row r="618" spans="1:3">
      <c r="A618" s="172" t="s">
        <v>1934</v>
      </c>
      <c r="B618" s="173" t="s">
        <v>2021</v>
      </c>
      <c r="C618" s="172" t="str">
        <f>INDEX(nameList,characterDeclarations!L15)</f>
        <v>Select</v>
      </c>
    </row>
    <row r="619" spans="1:3">
      <c r="A619" s="172" t="s">
        <v>1934</v>
      </c>
      <c r="B619" s="173" t="s">
        <v>2022</v>
      </c>
      <c r="C619" s="172" t="str">
        <f>INDEX(OffenceTypes,characterDeclarations!L16)</f>
        <v>Select</v>
      </c>
    </row>
    <row r="620" spans="1:3">
      <c r="A620" s="172" t="s">
        <v>1934</v>
      </c>
      <c r="B620" s="173" t="s">
        <v>2023</v>
      </c>
      <c r="C620" s="174">
        <f>characterDeclarations!E17</f>
        <v>0</v>
      </c>
    </row>
    <row r="621" spans="1:3">
      <c r="A621" s="1" t="s">
        <v>1934</v>
      </c>
      <c r="B621" s="52" t="s">
        <v>1844</v>
      </c>
      <c r="C621" s="1">
        <f>characterDeclarations!L19</f>
        <v>0</v>
      </c>
    </row>
    <row r="622" spans="1:3">
      <c r="A622" s="172" t="s">
        <v>1934</v>
      </c>
      <c r="B622" s="173" t="s">
        <v>2032</v>
      </c>
      <c r="C622" s="172" t="str">
        <f>INDEX(yesNo,characterDeclarations!L20)</f>
        <v>Select</v>
      </c>
    </row>
    <row r="623" spans="1:3">
      <c r="A623" s="172" t="s">
        <v>1934</v>
      </c>
      <c r="B623" s="173" t="s">
        <v>2029</v>
      </c>
      <c r="C623" s="172" t="str">
        <f>INDEX(nameList,characterDeclarations!L22)</f>
        <v>Select</v>
      </c>
    </row>
    <row r="624" spans="1:3">
      <c r="A624" s="172" t="s">
        <v>1934</v>
      </c>
      <c r="B624" s="173" t="s">
        <v>2030</v>
      </c>
      <c r="C624" s="174">
        <f>characterDeclarations!E23</f>
        <v>0</v>
      </c>
    </row>
    <row r="625" spans="1:3">
      <c r="A625" s="172" t="s">
        <v>1934</v>
      </c>
      <c r="B625" s="173" t="s">
        <v>2031</v>
      </c>
      <c r="C625" s="172">
        <f>characterDeclarations!D25</f>
        <v>0</v>
      </c>
    </row>
    <row r="626" spans="1:3">
      <c r="A626" s="1" t="s">
        <v>1934</v>
      </c>
      <c r="B626" s="52" t="s">
        <v>1845</v>
      </c>
      <c r="C626" s="1" t="str">
        <f>INDEX(yesNo,characterDeclarations!L26)</f>
        <v>Select</v>
      </c>
    </row>
    <row r="627" spans="1:3">
      <c r="A627" s="1" t="s">
        <v>1934</v>
      </c>
      <c r="B627" s="52" t="s">
        <v>1846</v>
      </c>
      <c r="C627" s="1">
        <f>characterDeclarations!L28</f>
        <v>0</v>
      </c>
    </row>
    <row r="628" spans="1:3">
      <c r="A628" s="1" t="s">
        <v>1934</v>
      </c>
      <c r="B628" s="52" t="s">
        <v>1847</v>
      </c>
      <c r="C628" s="1" t="str">
        <f>INDEX(yesNo,characterDeclarations!L29)</f>
        <v>Select</v>
      </c>
    </row>
    <row r="629" spans="1:3">
      <c r="A629" s="1" t="s">
        <v>1934</v>
      </c>
      <c r="B629" s="52" t="s">
        <v>1848</v>
      </c>
      <c r="C629" s="1">
        <f>characterDeclarations!L31</f>
        <v>0</v>
      </c>
    </row>
    <row r="630" spans="1:3">
      <c r="A630" s="1" t="s">
        <v>1934</v>
      </c>
      <c r="B630" s="52" t="s">
        <v>1849</v>
      </c>
      <c r="C630" s="1" t="str">
        <f>INDEX(yesNo,characterDeclarations!L32)</f>
        <v>Select</v>
      </c>
    </row>
    <row r="631" spans="1:3">
      <c r="A631" s="1" t="s">
        <v>1934</v>
      </c>
      <c r="B631" s="52" t="s">
        <v>1850</v>
      </c>
      <c r="C631" s="1">
        <f>characterDeclarations!L34</f>
        <v>0</v>
      </c>
    </row>
    <row r="632" spans="1:3">
      <c r="A632" s="1" t="s">
        <v>1934</v>
      </c>
      <c r="B632" s="52" t="s">
        <v>1851</v>
      </c>
      <c r="C632" s="1" t="str">
        <f>INDEX(yesNo,characterDeclarations!L35)</f>
        <v>Select</v>
      </c>
    </row>
    <row r="633" spans="1:3">
      <c r="A633" s="1" t="s">
        <v>1934</v>
      </c>
      <c r="B633" s="52" t="s">
        <v>1852</v>
      </c>
      <c r="C633" s="1">
        <f>characterDeclarations!L37</f>
        <v>0</v>
      </c>
    </row>
    <row r="634" spans="1:3">
      <c r="A634" s="1" t="s">
        <v>1934</v>
      </c>
      <c r="B634" s="52" t="s">
        <v>1853</v>
      </c>
      <c r="C634" s="1" t="str">
        <f>INDEX(yesNo,characterDeclarations!L38)</f>
        <v>Select</v>
      </c>
    </row>
    <row r="635" spans="1:3">
      <c r="A635" s="1" t="s">
        <v>1934</v>
      </c>
      <c r="B635" s="52" t="s">
        <v>1854</v>
      </c>
      <c r="C635" s="1">
        <f>characterDeclarations!L40</f>
        <v>0</v>
      </c>
    </row>
    <row r="636" spans="1:3">
      <c r="A636" s="1" t="s">
        <v>1934</v>
      </c>
      <c r="B636" s="52" t="s">
        <v>1855</v>
      </c>
      <c r="C636" s="1" t="str">
        <f>INDEX(yesNo,characterDeclarations!L41)</f>
        <v>Select</v>
      </c>
    </row>
    <row r="637" spans="1:3">
      <c r="A637" s="1" t="s">
        <v>1934</v>
      </c>
      <c r="B637" s="52" t="s">
        <v>1856</v>
      </c>
      <c r="C637" s="1">
        <f>characterDeclarations!L43</f>
        <v>0</v>
      </c>
    </row>
    <row r="638" spans="1:3">
      <c r="A638" s="1" t="s">
        <v>1934</v>
      </c>
      <c r="B638" s="52" t="s">
        <v>1857</v>
      </c>
      <c r="C638" s="1" t="str">
        <f>INDEX(yesNo,characterDeclarations!L44)</f>
        <v>Select</v>
      </c>
    </row>
    <row r="639" spans="1:3">
      <c r="A639" s="1" t="s">
        <v>1934</v>
      </c>
      <c r="B639" s="52" t="s">
        <v>1858</v>
      </c>
      <c r="C639" s="1">
        <f>characterDeclarations!L46</f>
        <v>0</v>
      </c>
    </row>
    <row r="640" spans="1:3">
      <c r="A640" s="1" t="s">
        <v>1934</v>
      </c>
      <c r="B640" s="52" t="s">
        <v>1859</v>
      </c>
      <c r="C640" s="1" t="str">
        <f>INDEX(yesNo,characterDeclarations!L47)</f>
        <v>Select</v>
      </c>
    </row>
    <row r="641" spans="1:3">
      <c r="A641" s="1" t="s">
        <v>1934</v>
      </c>
      <c r="B641" s="52" t="s">
        <v>1860</v>
      </c>
      <c r="C641" s="1">
        <f>characterDeclarations!L49</f>
        <v>0</v>
      </c>
    </row>
    <row r="642" spans="1:3">
      <c r="A642" s="1" t="s">
        <v>1934</v>
      </c>
      <c r="B642" s="52" t="s">
        <v>1861</v>
      </c>
      <c r="C642" s="1" t="str">
        <f>INDEX(yesNo,characterDeclarations!L50)</f>
        <v>Select</v>
      </c>
    </row>
    <row r="643" spans="1:3">
      <c r="A643" s="1" t="s">
        <v>1934</v>
      </c>
      <c r="B643" s="52" t="s">
        <v>1862</v>
      </c>
      <c r="C643" s="1">
        <f>characterDeclarations!L52</f>
        <v>0</v>
      </c>
    </row>
    <row r="644" spans="1:3">
      <c r="A644" s="1" t="s">
        <v>1934</v>
      </c>
      <c r="B644" s="52" t="s">
        <v>1863</v>
      </c>
      <c r="C644" s="1" t="str">
        <f>INDEX(yesNo,characterDeclarations!L53)</f>
        <v>Select</v>
      </c>
    </row>
    <row r="645" spans="1:3">
      <c r="A645" s="1" t="s">
        <v>1934</v>
      </c>
      <c r="B645" s="52" t="s">
        <v>1864</v>
      </c>
      <c r="C645" s="1" t="str">
        <f>INDEX(Applicants,characterDeclarations!L54)</f>
        <v>Select</v>
      </c>
    </row>
    <row r="646" spans="1:3">
      <c r="A646" s="1" t="s">
        <v>1934</v>
      </c>
      <c r="B646" s="52" t="s">
        <v>1865</v>
      </c>
      <c r="C646" s="1" t="str">
        <f>INDEX(CountryOfIssue,characterDeclarations!L55)</f>
        <v>Select</v>
      </c>
    </row>
    <row r="647" spans="1:3">
      <c r="A647" s="1" t="s">
        <v>1934</v>
      </c>
      <c r="B647" s="52" t="s">
        <v>1866</v>
      </c>
      <c r="C647" s="95">
        <f>characterDeclarations!L56</f>
        <v>0</v>
      </c>
    </row>
    <row r="648" spans="1:3">
      <c r="A648" s="1" t="s">
        <v>1934</v>
      </c>
      <c r="B648" s="52" t="s">
        <v>1867</v>
      </c>
      <c r="C648" s="95">
        <f>characterDeclarations!L57</f>
        <v>0</v>
      </c>
    </row>
    <row r="649" spans="1:3">
      <c r="A649" s="1" t="s">
        <v>1934</v>
      </c>
      <c r="B649" s="52" t="s">
        <v>1868</v>
      </c>
      <c r="C649" s="1">
        <f>characterDeclarations!L59</f>
        <v>0</v>
      </c>
    </row>
    <row r="650" spans="1:3">
      <c r="A650" s="1" t="s">
        <v>1934</v>
      </c>
      <c r="B650" s="52" t="s">
        <v>1869</v>
      </c>
      <c r="C650" s="1" t="str">
        <f>INDEX(yesNo,characterDeclarations!L60)</f>
        <v>Select</v>
      </c>
    </row>
    <row r="651" spans="1:3">
      <c r="A651" s="1" t="s">
        <v>1934</v>
      </c>
      <c r="B651" s="52" t="s">
        <v>1870</v>
      </c>
      <c r="C651" s="1" t="str">
        <f>INDEX(Applicants,characterDeclarations!L61)</f>
        <v>Select</v>
      </c>
    </row>
    <row r="652" spans="1:3">
      <c r="A652" s="1" t="s">
        <v>1934</v>
      </c>
      <c r="B652" s="52" t="s">
        <v>1871</v>
      </c>
      <c r="C652" s="1" t="str">
        <f>INDEX(CountryOfIssue,characterDeclarations!L62)</f>
        <v>Select</v>
      </c>
    </row>
    <row r="653" spans="1:3">
      <c r="A653" s="1" t="s">
        <v>1934</v>
      </c>
      <c r="B653" s="52" t="s">
        <v>1872</v>
      </c>
      <c r="C653" s="95">
        <f>characterDeclarations!L63</f>
        <v>0</v>
      </c>
    </row>
    <row r="654" spans="1:3">
      <c r="A654" s="1" t="s">
        <v>1934</v>
      </c>
      <c r="B654" s="52" t="s">
        <v>1873</v>
      </c>
      <c r="C654" s="95">
        <f>characterDeclarations!L64</f>
        <v>0</v>
      </c>
    </row>
    <row r="655" spans="1:3">
      <c r="A655" s="1" t="s">
        <v>1934</v>
      </c>
      <c r="B655" s="52" t="s">
        <v>1874</v>
      </c>
      <c r="C655" s="1">
        <f>characterDeclarations!L66</f>
        <v>0</v>
      </c>
    </row>
    <row r="656" spans="1:3">
      <c r="A656" s="1" t="s">
        <v>1934</v>
      </c>
      <c r="B656" s="52" t="s">
        <v>1875</v>
      </c>
      <c r="C656" s="1" t="str">
        <f>INDEX(yesNo,characterDeclarations!L67)</f>
        <v>Select</v>
      </c>
    </row>
    <row r="657" spans="1:3">
      <c r="A657" s="1" t="s">
        <v>1934</v>
      </c>
      <c r="B657" s="52" t="s">
        <v>1876</v>
      </c>
      <c r="C657" s="1">
        <f>characterDeclarations!L69</f>
        <v>0</v>
      </c>
    </row>
    <row r="658" spans="1:3">
      <c r="A658" s="1" t="s">
        <v>1934</v>
      </c>
      <c r="B658" s="52" t="s">
        <v>1877</v>
      </c>
      <c r="C658" s="1" t="str">
        <f>INDEX(yesNo,characterDeclarations!L70)</f>
        <v>Select</v>
      </c>
    </row>
    <row r="659" spans="1:3">
      <c r="A659" s="1" t="s">
        <v>1934</v>
      </c>
      <c r="B659" s="52" t="s">
        <v>1878</v>
      </c>
      <c r="C659" s="1">
        <f>characterDeclarations!L72</f>
        <v>0</v>
      </c>
    </row>
    <row r="660" spans="1:3">
      <c r="A660" s="1" t="s">
        <v>1934</v>
      </c>
      <c r="B660" s="52" t="s">
        <v>1879</v>
      </c>
      <c r="C660" s="1" t="str">
        <f>INDEX(yesNo,characterDeclarations!L73)</f>
        <v>Select</v>
      </c>
    </row>
    <row r="661" spans="1:3">
      <c r="A661" s="1" t="s">
        <v>1934</v>
      </c>
      <c r="B661" s="52" t="s">
        <v>1880</v>
      </c>
      <c r="C661" s="1">
        <f>characterDeclarations!L75</f>
        <v>0</v>
      </c>
    </row>
    <row r="662" spans="1:3">
      <c r="A662" s="1" t="s">
        <v>1934</v>
      </c>
      <c r="B662" s="52" t="s">
        <v>1881</v>
      </c>
      <c r="C662" s="1" t="str">
        <f>INDEX(yesNo,characterDeclarations!L76)</f>
        <v>Select</v>
      </c>
    </row>
    <row r="663" spans="1:3">
      <c r="A663" s="1" t="s">
        <v>1934</v>
      </c>
      <c r="B663" s="52" t="s">
        <v>1882</v>
      </c>
      <c r="C663" s="1">
        <f>characterDeclarations!L78</f>
        <v>0</v>
      </c>
    </row>
    <row r="664" spans="1:3">
      <c r="A664" s="1" t="s">
        <v>1935</v>
      </c>
      <c r="B664" s="52" t="s">
        <v>1883</v>
      </c>
      <c r="C664" s="1" t="str">
        <f>INDEX(yesNo,declarations!L8)</f>
        <v>Select</v>
      </c>
    </row>
    <row r="665" spans="1:3">
      <c r="A665" s="1" t="s">
        <v>1935</v>
      </c>
      <c r="B665" s="52" t="s">
        <v>1884</v>
      </c>
      <c r="C665" s="1" t="str">
        <f>INDEX(yesNo,declarations!L9)</f>
        <v>Select</v>
      </c>
    </row>
    <row r="666" spans="1:3">
      <c r="A666" s="1" t="s">
        <v>1935</v>
      </c>
      <c r="B666" s="52" t="s">
        <v>1885</v>
      </c>
      <c r="C666" s="1" t="str">
        <f>INDEX(yesNo,declarations!L10)</f>
        <v>Select</v>
      </c>
    </row>
    <row r="667" spans="1:3">
      <c r="A667" s="1" t="s">
        <v>1935</v>
      </c>
      <c r="B667" s="52" t="s">
        <v>1886</v>
      </c>
      <c r="C667" s="1" t="str">
        <f>INDEX(yesNo,declarations!L11)</f>
        <v>Select</v>
      </c>
    </row>
    <row r="668" spans="1:3">
      <c r="A668" s="1" t="s">
        <v>1935</v>
      </c>
      <c r="B668" s="52" t="s">
        <v>1887</v>
      </c>
      <c r="C668" s="1" t="str">
        <f>INDEX(yesNo,declarations!L12)</f>
        <v>Select</v>
      </c>
    </row>
    <row r="669" spans="1:3">
      <c r="A669" s="1" t="s">
        <v>1935</v>
      </c>
      <c r="B669" s="52" t="s">
        <v>1888</v>
      </c>
      <c r="C669" s="1" t="str">
        <f>INDEX(yesNo,declarations!L13)</f>
        <v>Select</v>
      </c>
    </row>
    <row r="670" spans="1:3">
      <c r="A670" s="1" t="s">
        <v>1935</v>
      </c>
      <c r="B670" s="52" t="s">
        <v>1889</v>
      </c>
      <c r="C670" s="1" t="str">
        <f>INDEX(yesNo,declarations!L14)</f>
        <v>Select</v>
      </c>
    </row>
    <row r="671" spans="1:3">
      <c r="A671" s="1" t="s">
        <v>1935</v>
      </c>
      <c r="B671" s="52" t="s">
        <v>1890</v>
      </c>
      <c r="C671" s="1" t="str">
        <f>INDEX(yesNo,declarations!L15)</f>
        <v>Select</v>
      </c>
    </row>
    <row r="672" spans="1:3">
      <c r="A672" s="1" t="s">
        <v>1935</v>
      </c>
      <c r="B672" s="52" t="s">
        <v>1891</v>
      </c>
      <c r="C672" s="1" t="str">
        <f>INDEX(yesNo,declarations!L16)</f>
        <v>Select</v>
      </c>
    </row>
    <row r="673" spans="1:3">
      <c r="A673" s="1" t="s">
        <v>1935</v>
      </c>
      <c r="B673" s="52" t="s">
        <v>1892</v>
      </c>
      <c r="C673" s="1" t="str">
        <f>INDEX(yesNo,declarations!L17)</f>
        <v>Select</v>
      </c>
    </row>
    <row r="674" spans="1:3">
      <c r="A674" s="1" t="s">
        <v>1935</v>
      </c>
      <c r="B674" s="52" t="s">
        <v>1893</v>
      </c>
      <c r="C674" s="1" t="str">
        <f>INDEX(yesNo,declarations!L18)</f>
        <v>Select</v>
      </c>
    </row>
    <row r="675" spans="1:3">
      <c r="A675" s="1" t="s">
        <v>1935</v>
      </c>
      <c r="B675" s="52" t="s">
        <v>1894</v>
      </c>
      <c r="C675" s="1" t="str">
        <f>INDEX(yesNo,declarations!L19)</f>
        <v>Select</v>
      </c>
    </row>
    <row r="676" spans="1:3">
      <c r="A676" s="1" t="s">
        <v>1935</v>
      </c>
      <c r="B676" s="52" t="s">
        <v>1895</v>
      </c>
      <c r="C676" s="1" t="str">
        <f>INDEX(yesNo,declarations!L20)</f>
        <v>Select</v>
      </c>
    </row>
    <row r="677" spans="1:3">
      <c r="A677" s="1" t="s">
        <v>1935</v>
      </c>
      <c r="B677" s="52" t="s">
        <v>1896</v>
      </c>
      <c r="C677" s="1" t="str">
        <f>INDEX(yesNo,declarations!L21)</f>
        <v>Select</v>
      </c>
    </row>
    <row r="678" spans="1:3">
      <c r="A678" s="1" t="s">
        <v>1935</v>
      </c>
      <c r="B678" s="52" t="s">
        <v>1897</v>
      </c>
      <c r="C678" s="1" t="str">
        <f>INDEX(yesNo,declarations!L22)</f>
        <v>Select</v>
      </c>
    </row>
    <row r="679" spans="1:3">
      <c r="A679" s="172" t="s">
        <v>1935</v>
      </c>
      <c r="B679" s="173" t="s">
        <v>2035</v>
      </c>
      <c r="C679" s="172" t="str">
        <f>INDEX(yesNo,declarations!L23)</f>
        <v>Select</v>
      </c>
    </row>
    <row r="680" spans="1:3">
      <c r="A680" s="1" t="s">
        <v>1935</v>
      </c>
      <c r="B680" s="52" t="s">
        <v>1898</v>
      </c>
      <c r="C680" s="1" t="str">
        <f>INDEX(yesNo,declarations!L24)</f>
        <v>Select</v>
      </c>
    </row>
    <row r="681" spans="1:3">
      <c r="A681" s="1" t="s">
        <v>1935</v>
      </c>
      <c r="B681" s="52" t="s">
        <v>1899</v>
      </c>
      <c r="C681" s="1" t="str">
        <f>INDEX(yesNo,declarations!L25)</f>
        <v>Select</v>
      </c>
    </row>
    <row r="682" spans="1:3">
      <c r="A682" s="1" t="s">
        <v>1936</v>
      </c>
      <c r="B682" s="52" t="s">
        <v>1900</v>
      </c>
      <c r="C682" s="1">
        <f>additionalInfo!D7</f>
        <v>0</v>
      </c>
    </row>
  </sheetData>
  <sheetProtection algorithmName="SHA-512" hashValue="HNNaP0fGbv0ZMuml7rgtNpSbyIul25j/MbRWIsGLlnCy1oo1RQMSlYlxgK52MVvvP1uUOXXk6NA2je+V9eZFaA==" saltValue="EBzDnPZR/DlqHtKLk6qfgA==" spinCount="100000" sheet="1" objects="1" scenarios="1"/>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9"/>
  <dimension ref="B2:O421"/>
  <sheetViews>
    <sheetView showGridLines="0" showRowColHeaders="0" workbookViewId="0">
      <selection activeCell="T3" sqref="T3"/>
    </sheetView>
  </sheetViews>
  <sheetFormatPr defaultColWidth="9.33203125" defaultRowHeight="12.75"/>
  <cols>
    <col min="1" max="1" width="3" style="1" customWidth="1"/>
    <col min="2" max="2" width="49.33203125" style="1" customWidth="1"/>
    <col min="3" max="3" width="2.33203125" style="1" customWidth="1"/>
    <col min="4" max="4" width="70.1640625" style="1" customWidth="1"/>
    <col min="5" max="5" width="3.33203125" style="1" customWidth="1"/>
    <col min="6" max="6" width="20.6640625" style="1" customWidth="1"/>
    <col min="7" max="7" width="3.1640625" style="1" customWidth="1"/>
    <col min="8" max="8" width="27.83203125" style="1" customWidth="1"/>
    <col min="9" max="9" width="3.1640625" style="1" customWidth="1"/>
    <col min="10" max="10" width="76.33203125" style="1" customWidth="1"/>
    <col min="11" max="11" width="3.1640625" style="1" customWidth="1"/>
    <col min="12" max="12" width="59.6640625" style="1" customWidth="1"/>
    <col min="13" max="13" width="4.33203125" style="1" customWidth="1"/>
    <col min="14" max="14" width="37.33203125" style="1" bestFit="1" customWidth="1"/>
    <col min="15" max="15" width="5.33203125" style="1" customWidth="1"/>
    <col min="16" max="16" width="69.33203125" style="1" customWidth="1"/>
    <col min="17" max="16384" width="9.33203125" style="1"/>
  </cols>
  <sheetData>
    <row r="2" spans="2:15">
      <c r="B2" s="1" t="s">
        <v>477</v>
      </c>
      <c r="D2" s="1" t="s">
        <v>735</v>
      </c>
      <c r="F2" s="1" t="s">
        <v>83</v>
      </c>
      <c r="H2" s="1" t="s">
        <v>85</v>
      </c>
      <c r="J2" s="1" t="s">
        <v>234</v>
      </c>
      <c r="L2" s="1" t="s">
        <v>779</v>
      </c>
      <c r="N2" s="1" t="s">
        <v>1949</v>
      </c>
    </row>
    <row r="3" spans="2:15">
      <c r="D3" s="1" t="s">
        <v>1911</v>
      </c>
      <c r="F3" s="1" t="s">
        <v>1911</v>
      </c>
      <c r="H3" s="1" t="s">
        <v>1911</v>
      </c>
      <c r="J3" s="1" t="s">
        <v>1911</v>
      </c>
      <c r="L3" s="1" t="s">
        <v>1911</v>
      </c>
      <c r="N3" s="1" t="s">
        <v>1911</v>
      </c>
    </row>
    <row r="4" spans="2:15">
      <c r="B4" s="1" t="s">
        <v>1911</v>
      </c>
      <c r="D4" s="42" t="s">
        <v>241</v>
      </c>
      <c r="F4" s="42" t="s">
        <v>736</v>
      </c>
      <c r="H4" s="42" t="s">
        <v>743</v>
      </c>
      <c r="J4" s="42" t="s">
        <v>235</v>
      </c>
      <c r="L4" s="42" t="s">
        <v>780</v>
      </c>
      <c r="N4" s="42" t="str">
        <f>TRIM(applicantDetails!E8)&amp;", "&amp;TRIM(applicantDetails!E9)</f>
        <v xml:space="preserve">, </v>
      </c>
    </row>
    <row r="5" spans="2:15">
      <c r="B5" s="42" t="s">
        <v>478</v>
      </c>
      <c r="D5" s="42" t="s">
        <v>242</v>
      </c>
      <c r="F5" s="42" t="s">
        <v>737</v>
      </c>
      <c r="H5" s="42" t="s">
        <v>744</v>
      </c>
      <c r="J5" s="42" t="s">
        <v>236</v>
      </c>
      <c r="L5" s="42" t="s">
        <v>781</v>
      </c>
      <c r="N5" s="42" t="str">
        <f>TRIM(applicantDetails!E14)&amp;", "&amp;TRIM(applicantDetails!E15)</f>
        <v xml:space="preserve">, </v>
      </c>
      <c r="O5" s="1">
        <f>IF(N5=" ",1*O6,0)</f>
        <v>0</v>
      </c>
    </row>
    <row r="6" spans="2:15">
      <c r="B6" s="42" t="s">
        <v>479</v>
      </c>
      <c r="D6" s="42" t="s">
        <v>243</v>
      </c>
      <c r="F6" s="42" t="s">
        <v>738</v>
      </c>
      <c r="H6" s="42" t="s">
        <v>745</v>
      </c>
      <c r="J6" s="42" t="s">
        <v>237</v>
      </c>
      <c r="L6" s="42" t="s">
        <v>782</v>
      </c>
      <c r="N6" s="42" t="str">
        <f>TRIM(applicantDetails!E23)&amp;", "&amp;TRIM(applicantDetails!E24)</f>
        <v xml:space="preserve">, </v>
      </c>
      <c r="O6" s="1">
        <f>IF(N6=" ",1,0)</f>
        <v>0</v>
      </c>
    </row>
    <row r="7" spans="2:15">
      <c r="B7" s="42" t="s">
        <v>480</v>
      </c>
      <c r="D7" s="42" t="s">
        <v>244</v>
      </c>
      <c r="F7" s="42" t="s">
        <v>739</v>
      </c>
      <c r="H7" s="42" t="s">
        <v>746</v>
      </c>
      <c r="J7" s="42" t="s">
        <v>238</v>
      </c>
      <c r="L7" s="42" t="s">
        <v>783</v>
      </c>
      <c r="N7" s="42" t="str">
        <f>TRIM(applicantDetails!E27)&amp;", "&amp;TRIM(applicantDetails!E28)</f>
        <v xml:space="preserve">, </v>
      </c>
      <c r="O7" s="1">
        <f>IF(N7=" ",1,0)</f>
        <v>0</v>
      </c>
    </row>
    <row r="8" spans="2:15">
      <c r="B8" s="42" t="s">
        <v>481</v>
      </c>
      <c r="D8" s="42" t="s">
        <v>245</v>
      </c>
      <c r="F8" s="42" t="s">
        <v>740</v>
      </c>
      <c r="H8" s="42" t="s">
        <v>747</v>
      </c>
      <c r="J8" s="42" t="s">
        <v>233</v>
      </c>
      <c r="L8" s="42" t="s">
        <v>784</v>
      </c>
      <c r="N8" s="42" t="str">
        <f>TRIM(applicantDetails!E31)&amp;", "&amp;TRIM(applicantDetails!E32)</f>
        <v xml:space="preserve">, </v>
      </c>
      <c r="O8" s="1">
        <f>IF(N8=" ",1,0)</f>
        <v>0</v>
      </c>
    </row>
    <row r="9" spans="2:15">
      <c r="B9" s="42" t="s">
        <v>482</v>
      </c>
      <c r="D9" s="42" t="s">
        <v>246</v>
      </c>
      <c r="F9" s="42" t="s">
        <v>741</v>
      </c>
      <c r="H9" s="42" t="s">
        <v>748</v>
      </c>
      <c r="L9" s="42" t="s">
        <v>785</v>
      </c>
      <c r="N9" s="42" t="str">
        <f>TRIM(applicantDetails!E35)&amp;", "&amp;TRIM(applicantDetails!E36)</f>
        <v xml:space="preserve">, </v>
      </c>
      <c r="O9" s="1">
        <f>IF(N9=" ",1,0)</f>
        <v>0</v>
      </c>
    </row>
    <row r="10" spans="2:15">
      <c r="B10" s="42" t="s">
        <v>483</v>
      </c>
      <c r="D10" s="42" t="s">
        <v>247</v>
      </c>
      <c r="F10" s="42" t="s">
        <v>742</v>
      </c>
      <c r="J10" s="1" t="s">
        <v>760</v>
      </c>
      <c r="L10" s="42" t="s">
        <v>786</v>
      </c>
      <c r="N10" s="1">
        <f>5-SUM(O5:O9)</f>
        <v>5</v>
      </c>
    </row>
    <row r="11" spans="2:15">
      <c r="B11" s="42" t="s">
        <v>484</v>
      </c>
      <c r="D11" s="42" t="s">
        <v>248</v>
      </c>
      <c r="H11" s="1" t="s">
        <v>753</v>
      </c>
      <c r="J11" s="1" t="s">
        <v>1911</v>
      </c>
      <c r="L11" s="42" t="s">
        <v>787</v>
      </c>
      <c r="N11" s="1" t="str">
        <f>"Constants!N4:N"&amp;4+N10</f>
        <v>Constants!N4:N9</v>
      </c>
    </row>
    <row r="12" spans="2:15">
      <c r="B12" s="42" t="s">
        <v>485</v>
      </c>
      <c r="D12" s="42" t="s">
        <v>249</v>
      </c>
      <c r="F12" s="1" t="s">
        <v>80</v>
      </c>
      <c r="H12" s="1" t="s">
        <v>1911</v>
      </c>
      <c r="J12" s="42" t="s">
        <v>761</v>
      </c>
      <c r="L12" s="42" t="s">
        <v>788</v>
      </c>
    </row>
    <row r="13" spans="2:15">
      <c r="B13" s="42" t="s">
        <v>486</v>
      </c>
      <c r="D13" s="42" t="s">
        <v>250</v>
      </c>
      <c r="F13" s="1" t="s">
        <v>1911</v>
      </c>
      <c r="H13" s="42" t="s">
        <v>754</v>
      </c>
      <c r="J13" s="42" t="s">
        <v>762</v>
      </c>
      <c r="L13" s="42" t="s">
        <v>789</v>
      </c>
      <c r="N13" s="1" t="s">
        <v>2003</v>
      </c>
    </row>
    <row r="14" spans="2:15">
      <c r="B14" s="42" t="s">
        <v>487</v>
      </c>
      <c r="D14" s="42" t="s">
        <v>251</v>
      </c>
      <c r="F14" s="42" t="s">
        <v>81</v>
      </c>
      <c r="H14" s="42" t="s">
        <v>755</v>
      </c>
      <c r="J14" s="42" t="s">
        <v>763</v>
      </c>
      <c r="L14" s="42" t="s">
        <v>790</v>
      </c>
      <c r="N14" s="1" t="s">
        <v>1911</v>
      </c>
    </row>
    <row r="15" spans="2:15">
      <c r="B15" s="42" t="s">
        <v>488</v>
      </c>
      <c r="D15" s="42" t="s">
        <v>252</v>
      </c>
      <c r="F15" s="42" t="s">
        <v>82</v>
      </c>
      <c r="H15" s="42" t="s">
        <v>756</v>
      </c>
      <c r="J15" s="42" t="s">
        <v>764</v>
      </c>
      <c r="L15" s="42" t="s">
        <v>791</v>
      </c>
      <c r="N15" s="42" t="s">
        <v>2004</v>
      </c>
    </row>
    <row r="16" spans="2:15">
      <c r="B16" s="42" t="s">
        <v>489</v>
      </c>
      <c r="D16" s="42" t="s">
        <v>253</v>
      </c>
      <c r="H16" s="42" t="s">
        <v>757</v>
      </c>
      <c r="J16" s="42" t="s">
        <v>765</v>
      </c>
      <c r="L16" s="42" t="s">
        <v>792</v>
      </c>
      <c r="N16" s="42" t="s">
        <v>2005</v>
      </c>
    </row>
    <row r="17" spans="2:14">
      <c r="B17" s="42" t="s">
        <v>490</v>
      </c>
      <c r="D17" s="42" t="s">
        <v>254</v>
      </c>
      <c r="F17" s="1" t="s">
        <v>86</v>
      </c>
      <c r="J17" s="42" t="s">
        <v>766</v>
      </c>
      <c r="L17" s="42" t="s">
        <v>793</v>
      </c>
      <c r="N17" s="42" t="s">
        <v>2006</v>
      </c>
    </row>
    <row r="18" spans="2:14">
      <c r="B18" s="42" t="s">
        <v>491</v>
      </c>
      <c r="D18" s="42" t="s">
        <v>255</v>
      </c>
      <c r="F18" s="1" t="s">
        <v>1911</v>
      </c>
      <c r="H18" s="1" t="s">
        <v>84</v>
      </c>
      <c r="J18" s="42" t="s">
        <v>767</v>
      </c>
      <c r="L18" s="42" t="s">
        <v>794</v>
      </c>
      <c r="N18" s="42" t="s">
        <v>2007</v>
      </c>
    </row>
    <row r="19" spans="2:14">
      <c r="B19" s="42" t="s">
        <v>492</v>
      </c>
      <c r="D19" s="42" t="s">
        <v>256</v>
      </c>
      <c r="F19" s="42" t="s">
        <v>239</v>
      </c>
      <c r="H19" s="1" t="s">
        <v>1911</v>
      </c>
      <c r="J19" s="42" t="s">
        <v>768</v>
      </c>
      <c r="L19" s="42" t="s">
        <v>795</v>
      </c>
      <c r="N19" s="42" t="s">
        <v>2008</v>
      </c>
    </row>
    <row r="20" spans="2:14">
      <c r="B20" s="42" t="s">
        <v>493</v>
      </c>
      <c r="D20" s="42" t="s">
        <v>257</v>
      </c>
      <c r="F20" s="42" t="s">
        <v>240</v>
      </c>
      <c r="H20" s="42" t="s">
        <v>758</v>
      </c>
      <c r="J20" s="42" t="s">
        <v>769</v>
      </c>
      <c r="L20" s="42" t="s">
        <v>796</v>
      </c>
      <c r="N20" s="42" t="s">
        <v>2009</v>
      </c>
    </row>
    <row r="21" spans="2:14">
      <c r="B21" s="42" t="s">
        <v>494</v>
      </c>
      <c r="D21" s="42" t="s">
        <v>258</v>
      </c>
      <c r="F21" s="42" t="s">
        <v>233</v>
      </c>
      <c r="H21" s="42" t="s">
        <v>759</v>
      </c>
      <c r="J21" s="42" t="s">
        <v>770</v>
      </c>
      <c r="L21" s="42" t="s">
        <v>797</v>
      </c>
      <c r="N21" s="42" t="s">
        <v>2010</v>
      </c>
    </row>
    <row r="22" spans="2:14">
      <c r="B22" s="42" t="s">
        <v>495</v>
      </c>
      <c r="D22" s="42" t="s">
        <v>259</v>
      </c>
      <c r="H22" s="42" t="s">
        <v>233</v>
      </c>
      <c r="J22" s="42" t="s">
        <v>771</v>
      </c>
      <c r="L22" s="42" t="s">
        <v>798</v>
      </c>
      <c r="N22" s="42" t="s">
        <v>2011</v>
      </c>
    </row>
    <row r="23" spans="2:14">
      <c r="B23" s="42" t="s">
        <v>496</v>
      </c>
      <c r="D23" s="42" t="s">
        <v>260</v>
      </c>
      <c r="F23" s="1" t="s">
        <v>87</v>
      </c>
      <c r="J23" s="42" t="s">
        <v>772</v>
      </c>
      <c r="L23" s="42" t="s">
        <v>799</v>
      </c>
      <c r="N23" s="42" t="s">
        <v>2012</v>
      </c>
    </row>
    <row r="24" spans="2:14">
      <c r="B24" s="42" t="s">
        <v>497</v>
      </c>
      <c r="D24" s="42" t="s">
        <v>261</v>
      </c>
      <c r="F24" s="1" t="s">
        <v>1911</v>
      </c>
      <c r="H24" s="1" t="s">
        <v>749</v>
      </c>
      <c r="J24" s="42" t="s">
        <v>773</v>
      </c>
      <c r="L24" s="42" t="s">
        <v>800</v>
      </c>
      <c r="N24" s="42" t="s">
        <v>2013</v>
      </c>
    </row>
    <row r="25" spans="2:14">
      <c r="B25" s="42" t="s">
        <v>498</v>
      </c>
      <c r="D25" s="42" t="s">
        <v>262</v>
      </c>
      <c r="F25" s="42" t="s">
        <v>227</v>
      </c>
      <c r="H25" s="1" t="s">
        <v>1911</v>
      </c>
      <c r="J25" s="42" t="s">
        <v>774</v>
      </c>
      <c r="L25" s="42" t="s">
        <v>801</v>
      </c>
      <c r="N25" s="42" t="s">
        <v>2014</v>
      </c>
    </row>
    <row r="26" spans="2:14">
      <c r="B26" s="42" t="s">
        <v>499</v>
      </c>
      <c r="D26" s="42" t="s">
        <v>263</v>
      </c>
      <c r="F26" s="42" t="s">
        <v>228</v>
      </c>
      <c r="H26" s="42" t="s">
        <v>750</v>
      </c>
      <c r="J26" s="42" t="s">
        <v>775</v>
      </c>
      <c r="L26" s="42" t="s">
        <v>802</v>
      </c>
      <c r="N26" s="42" t="s">
        <v>2015</v>
      </c>
    </row>
    <row r="27" spans="2:14">
      <c r="B27" s="42" t="s">
        <v>500</v>
      </c>
      <c r="D27" s="42" t="s">
        <v>264</v>
      </c>
      <c r="F27" s="42" t="s">
        <v>229</v>
      </c>
      <c r="H27" s="42" t="s">
        <v>751</v>
      </c>
      <c r="J27" s="42" t="s">
        <v>776</v>
      </c>
      <c r="L27" s="42" t="s">
        <v>803</v>
      </c>
      <c r="N27" s="42" t="s">
        <v>2016</v>
      </c>
    </row>
    <row r="28" spans="2:14">
      <c r="B28" s="42" t="s">
        <v>501</v>
      </c>
      <c r="D28" s="42" t="s">
        <v>265</v>
      </c>
      <c r="F28" s="42" t="s">
        <v>230</v>
      </c>
      <c r="H28" s="42" t="s">
        <v>752</v>
      </c>
      <c r="J28" s="42" t="s">
        <v>777</v>
      </c>
      <c r="L28" s="42" t="s">
        <v>804</v>
      </c>
      <c r="N28" s="42" t="s">
        <v>2017</v>
      </c>
    </row>
    <row r="29" spans="2:14">
      <c r="B29" s="42" t="s">
        <v>502</v>
      </c>
      <c r="D29" s="42" t="s">
        <v>266</v>
      </c>
      <c r="F29" s="42" t="s">
        <v>231</v>
      </c>
      <c r="H29" s="42" t="s">
        <v>233</v>
      </c>
      <c r="J29" s="42" t="s">
        <v>778</v>
      </c>
      <c r="L29" s="42" t="s">
        <v>805</v>
      </c>
      <c r="N29" s="42" t="s">
        <v>2018</v>
      </c>
    </row>
    <row r="30" spans="2:14">
      <c r="B30" s="42" t="s">
        <v>503</v>
      </c>
      <c r="D30" s="42" t="s">
        <v>267</v>
      </c>
      <c r="F30" s="42" t="s">
        <v>232</v>
      </c>
      <c r="J30" s="42" t="s">
        <v>233</v>
      </c>
      <c r="L30" s="42" t="s">
        <v>806</v>
      </c>
      <c r="N30" s="42" t="s">
        <v>2019</v>
      </c>
    </row>
    <row r="31" spans="2:14">
      <c r="B31" s="42" t="s">
        <v>504</v>
      </c>
      <c r="D31" s="42" t="s">
        <v>268</v>
      </c>
      <c r="F31" s="42" t="s">
        <v>233</v>
      </c>
      <c r="H31" s="1" t="s">
        <v>1207</v>
      </c>
      <c r="L31" s="42" t="s">
        <v>807</v>
      </c>
      <c r="N31" s="42" t="s">
        <v>2020</v>
      </c>
    </row>
    <row r="32" spans="2:14">
      <c r="B32" s="42" t="s">
        <v>505</v>
      </c>
      <c r="D32" s="42" t="s">
        <v>269</v>
      </c>
      <c r="H32" s="1" t="s">
        <v>1911</v>
      </c>
      <c r="J32" s="1" t="s">
        <v>1197</v>
      </c>
      <c r="L32" s="42" t="s">
        <v>808</v>
      </c>
    </row>
    <row r="33" spans="2:12">
      <c r="B33" s="42" t="s">
        <v>506</v>
      </c>
      <c r="D33" s="42" t="s">
        <v>270</v>
      </c>
      <c r="F33" s="1" t="s">
        <v>1203</v>
      </c>
      <c r="H33" s="42" t="s">
        <v>1208</v>
      </c>
      <c r="J33" s="1" t="s">
        <v>1911</v>
      </c>
      <c r="L33" s="42" t="s">
        <v>809</v>
      </c>
    </row>
    <row r="34" spans="2:12">
      <c r="B34" s="42" t="s">
        <v>507</v>
      </c>
      <c r="D34" s="42" t="s">
        <v>271</v>
      </c>
      <c r="F34" s="1" t="s">
        <v>1911</v>
      </c>
      <c r="H34" s="42" t="s">
        <v>1209</v>
      </c>
      <c r="J34" s="42" t="s">
        <v>1198</v>
      </c>
      <c r="L34" s="42" t="s">
        <v>810</v>
      </c>
    </row>
    <row r="35" spans="2:12">
      <c r="B35" s="42" t="s">
        <v>508</v>
      </c>
      <c r="D35" s="42" t="s">
        <v>272</v>
      </c>
      <c r="F35" s="42" t="s">
        <v>1204</v>
      </c>
      <c r="H35" s="42" t="s">
        <v>1210</v>
      </c>
      <c r="J35" s="42" t="s">
        <v>1199</v>
      </c>
      <c r="L35" s="42" t="s">
        <v>811</v>
      </c>
    </row>
    <row r="36" spans="2:12">
      <c r="B36" s="42" t="s">
        <v>509</v>
      </c>
      <c r="D36" s="42" t="s">
        <v>273</v>
      </c>
      <c r="F36" s="42" t="s">
        <v>1205</v>
      </c>
      <c r="H36" s="42" t="s">
        <v>1211</v>
      </c>
      <c r="J36" s="42" t="s">
        <v>1200</v>
      </c>
      <c r="L36" s="42" t="s">
        <v>812</v>
      </c>
    </row>
    <row r="37" spans="2:12">
      <c r="B37" s="42" t="s">
        <v>510</v>
      </c>
      <c r="D37" s="42" t="s">
        <v>274</v>
      </c>
      <c r="F37" s="42" t="s">
        <v>1206</v>
      </c>
      <c r="H37" s="42" t="s">
        <v>1212</v>
      </c>
      <c r="J37" s="42" t="s">
        <v>1201</v>
      </c>
      <c r="L37" s="42" t="s">
        <v>813</v>
      </c>
    </row>
    <row r="38" spans="2:12">
      <c r="B38" s="42" t="s">
        <v>511</v>
      </c>
      <c r="D38" s="42" t="s">
        <v>275</v>
      </c>
      <c r="J38" s="42" t="s">
        <v>1202</v>
      </c>
      <c r="L38" s="42" t="s">
        <v>814</v>
      </c>
    </row>
    <row r="39" spans="2:12">
      <c r="B39" s="42" t="s">
        <v>512</v>
      </c>
      <c r="D39" s="42" t="s">
        <v>276</v>
      </c>
      <c r="F39" s="1" t="s">
        <v>1227</v>
      </c>
      <c r="H39" s="1" t="s">
        <v>2038</v>
      </c>
      <c r="L39" s="42" t="s">
        <v>815</v>
      </c>
    </row>
    <row r="40" spans="2:12">
      <c r="B40" s="42" t="s">
        <v>513</v>
      </c>
      <c r="D40" s="42" t="s">
        <v>277</v>
      </c>
      <c r="F40" s="1" t="s">
        <v>1911</v>
      </c>
      <c r="H40" s="1" t="s">
        <v>1911</v>
      </c>
      <c r="J40" s="1" t="s">
        <v>1213</v>
      </c>
      <c r="L40" s="42" t="s">
        <v>816</v>
      </c>
    </row>
    <row r="41" spans="2:12">
      <c r="B41" s="42" t="s">
        <v>514</v>
      </c>
      <c r="D41" s="42" t="s">
        <v>278</v>
      </c>
      <c r="F41" s="42">
        <v>1</v>
      </c>
      <c r="H41" s="42" t="s">
        <v>2039</v>
      </c>
      <c r="J41" s="1" t="s">
        <v>1911</v>
      </c>
      <c r="L41" s="42" t="s">
        <v>817</v>
      </c>
    </row>
    <row r="42" spans="2:12">
      <c r="B42" s="42" t="s">
        <v>515</v>
      </c>
      <c r="D42" s="42" t="s">
        <v>279</v>
      </c>
      <c r="F42" s="42">
        <v>2</v>
      </c>
      <c r="H42" s="42" t="s">
        <v>2040</v>
      </c>
      <c r="J42" s="42" t="s">
        <v>1214</v>
      </c>
      <c r="L42" s="42" t="s">
        <v>818</v>
      </c>
    </row>
    <row r="43" spans="2:12">
      <c r="B43" s="42" t="s">
        <v>516</v>
      </c>
      <c r="D43" s="42" t="s">
        <v>280</v>
      </c>
      <c r="F43" s="42">
        <v>3</v>
      </c>
      <c r="H43" s="42" t="s">
        <v>2041</v>
      </c>
      <c r="J43" s="42" t="s">
        <v>1215</v>
      </c>
      <c r="L43" s="42" t="s">
        <v>819</v>
      </c>
    </row>
    <row r="44" spans="2:12">
      <c r="B44" s="42" t="s">
        <v>517</v>
      </c>
      <c r="D44" s="42" t="s">
        <v>281</v>
      </c>
      <c r="F44" s="42">
        <v>4</v>
      </c>
      <c r="H44" s="42" t="s">
        <v>2042</v>
      </c>
      <c r="J44" s="42" t="s">
        <v>1216</v>
      </c>
      <c r="L44" s="42" t="s">
        <v>820</v>
      </c>
    </row>
    <row r="45" spans="2:12">
      <c r="B45" s="42" t="s">
        <v>518</v>
      </c>
      <c r="D45" s="42" t="s">
        <v>282</v>
      </c>
      <c r="F45" s="42">
        <v>5</v>
      </c>
      <c r="H45" s="42" t="s">
        <v>2043</v>
      </c>
      <c r="J45" s="42" t="s">
        <v>1217</v>
      </c>
      <c r="L45" s="42" t="s">
        <v>821</v>
      </c>
    </row>
    <row r="46" spans="2:12">
      <c r="B46" s="42" t="s">
        <v>519</v>
      </c>
      <c r="D46" s="42" t="s">
        <v>283</v>
      </c>
      <c r="F46" s="42">
        <v>6</v>
      </c>
      <c r="H46" s="42" t="s">
        <v>2044</v>
      </c>
      <c r="J46" s="42" t="s">
        <v>1218</v>
      </c>
      <c r="L46" s="42" t="s">
        <v>822</v>
      </c>
    </row>
    <row r="47" spans="2:12">
      <c r="B47" s="42" t="s">
        <v>520</v>
      </c>
      <c r="D47" s="42" t="s">
        <v>284</v>
      </c>
      <c r="H47" s="42" t="s">
        <v>2045</v>
      </c>
      <c r="J47" s="42" t="s">
        <v>1219</v>
      </c>
      <c r="L47" s="42" t="s">
        <v>823</v>
      </c>
    </row>
    <row r="48" spans="2:12">
      <c r="B48" s="42" t="s">
        <v>521</v>
      </c>
      <c r="D48" s="42" t="s">
        <v>285</v>
      </c>
      <c r="H48" s="42" t="s">
        <v>2046</v>
      </c>
      <c r="J48" s="42" t="s">
        <v>1220</v>
      </c>
      <c r="L48" s="42" t="s">
        <v>824</v>
      </c>
    </row>
    <row r="49" spans="2:12">
      <c r="B49" s="42" t="s">
        <v>522</v>
      </c>
      <c r="D49" s="42" t="s">
        <v>286</v>
      </c>
      <c r="H49" s="42" t="s">
        <v>2047</v>
      </c>
      <c r="J49" s="42" t="s">
        <v>1221</v>
      </c>
      <c r="L49" s="42" t="s">
        <v>825</v>
      </c>
    </row>
    <row r="50" spans="2:12">
      <c r="B50" s="42" t="s">
        <v>523</v>
      </c>
      <c r="D50" s="42" t="s">
        <v>287</v>
      </c>
      <c r="H50" s="42" t="s">
        <v>2048</v>
      </c>
      <c r="J50" s="42" t="s">
        <v>1222</v>
      </c>
      <c r="L50" s="42" t="s">
        <v>826</v>
      </c>
    </row>
    <row r="51" spans="2:12">
      <c r="B51" s="42" t="s">
        <v>524</v>
      </c>
      <c r="D51" s="42" t="s">
        <v>288</v>
      </c>
      <c r="H51" s="42" t="s">
        <v>2049</v>
      </c>
      <c r="J51" s="42" t="s">
        <v>233</v>
      </c>
      <c r="L51" s="42" t="s">
        <v>827</v>
      </c>
    </row>
    <row r="52" spans="2:12">
      <c r="B52" s="42" t="s">
        <v>525</v>
      </c>
      <c r="D52" s="42" t="s">
        <v>289</v>
      </c>
      <c r="H52" s="42" t="s">
        <v>2050</v>
      </c>
      <c r="L52" s="42" t="s">
        <v>828</v>
      </c>
    </row>
    <row r="53" spans="2:12">
      <c r="B53" s="42" t="s">
        <v>526</v>
      </c>
      <c r="D53" s="42" t="s">
        <v>290</v>
      </c>
      <c r="H53" s="42" t="s">
        <v>2051</v>
      </c>
      <c r="L53" s="42" t="s">
        <v>829</v>
      </c>
    </row>
    <row r="54" spans="2:12">
      <c r="B54" s="42" t="s">
        <v>527</v>
      </c>
      <c r="D54" s="42" t="s">
        <v>291</v>
      </c>
      <c r="H54" s="42" t="s">
        <v>2052</v>
      </c>
      <c r="L54" s="42" t="s">
        <v>830</v>
      </c>
    </row>
    <row r="55" spans="2:12">
      <c r="B55" s="42" t="s">
        <v>528</v>
      </c>
      <c r="D55" s="42" t="s">
        <v>292</v>
      </c>
      <c r="H55" s="42" t="s">
        <v>2053</v>
      </c>
      <c r="L55" s="42" t="s">
        <v>831</v>
      </c>
    </row>
    <row r="56" spans="2:12">
      <c r="B56" s="42" t="s">
        <v>528</v>
      </c>
      <c r="D56" s="42" t="s">
        <v>293</v>
      </c>
      <c r="H56" s="42" t="s">
        <v>2054</v>
      </c>
      <c r="L56" s="42" t="s">
        <v>832</v>
      </c>
    </row>
    <row r="57" spans="2:12">
      <c r="B57" s="42" t="s">
        <v>529</v>
      </c>
      <c r="D57" s="42" t="s">
        <v>294</v>
      </c>
      <c r="H57" s="42" t="s">
        <v>2055</v>
      </c>
      <c r="L57" s="42" t="s">
        <v>833</v>
      </c>
    </row>
    <row r="58" spans="2:12">
      <c r="B58" s="42" t="s">
        <v>530</v>
      </c>
      <c r="D58" s="42" t="s">
        <v>295</v>
      </c>
      <c r="H58" s="42" t="s">
        <v>2056</v>
      </c>
      <c r="L58" s="42" t="s">
        <v>834</v>
      </c>
    </row>
    <row r="59" spans="2:12">
      <c r="B59" s="42" t="s">
        <v>531</v>
      </c>
      <c r="D59" s="42" t="s">
        <v>296</v>
      </c>
      <c r="H59" s="42" t="s">
        <v>2057</v>
      </c>
      <c r="L59" s="42" t="s">
        <v>835</v>
      </c>
    </row>
    <row r="60" spans="2:12">
      <c r="B60" s="42" t="s">
        <v>532</v>
      </c>
      <c r="D60" s="42" t="s">
        <v>297</v>
      </c>
      <c r="H60" s="42" t="s">
        <v>2058</v>
      </c>
      <c r="L60" s="42" t="s">
        <v>836</v>
      </c>
    </row>
    <row r="61" spans="2:12">
      <c r="B61" s="42" t="s">
        <v>533</v>
      </c>
      <c r="D61" s="42" t="s">
        <v>298</v>
      </c>
      <c r="H61" s="42" t="s">
        <v>2059</v>
      </c>
      <c r="L61" s="42" t="s">
        <v>837</v>
      </c>
    </row>
    <row r="62" spans="2:12">
      <c r="B62" s="42" t="s">
        <v>534</v>
      </c>
      <c r="D62" s="42" t="s">
        <v>299</v>
      </c>
      <c r="H62" s="42" t="s">
        <v>2060</v>
      </c>
      <c r="L62" s="42" t="s">
        <v>838</v>
      </c>
    </row>
    <row r="63" spans="2:12">
      <c r="B63" s="42" t="s">
        <v>535</v>
      </c>
      <c r="D63" s="42" t="s">
        <v>300</v>
      </c>
      <c r="H63" s="42" t="s">
        <v>2061</v>
      </c>
      <c r="L63" s="42" t="s">
        <v>839</v>
      </c>
    </row>
    <row r="64" spans="2:12">
      <c r="B64" s="42" t="s">
        <v>536</v>
      </c>
      <c r="D64" s="42" t="s">
        <v>301</v>
      </c>
      <c r="H64" s="42" t="s">
        <v>2062</v>
      </c>
      <c r="L64" s="42" t="s">
        <v>840</v>
      </c>
    </row>
    <row r="65" spans="2:12">
      <c r="B65" s="42" t="s">
        <v>537</v>
      </c>
      <c r="D65" s="42" t="s">
        <v>302</v>
      </c>
      <c r="H65" s="42" t="s">
        <v>2063</v>
      </c>
      <c r="L65" s="42" t="s">
        <v>841</v>
      </c>
    </row>
    <row r="66" spans="2:12">
      <c r="B66" s="42" t="s">
        <v>538</v>
      </c>
      <c r="D66" s="42" t="s">
        <v>303</v>
      </c>
      <c r="H66" s="42" t="s">
        <v>2064</v>
      </c>
      <c r="L66" s="42" t="s">
        <v>842</v>
      </c>
    </row>
    <row r="67" spans="2:12">
      <c r="B67" s="42" t="s">
        <v>539</v>
      </c>
      <c r="D67" s="42" t="s">
        <v>304</v>
      </c>
      <c r="H67" s="42" t="s">
        <v>2065</v>
      </c>
      <c r="L67" s="42" t="s">
        <v>843</v>
      </c>
    </row>
    <row r="68" spans="2:12">
      <c r="B68" s="42" t="s">
        <v>540</v>
      </c>
      <c r="D68" s="42" t="s">
        <v>305</v>
      </c>
      <c r="H68" s="42" t="s">
        <v>2066</v>
      </c>
      <c r="L68" s="42" t="s">
        <v>844</v>
      </c>
    </row>
    <row r="69" spans="2:12">
      <c r="B69" s="42" t="s">
        <v>541</v>
      </c>
      <c r="D69" s="42" t="s">
        <v>306</v>
      </c>
      <c r="H69" s="42" t="s">
        <v>2067</v>
      </c>
      <c r="L69" s="42" t="s">
        <v>845</v>
      </c>
    </row>
    <row r="70" spans="2:12">
      <c r="B70" s="42" t="s">
        <v>542</v>
      </c>
      <c r="D70" s="42" t="s">
        <v>307</v>
      </c>
      <c r="H70" s="42" t="s">
        <v>2068</v>
      </c>
      <c r="L70" s="42" t="s">
        <v>846</v>
      </c>
    </row>
    <row r="71" spans="2:12">
      <c r="B71" s="42" t="s">
        <v>543</v>
      </c>
      <c r="D71" s="42" t="s">
        <v>308</v>
      </c>
      <c r="H71" s="42" t="s">
        <v>2069</v>
      </c>
      <c r="L71" s="42" t="s">
        <v>847</v>
      </c>
    </row>
    <row r="72" spans="2:12">
      <c r="B72" s="42" t="s">
        <v>544</v>
      </c>
      <c r="D72" s="42" t="s">
        <v>309</v>
      </c>
      <c r="H72" s="42" t="s">
        <v>2070</v>
      </c>
      <c r="L72" s="42" t="s">
        <v>848</v>
      </c>
    </row>
    <row r="73" spans="2:12">
      <c r="B73" s="42" t="s">
        <v>545</v>
      </c>
      <c r="D73" s="42" t="s">
        <v>310</v>
      </c>
      <c r="L73" s="42" t="s">
        <v>849</v>
      </c>
    </row>
    <row r="74" spans="2:12">
      <c r="B74" s="42" t="s">
        <v>546</v>
      </c>
      <c r="D74" s="42" t="s">
        <v>311</v>
      </c>
      <c r="L74" s="42" t="s">
        <v>850</v>
      </c>
    </row>
    <row r="75" spans="2:12">
      <c r="B75" s="42" t="s">
        <v>547</v>
      </c>
      <c r="D75" s="42" t="s">
        <v>312</v>
      </c>
      <c r="L75" s="42" t="s">
        <v>851</v>
      </c>
    </row>
    <row r="76" spans="2:12">
      <c r="B76" s="42" t="s">
        <v>548</v>
      </c>
      <c r="D76" s="42" t="s">
        <v>313</v>
      </c>
      <c r="L76" s="42" t="s">
        <v>852</v>
      </c>
    </row>
    <row r="77" spans="2:12">
      <c r="B77" s="42" t="s">
        <v>549</v>
      </c>
      <c r="D77" s="42" t="s">
        <v>314</v>
      </c>
      <c r="L77" s="42" t="s">
        <v>853</v>
      </c>
    </row>
    <row r="78" spans="2:12">
      <c r="B78" s="42" t="s">
        <v>550</v>
      </c>
      <c r="D78" s="42" t="s">
        <v>315</v>
      </c>
      <c r="L78" s="42" t="s">
        <v>854</v>
      </c>
    </row>
    <row r="79" spans="2:12">
      <c r="B79" s="42" t="s">
        <v>551</v>
      </c>
      <c r="D79" s="42" t="s">
        <v>316</v>
      </c>
      <c r="L79" s="42" t="s">
        <v>855</v>
      </c>
    </row>
    <row r="80" spans="2:12">
      <c r="B80" s="42" t="s">
        <v>552</v>
      </c>
      <c r="D80" s="42" t="s">
        <v>317</v>
      </c>
      <c r="L80" s="42" t="s">
        <v>856</v>
      </c>
    </row>
    <row r="81" spans="2:12">
      <c r="B81" s="42" t="s">
        <v>553</v>
      </c>
      <c r="D81" s="42" t="s">
        <v>318</v>
      </c>
      <c r="L81" s="42" t="s">
        <v>857</v>
      </c>
    </row>
    <row r="82" spans="2:12">
      <c r="B82" s="42" t="s">
        <v>554</v>
      </c>
      <c r="D82" s="42" t="s">
        <v>319</v>
      </c>
      <c r="L82" s="42" t="s">
        <v>858</v>
      </c>
    </row>
    <row r="83" spans="2:12">
      <c r="B83" s="42" t="s">
        <v>555</v>
      </c>
      <c r="D83" s="42" t="s">
        <v>320</v>
      </c>
      <c r="L83" s="42" t="s">
        <v>859</v>
      </c>
    </row>
    <row r="84" spans="2:12">
      <c r="B84" s="42" t="s">
        <v>556</v>
      </c>
      <c r="D84" s="42" t="s">
        <v>321</v>
      </c>
      <c r="L84" s="42" t="s">
        <v>860</v>
      </c>
    </row>
    <row r="85" spans="2:12">
      <c r="B85" s="42" t="s">
        <v>557</v>
      </c>
      <c r="D85" s="42" t="s">
        <v>322</v>
      </c>
      <c r="L85" s="42" t="s">
        <v>861</v>
      </c>
    </row>
    <row r="86" spans="2:12">
      <c r="B86" s="42" t="s">
        <v>558</v>
      </c>
      <c r="D86" s="42" t="s">
        <v>323</v>
      </c>
      <c r="L86" s="42" t="s">
        <v>862</v>
      </c>
    </row>
    <row r="87" spans="2:12">
      <c r="B87" s="42" t="s">
        <v>559</v>
      </c>
      <c r="D87" s="42" t="s">
        <v>324</v>
      </c>
      <c r="L87" s="42" t="s">
        <v>863</v>
      </c>
    </row>
    <row r="88" spans="2:12">
      <c r="B88" s="42" t="s">
        <v>560</v>
      </c>
      <c r="D88" s="42" t="s">
        <v>325</v>
      </c>
      <c r="L88" s="42" t="s">
        <v>864</v>
      </c>
    </row>
    <row r="89" spans="2:12">
      <c r="B89" s="42" t="s">
        <v>561</v>
      </c>
      <c r="D89" s="42" t="s">
        <v>326</v>
      </c>
      <c r="L89" s="42" t="s">
        <v>865</v>
      </c>
    </row>
    <row r="90" spans="2:12">
      <c r="B90" s="42" t="s">
        <v>562</v>
      </c>
      <c r="D90" s="42" t="s">
        <v>327</v>
      </c>
      <c r="L90" s="42" t="s">
        <v>866</v>
      </c>
    </row>
    <row r="91" spans="2:12">
      <c r="B91" s="42" t="s">
        <v>563</v>
      </c>
      <c r="D91" s="42" t="s">
        <v>328</v>
      </c>
      <c r="L91" s="42" t="s">
        <v>867</v>
      </c>
    </row>
    <row r="92" spans="2:12">
      <c r="B92" s="42" t="s">
        <v>564</v>
      </c>
      <c r="D92" s="42" t="s">
        <v>329</v>
      </c>
      <c r="L92" s="42" t="s">
        <v>868</v>
      </c>
    </row>
    <row r="93" spans="2:12">
      <c r="B93" s="42" t="s">
        <v>565</v>
      </c>
      <c r="D93" s="42" t="s">
        <v>330</v>
      </c>
      <c r="L93" s="42" t="s">
        <v>869</v>
      </c>
    </row>
    <row r="94" spans="2:12">
      <c r="B94" s="42" t="s">
        <v>566</v>
      </c>
      <c r="D94" s="42" t="s">
        <v>331</v>
      </c>
      <c r="L94" s="42" t="s">
        <v>870</v>
      </c>
    </row>
    <row r="95" spans="2:12">
      <c r="B95" s="42" t="s">
        <v>567</v>
      </c>
      <c r="D95" s="42" t="s">
        <v>332</v>
      </c>
      <c r="L95" s="42" t="s">
        <v>871</v>
      </c>
    </row>
    <row r="96" spans="2:12">
      <c r="B96" s="42" t="s">
        <v>568</v>
      </c>
      <c r="D96" s="42" t="s">
        <v>333</v>
      </c>
      <c r="L96" s="42" t="s">
        <v>872</v>
      </c>
    </row>
    <row r="97" spans="2:12">
      <c r="B97" s="42" t="s">
        <v>569</v>
      </c>
      <c r="D97" s="42" t="s">
        <v>334</v>
      </c>
      <c r="L97" s="42" t="s">
        <v>873</v>
      </c>
    </row>
    <row r="98" spans="2:12">
      <c r="B98" s="42" t="s">
        <v>570</v>
      </c>
      <c r="D98" s="42" t="s">
        <v>335</v>
      </c>
      <c r="L98" s="42" t="s">
        <v>874</v>
      </c>
    </row>
    <row r="99" spans="2:12">
      <c r="B99" s="42" t="s">
        <v>571</v>
      </c>
      <c r="D99" s="42" t="s">
        <v>336</v>
      </c>
      <c r="L99" s="42" t="s">
        <v>875</v>
      </c>
    </row>
    <row r="100" spans="2:12">
      <c r="B100" s="42" t="s">
        <v>572</v>
      </c>
      <c r="D100" s="42" t="s">
        <v>337</v>
      </c>
      <c r="L100" s="42" t="s">
        <v>876</v>
      </c>
    </row>
    <row r="101" spans="2:12">
      <c r="B101" s="42" t="s">
        <v>573</v>
      </c>
      <c r="D101" s="42" t="s">
        <v>338</v>
      </c>
      <c r="L101" s="42" t="s">
        <v>877</v>
      </c>
    </row>
    <row r="102" spans="2:12">
      <c r="B102" s="42" t="s">
        <v>574</v>
      </c>
      <c r="D102" s="42" t="s">
        <v>339</v>
      </c>
      <c r="L102" s="42" t="s">
        <v>878</v>
      </c>
    </row>
    <row r="103" spans="2:12">
      <c r="B103" s="42" t="s">
        <v>575</v>
      </c>
      <c r="D103" s="42" t="s">
        <v>340</v>
      </c>
      <c r="L103" s="42" t="s">
        <v>879</v>
      </c>
    </row>
    <row r="104" spans="2:12">
      <c r="B104" s="42" t="s">
        <v>576</v>
      </c>
      <c r="D104" s="42" t="s">
        <v>341</v>
      </c>
      <c r="L104" s="42" t="s">
        <v>880</v>
      </c>
    </row>
    <row r="105" spans="2:12">
      <c r="B105" s="42" t="s">
        <v>577</v>
      </c>
      <c r="D105" s="42" t="s">
        <v>342</v>
      </c>
      <c r="L105" s="42" t="s">
        <v>881</v>
      </c>
    </row>
    <row r="106" spans="2:12">
      <c r="B106" s="42" t="s">
        <v>578</v>
      </c>
      <c r="D106" s="42" t="s">
        <v>343</v>
      </c>
      <c r="L106" s="42" t="s">
        <v>882</v>
      </c>
    </row>
    <row r="107" spans="2:12">
      <c r="B107" s="42" t="s">
        <v>579</v>
      </c>
      <c r="D107" s="42" t="s">
        <v>344</v>
      </c>
      <c r="L107" s="42" t="s">
        <v>883</v>
      </c>
    </row>
    <row r="108" spans="2:12">
      <c r="B108" s="42" t="s">
        <v>580</v>
      </c>
      <c r="D108" s="42" t="s">
        <v>345</v>
      </c>
      <c r="L108" s="42" t="s">
        <v>884</v>
      </c>
    </row>
    <row r="109" spans="2:12">
      <c r="B109" s="42" t="s">
        <v>581</v>
      </c>
      <c r="D109" s="42" t="s">
        <v>346</v>
      </c>
      <c r="L109" s="42" t="s">
        <v>885</v>
      </c>
    </row>
    <row r="110" spans="2:12">
      <c r="B110" s="42" t="s">
        <v>582</v>
      </c>
      <c r="D110" s="42" t="s">
        <v>347</v>
      </c>
      <c r="L110" s="42" t="s">
        <v>886</v>
      </c>
    </row>
    <row r="111" spans="2:12">
      <c r="B111" s="42" t="s">
        <v>583</v>
      </c>
      <c r="D111" s="42" t="s">
        <v>348</v>
      </c>
      <c r="L111" s="42" t="s">
        <v>887</v>
      </c>
    </row>
    <row r="112" spans="2:12">
      <c r="B112" s="42" t="s">
        <v>584</v>
      </c>
      <c r="D112" s="42" t="s">
        <v>349</v>
      </c>
      <c r="L112" s="42" t="s">
        <v>888</v>
      </c>
    </row>
    <row r="113" spans="2:12">
      <c r="B113" s="42" t="s">
        <v>585</v>
      </c>
      <c r="D113" s="42" t="s">
        <v>350</v>
      </c>
      <c r="L113" s="42" t="s">
        <v>889</v>
      </c>
    </row>
    <row r="114" spans="2:12">
      <c r="B114" s="42" t="s">
        <v>586</v>
      </c>
      <c r="D114" s="42" t="s">
        <v>351</v>
      </c>
      <c r="L114" s="42" t="s">
        <v>890</v>
      </c>
    </row>
    <row r="115" spans="2:12">
      <c r="B115" s="42" t="s">
        <v>587</v>
      </c>
      <c r="D115" s="42" t="s">
        <v>352</v>
      </c>
      <c r="L115" s="42" t="s">
        <v>891</v>
      </c>
    </row>
    <row r="116" spans="2:12">
      <c r="B116" s="42" t="s">
        <v>588</v>
      </c>
      <c r="D116" s="42" t="s">
        <v>353</v>
      </c>
      <c r="L116" s="42" t="s">
        <v>892</v>
      </c>
    </row>
    <row r="117" spans="2:12">
      <c r="B117" s="42" t="s">
        <v>589</v>
      </c>
      <c r="D117" s="42" t="s">
        <v>354</v>
      </c>
      <c r="L117" s="42" t="s">
        <v>893</v>
      </c>
    </row>
    <row r="118" spans="2:12">
      <c r="B118" s="42" t="s">
        <v>590</v>
      </c>
      <c r="D118" s="42" t="s">
        <v>355</v>
      </c>
      <c r="L118" s="42" t="s">
        <v>894</v>
      </c>
    </row>
    <row r="119" spans="2:12">
      <c r="B119" s="42" t="s">
        <v>591</v>
      </c>
      <c r="D119" s="42" t="s">
        <v>356</v>
      </c>
      <c r="L119" s="42" t="s">
        <v>895</v>
      </c>
    </row>
    <row r="120" spans="2:12">
      <c r="B120" s="42" t="s">
        <v>592</v>
      </c>
      <c r="D120" s="42" t="s">
        <v>357</v>
      </c>
      <c r="L120" s="42" t="s">
        <v>896</v>
      </c>
    </row>
    <row r="121" spans="2:12">
      <c r="B121" s="42" t="s">
        <v>593</v>
      </c>
      <c r="D121" s="42" t="s">
        <v>358</v>
      </c>
      <c r="L121" s="42" t="s">
        <v>897</v>
      </c>
    </row>
    <row r="122" spans="2:12">
      <c r="B122" s="42" t="s">
        <v>594</v>
      </c>
      <c r="D122" s="42" t="s">
        <v>359</v>
      </c>
      <c r="L122" s="42" t="s">
        <v>898</v>
      </c>
    </row>
    <row r="123" spans="2:12">
      <c r="B123" s="42" t="s">
        <v>595</v>
      </c>
      <c r="D123" s="42" t="s">
        <v>360</v>
      </c>
      <c r="L123" s="42" t="s">
        <v>899</v>
      </c>
    </row>
    <row r="124" spans="2:12">
      <c r="B124" s="42" t="s">
        <v>596</v>
      </c>
      <c r="D124" s="42" t="s">
        <v>361</v>
      </c>
      <c r="L124" s="42" t="s">
        <v>900</v>
      </c>
    </row>
    <row r="125" spans="2:12">
      <c r="B125" s="42" t="s">
        <v>597</v>
      </c>
      <c r="D125" s="42" t="s">
        <v>362</v>
      </c>
      <c r="L125" s="42" t="s">
        <v>901</v>
      </c>
    </row>
    <row r="126" spans="2:12">
      <c r="B126" s="42" t="s">
        <v>598</v>
      </c>
      <c r="D126" s="42" t="s">
        <v>363</v>
      </c>
      <c r="L126" s="42" t="s">
        <v>902</v>
      </c>
    </row>
    <row r="127" spans="2:12">
      <c r="B127" s="42" t="s">
        <v>599</v>
      </c>
      <c r="D127" s="42" t="s">
        <v>364</v>
      </c>
      <c r="L127" s="42" t="s">
        <v>903</v>
      </c>
    </row>
    <row r="128" spans="2:12">
      <c r="B128" s="42" t="s">
        <v>600</v>
      </c>
      <c r="D128" s="42" t="s">
        <v>365</v>
      </c>
      <c r="L128" s="42" t="s">
        <v>904</v>
      </c>
    </row>
    <row r="129" spans="2:12">
      <c r="B129" s="42" t="s">
        <v>601</v>
      </c>
      <c r="D129" s="42" t="s">
        <v>366</v>
      </c>
      <c r="L129" s="42" t="s">
        <v>905</v>
      </c>
    </row>
    <row r="130" spans="2:12">
      <c r="B130" s="42" t="s">
        <v>602</v>
      </c>
      <c r="D130" s="42" t="s">
        <v>367</v>
      </c>
      <c r="L130" s="42" t="s">
        <v>906</v>
      </c>
    </row>
    <row r="131" spans="2:12">
      <c r="B131" s="42" t="s">
        <v>603</v>
      </c>
      <c r="D131" s="42" t="s">
        <v>368</v>
      </c>
      <c r="L131" s="42" t="s">
        <v>907</v>
      </c>
    </row>
    <row r="132" spans="2:12">
      <c r="B132" s="42" t="s">
        <v>604</v>
      </c>
      <c r="D132" s="42" t="s">
        <v>369</v>
      </c>
      <c r="L132" s="42" t="s">
        <v>908</v>
      </c>
    </row>
    <row r="133" spans="2:12">
      <c r="B133" s="42" t="s">
        <v>605</v>
      </c>
      <c r="D133" s="42" t="s">
        <v>370</v>
      </c>
      <c r="L133" s="42" t="s">
        <v>909</v>
      </c>
    </row>
    <row r="134" spans="2:12">
      <c r="B134" s="42" t="s">
        <v>606</v>
      </c>
      <c r="D134" s="42" t="s">
        <v>371</v>
      </c>
      <c r="L134" s="42" t="s">
        <v>910</v>
      </c>
    </row>
    <row r="135" spans="2:12">
      <c r="B135" s="42" t="s">
        <v>607</v>
      </c>
      <c r="D135" s="42" t="s">
        <v>372</v>
      </c>
      <c r="L135" s="42" t="s">
        <v>911</v>
      </c>
    </row>
    <row r="136" spans="2:12">
      <c r="B136" s="42" t="s">
        <v>608</v>
      </c>
      <c r="D136" s="42" t="s">
        <v>373</v>
      </c>
      <c r="L136" s="42" t="s">
        <v>912</v>
      </c>
    </row>
    <row r="137" spans="2:12">
      <c r="B137" s="42" t="s">
        <v>609</v>
      </c>
      <c r="D137" s="42" t="s">
        <v>374</v>
      </c>
      <c r="L137" s="42" t="s">
        <v>913</v>
      </c>
    </row>
    <row r="138" spans="2:12">
      <c r="B138" s="42" t="s">
        <v>610</v>
      </c>
      <c r="D138" s="42" t="s">
        <v>375</v>
      </c>
      <c r="L138" s="42" t="s">
        <v>914</v>
      </c>
    </row>
    <row r="139" spans="2:12">
      <c r="B139" s="42" t="s">
        <v>611</v>
      </c>
      <c r="D139" s="42" t="s">
        <v>376</v>
      </c>
      <c r="L139" s="42" t="s">
        <v>915</v>
      </c>
    </row>
    <row r="140" spans="2:12">
      <c r="B140" s="42" t="s">
        <v>612</v>
      </c>
      <c r="D140" s="42" t="s">
        <v>377</v>
      </c>
      <c r="L140" s="42" t="s">
        <v>916</v>
      </c>
    </row>
    <row r="141" spans="2:12">
      <c r="B141" s="42" t="s">
        <v>613</v>
      </c>
      <c r="D141" s="42" t="s">
        <v>378</v>
      </c>
      <c r="L141" s="42" t="s">
        <v>917</v>
      </c>
    </row>
    <row r="142" spans="2:12">
      <c r="B142" s="42" t="s">
        <v>614</v>
      </c>
      <c r="D142" s="42" t="s">
        <v>379</v>
      </c>
      <c r="L142" s="42" t="s">
        <v>918</v>
      </c>
    </row>
    <row r="143" spans="2:12">
      <c r="B143" s="42" t="s">
        <v>615</v>
      </c>
      <c r="D143" s="42" t="s">
        <v>380</v>
      </c>
      <c r="L143" s="42" t="s">
        <v>919</v>
      </c>
    </row>
    <row r="144" spans="2:12">
      <c r="B144" s="42" t="s">
        <v>616</v>
      </c>
      <c r="D144" s="42" t="s">
        <v>381</v>
      </c>
      <c r="L144" s="42" t="s">
        <v>920</v>
      </c>
    </row>
    <row r="145" spans="2:12">
      <c r="B145" s="42" t="s">
        <v>617</v>
      </c>
      <c r="D145" s="42" t="s">
        <v>382</v>
      </c>
      <c r="L145" s="42" t="s">
        <v>921</v>
      </c>
    </row>
    <row r="146" spans="2:12">
      <c r="B146" s="42" t="s">
        <v>618</v>
      </c>
      <c r="D146" s="42" t="s">
        <v>383</v>
      </c>
      <c r="L146" s="42" t="s">
        <v>922</v>
      </c>
    </row>
    <row r="147" spans="2:12">
      <c r="B147" s="42" t="s">
        <v>619</v>
      </c>
      <c r="D147" s="42" t="s">
        <v>384</v>
      </c>
      <c r="L147" s="42" t="s">
        <v>923</v>
      </c>
    </row>
    <row r="148" spans="2:12">
      <c r="B148" s="42" t="s">
        <v>620</v>
      </c>
      <c r="D148" s="42" t="s">
        <v>385</v>
      </c>
      <c r="L148" s="42" t="s">
        <v>924</v>
      </c>
    </row>
    <row r="149" spans="2:12">
      <c r="B149" s="42" t="s">
        <v>621</v>
      </c>
      <c r="D149" s="42" t="s">
        <v>386</v>
      </c>
      <c r="L149" s="42" t="s">
        <v>925</v>
      </c>
    </row>
    <row r="150" spans="2:12">
      <c r="B150" s="42" t="s">
        <v>622</v>
      </c>
      <c r="D150" s="42" t="s">
        <v>387</v>
      </c>
      <c r="L150" s="42" t="s">
        <v>926</v>
      </c>
    </row>
    <row r="151" spans="2:12">
      <c r="B151" s="42" t="s">
        <v>623</v>
      </c>
      <c r="D151" s="42" t="s">
        <v>388</v>
      </c>
      <c r="L151" s="42" t="s">
        <v>927</v>
      </c>
    </row>
    <row r="152" spans="2:12">
      <c r="B152" s="42" t="s">
        <v>624</v>
      </c>
      <c r="D152" s="42" t="s">
        <v>389</v>
      </c>
      <c r="L152" s="42" t="s">
        <v>928</v>
      </c>
    </row>
    <row r="153" spans="2:12">
      <c r="B153" s="42" t="s">
        <v>625</v>
      </c>
      <c r="D153" s="42" t="s">
        <v>390</v>
      </c>
      <c r="L153" s="42" t="s">
        <v>929</v>
      </c>
    </row>
    <row r="154" spans="2:12">
      <c r="B154" s="42" t="s">
        <v>626</v>
      </c>
      <c r="D154" s="42" t="s">
        <v>391</v>
      </c>
      <c r="L154" s="42" t="s">
        <v>930</v>
      </c>
    </row>
    <row r="155" spans="2:12">
      <c r="B155" s="42" t="s">
        <v>627</v>
      </c>
      <c r="D155" s="42" t="s">
        <v>392</v>
      </c>
      <c r="L155" s="42" t="s">
        <v>931</v>
      </c>
    </row>
    <row r="156" spans="2:12">
      <c r="B156" s="42" t="s">
        <v>628</v>
      </c>
      <c r="D156" s="42" t="s">
        <v>393</v>
      </c>
      <c r="L156" s="42" t="s">
        <v>932</v>
      </c>
    </row>
    <row r="157" spans="2:12">
      <c r="B157" s="42" t="s">
        <v>629</v>
      </c>
      <c r="D157" s="42" t="s">
        <v>394</v>
      </c>
      <c r="L157" s="42" t="s">
        <v>933</v>
      </c>
    </row>
    <row r="158" spans="2:12">
      <c r="B158" s="42" t="s">
        <v>630</v>
      </c>
      <c r="D158" s="42" t="s">
        <v>395</v>
      </c>
      <c r="L158" s="42" t="s">
        <v>934</v>
      </c>
    </row>
    <row r="159" spans="2:12">
      <c r="B159" s="42" t="s">
        <v>631</v>
      </c>
      <c r="D159" s="42" t="s">
        <v>396</v>
      </c>
      <c r="L159" s="42" t="s">
        <v>935</v>
      </c>
    </row>
    <row r="160" spans="2:12">
      <c r="B160" s="42" t="s">
        <v>632</v>
      </c>
      <c r="D160" s="42" t="s">
        <v>397</v>
      </c>
      <c r="L160" s="42" t="s">
        <v>936</v>
      </c>
    </row>
    <row r="161" spans="2:12">
      <c r="B161" s="42" t="s">
        <v>633</v>
      </c>
      <c r="D161" s="42" t="s">
        <v>398</v>
      </c>
      <c r="L161" s="42" t="s">
        <v>937</v>
      </c>
    </row>
    <row r="162" spans="2:12">
      <c r="B162" s="42" t="s">
        <v>634</v>
      </c>
      <c r="D162" s="42" t="s">
        <v>399</v>
      </c>
      <c r="L162" s="42" t="s">
        <v>938</v>
      </c>
    </row>
    <row r="163" spans="2:12">
      <c r="B163" s="42" t="s">
        <v>635</v>
      </c>
      <c r="D163" s="42" t="s">
        <v>400</v>
      </c>
      <c r="L163" s="42" t="s">
        <v>939</v>
      </c>
    </row>
    <row r="164" spans="2:12">
      <c r="B164" s="42" t="s">
        <v>636</v>
      </c>
      <c r="D164" s="42" t="s">
        <v>401</v>
      </c>
      <c r="L164" s="42" t="s">
        <v>940</v>
      </c>
    </row>
    <row r="165" spans="2:12">
      <c r="B165" s="42" t="s">
        <v>637</v>
      </c>
      <c r="D165" s="42" t="s">
        <v>402</v>
      </c>
      <c r="L165" s="42" t="s">
        <v>941</v>
      </c>
    </row>
    <row r="166" spans="2:12">
      <c r="B166" s="42" t="s">
        <v>638</v>
      </c>
      <c r="D166" s="42" t="s">
        <v>403</v>
      </c>
      <c r="L166" s="42" t="s">
        <v>942</v>
      </c>
    </row>
    <row r="167" spans="2:12">
      <c r="B167" s="42" t="s">
        <v>639</v>
      </c>
      <c r="D167" s="42" t="s">
        <v>404</v>
      </c>
      <c r="L167" s="42" t="s">
        <v>943</v>
      </c>
    </row>
    <row r="168" spans="2:12">
      <c r="B168" s="42" t="s">
        <v>640</v>
      </c>
      <c r="D168" s="42" t="s">
        <v>405</v>
      </c>
      <c r="L168" s="42" t="s">
        <v>944</v>
      </c>
    </row>
    <row r="169" spans="2:12">
      <c r="B169" s="42" t="s">
        <v>641</v>
      </c>
      <c r="D169" s="42" t="s">
        <v>406</v>
      </c>
      <c r="L169" s="42" t="s">
        <v>945</v>
      </c>
    </row>
    <row r="170" spans="2:12">
      <c r="B170" s="42" t="s">
        <v>642</v>
      </c>
      <c r="D170" s="42" t="s">
        <v>407</v>
      </c>
      <c r="L170" s="42" t="s">
        <v>946</v>
      </c>
    </row>
    <row r="171" spans="2:12">
      <c r="B171" s="42" t="s">
        <v>643</v>
      </c>
      <c r="D171" s="42" t="s">
        <v>408</v>
      </c>
      <c r="L171" s="42" t="s">
        <v>947</v>
      </c>
    </row>
    <row r="172" spans="2:12">
      <c r="B172" s="42" t="s">
        <v>644</v>
      </c>
      <c r="D172" s="42" t="s">
        <v>409</v>
      </c>
      <c r="L172" s="42" t="s">
        <v>948</v>
      </c>
    </row>
    <row r="173" spans="2:12">
      <c r="B173" s="42" t="s">
        <v>645</v>
      </c>
      <c r="D173" s="42" t="s">
        <v>410</v>
      </c>
      <c r="L173" s="42" t="s">
        <v>949</v>
      </c>
    </row>
    <row r="174" spans="2:12">
      <c r="B174" s="42" t="s">
        <v>646</v>
      </c>
      <c r="D174" s="42" t="s">
        <v>411</v>
      </c>
      <c r="L174" s="42" t="s">
        <v>950</v>
      </c>
    </row>
    <row r="175" spans="2:12">
      <c r="B175" s="42" t="s">
        <v>647</v>
      </c>
      <c r="D175" s="42" t="s">
        <v>412</v>
      </c>
      <c r="L175" s="42" t="s">
        <v>951</v>
      </c>
    </row>
    <row r="176" spans="2:12">
      <c r="B176" s="42" t="s">
        <v>648</v>
      </c>
      <c r="D176" s="42" t="s">
        <v>413</v>
      </c>
      <c r="L176" s="42" t="s">
        <v>952</v>
      </c>
    </row>
    <row r="177" spans="2:12">
      <c r="B177" s="42" t="s">
        <v>649</v>
      </c>
      <c r="D177" s="42" t="s">
        <v>414</v>
      </c>
      <c r="L177" s="42" t="s">
        <v>953</v>
      </c>
    </row>
    <row r="178" spans="2:12">
      <c r="B178" s="42" t="s">
        <v>650</v>
      </c>
      <c r="D178" s="42" t="s">
        <v>415</v>
      </c>
      <c r="L178" s="42" t="s">
        <v>954</v>
      </c>
    </row>
    <row r="179" spans="2:12">
      <c r="B179" s="42" t="s">
        <v>651</v>
      </c>
      <c r="D179" s="42" t="s">
        <v>416</v>
      </c>
      <c r="L179" s="42" t="s">
        <v>955</v>
      </c>
    </row>
    <row r="180" spans="2:12">
      <c r="B180" s="42" t="s">
        <v>652</v>
      </c>
      <c r="D180" s="42" t="s">
        <v>417</v>
      </c>
      <c r="L180" s="42" t="s">
        <v>956</v>
      </c>
    </row>
    <row r="181" spans="2:12">
      <c r="B181" s="42" t="s">
        <v>653</v>
      </c>
      <c r="D181" s="42" t="s">
        <v>418</v>
      </c>
      <c r="L181" s="42" t="s">
        <v>957</v>
      </c>
    </row>
    <row r="182" spans="2:12">
      <c r="B182" s="42" t="s">
        <v>654</v>
      </c>
      <c r="D182" s="42" t="s">
        <v>419</v>
      </c>
      <c r="L182" s="42" t="s">
        <v>958</v>
      </c>
    </row>
    <row r="183" spans="2:12">
      <c r="B183" s="42" t="s">
        <v>655</v>
      </c>
      <c r="D183" s="42" t="s">
        <v>420</v>
      </c>
      <c r="L183" s="42" t="s">
        <v>959</v>
      </c>
    </row>
    <row r="184" spans="2:12">
      <c r="B184" s="42" t="s">
        <v>656</v>
      </c>
      <c r="D184" s="42" t="s">
        <v>421</v>
      </c>
      <c r="L184" s="42" t="s">
        <v>960</v>
      </c>
    </row>
    <row r="185" spans="2:12">
      <c r="B185" s="42" t="s">
        <v>657</v>
      </c>
      <c r="D185" s="42" t="s">
        <v>422</v>
      </c>
      <c r="L185" s="42" t="s">
        <v>961</v>
      </c>
    </row>
    <row r="186" spans="2:12">
      <c r="B186" s="42" t="s">
        <v>658</v>
      </c>
      <c r="D186" s="42" t="s">
        <v>423</v>
      </c>
      <c r="L186" s="42" t="s">
        <v>962</v>
      </c>
    </row>
    <row r="187" spans="2:12">
      <c r="B187" s="42" t="s">
        <v>659</v>
      </c>
      <c r="D187" s="42" t="s">
        <v>424</v>
      </c>
      <c r="L187" s="42" t="s">
        <v>963</v>
      </c>
    </row>
    <row r="188" spans="2:12">
      <c r="B188" s="42" t="s">
        <v>660</v>
      </c>
      <c r="D188" s="42" t="s">
        <v>425</v>
      </c>
      <c r="L188" s="42" t="s">
        <v>964</v>
      </c>
    </row>
    <row r="189" spans="2:12">
      <c r="B189" s="42" t="s">
        <v>661</v>
      </c>
      <c r="D189" s="42" t="s">
        <v>426</v>
      </c>
      <c r="L189" s="42" t="s">
        <v>965</v>
      </c>
    </row>
    <row r="190" spans="2:12">
      <c r="B190" s="42" t="s">
        <v>662</v>
      </c>
      <c r="D190" s="42" t="s">
        <v>427</v>
      </c>
      <c r="L190" s="42" t="s">
        <v>966</v>
      </c>
    </row>
    <row r="191" spans="2:12">
      <c r="B191" s="42" t="s">
        <v>663</v>
      </c>
      <c r="D191" s="42" t="s">
        <v>428</v>
      </c>
      <c r="L191" s="42" t="s">
        <v>967</v>
      </c>
    </row>
    <row r="192" spans="2:12">
      <c r="B192" s="42" t="s">
        <v>664</v>
      </c>
      <c r="D192" s="42" t="s">
        <v>429</v>
      </c>
      <c r="L192" s="42" t="s">
        <v>968</v>
      </c>
    </row>
    <row r="193" spans="2:12">
      <c r="B193" s="42" t="s">
        <v>665</v>
      </c>
      <c r="D193" s="42" t="s">
        <v>430</v>
      </c>
      <c r="L193" s="42" t="s">
        <v>969</v>
      </c>
    </row>
    <row r="194" spans="2:12">
      <c r="B194" s="42" t="s">
        <v>666</v>
      </c>
      <c r="D194" s="42" t="s">
        <v>431</v>
      </c>
      <c r="L194" s="42" t="s">
        <v>970</v>
      </c>
    </row>
    <row r="195" spans="2:12">
      <c r="B195" s="42" t="s">
        <v>667</v>
      </c>
      <c r="D195" s="42" t="s">
        <v>432</v>
      </c>
      <c r="L195" s="42" t="s">
        <v>971</v>
      </c>
    </row>
    <row r="196" spans="2:12">
      <c r="B196" s="42" t="s">
        <v>668</v>
      </c>
      <c r="D196" s="42" t="s">
        <v>433</v>
      </c>
      <c r="L196" s="42" t="s">
        <v>972</v>
      </c>
    </row>
    <row r="197" spans="2:12">
      <c r="B197" s="42" t="s">
        <v>669</v>
      </c>
      <c r="D197" s="42" t="s">
        <v>434</v>
      </c>
      <c r="L197" s="42" t="s">
        <v>973</v>
      </c>
    </row>
    <row r="198" spans="2:12">
      <c r="B198" s="42" t="s">
        <v>670</v>
      </c>
      <c r="D198" s="42" t="s">
        <v>435</v>
      </c>
      <c r="L198" s="42" t="s">
        <v>974</v>
      </c>
    </row>
    <row r="199" spans="2:12">
      <c r="B199" s="42" t="s">
        <v>671</v>
      </c>
      <c r="D199" s="42" t="s">
        <v>436</v>
      </c>
      <c r="L199" s="42" t="s">
        <v>975</v>
      </c>
    </row>
    <row r="200" spans="2:12">
      <c r="B200" s="42" t="s">
        <v>672</v>
      </c>
      <c r="D200" s="42" t="s">
        <v>437</v>
      </c>
      <c r="L200" s="42" t="s">
        <v>976</v>
      </c>
    </row>
    <row r="201" spans="2:12">
      <c r="B201" s="42" t="s">
        <v>673</v>
      </c>
      <c r="D201" s="42" t="s">
        <v>438</v>
      </c>
      <c r="L201" s="42" t="s">
        <v>977</v>
      </c>
    </row>
    <row r="202" spans="2:12">
      <c r="B202" s="42" t="s">
        <v>674</v>
      </c>
      <c r="D202" s="42" t="s">
        <v>439</v>
      </c>
      <c r="L202" s="42" t="s">
        <v>978</v>
      </c>
    </row>
    <row r="203" spans="2:12">
      <c r="B203" s="42" t="s">
        <v>675</v>
      </c>
      <c r="D203" s="42" t="s">
        <v>440</v>
      </c>
      <c r="L203" s="42" t="s">
        <v>979</v>
      </c>
    </row>
    <row r="204" spans="2:12">
      <c r="B204" s="42" t="s">
        <v>676</v>
      </c>
      <c r="D204" s="42" t="s">
        <v>441</v>
      </c>
      <c r="L204" s="42" t="s">
        <v>980</v>
      </c>
    </row>
    <row r="205" spans="2:12">
      <c r="B205" s="42" t="s">
        <v>677</v>
      </c>
      <c r="D205" s="42" t="s">
        <v>442</v>
      </c>
      <c r="L205" s="42" t="s">
        <v>981</v>
      </c>
    </row>
    <row r="206" spans="2:12">
      <c r="B206" s="42" t="s">
        <v>678</v>
      </c>
      <c r="D206" s="42" t="s">
        <v>443</v>
      </c>
      <c r="L206" s="42" t="s">
        <v>982</v>
      </c>
    </row>
    <row r="207" spans="2:12">
      <c r="B207" s="42" t="s">
        <v>679</v>
      </c>
      <c r="D207" s="42" t="s">
        <v>444</v>
      </c>
      <c r="L207" s="42" t="s">
        <v>983</v>
      </c>
    </row>
    <row r="208" spans="2:12">
      <c r="B208" s="42" t="s">
        <v>680</v>
      </c>
      <c r="D208" s="42" t="s">
        <v>445</v>
      </c>
      <c r="L208" s="42" t="s">
        <v>984</v>
      </c>
    </row>
    <row r="209" spans="2:12">
      <c r="B209" s="42" t="s">
        <v>681</v>
      </c>
      <c r="D209" s="42" t="s">
        <v>446</v>
      </c>
      <c r="L209" s="42" t="s">
        <v>985</v>
      </c>
    </row>
    <row r="210" spans="2:12">
      <c r="B210" s="42" t="s">
        <v>682</v>
      </c>
      <c r="D210" s="42" t="s">
        <v>447</v>
      </c>
      <c r="L210" s="42" t="s">
        <v>986</v>
      </c>
    </row>
    <row r="211" spans="2:12">
      <c r="B211" s="42" t="s">
        <v>683</v>
      </c>
      <c r="D211" s="42" t="s">
        <v>448</v>
      </c>
      <c r="L211" s="42" t="s">
        <v>987</v>
      </c>
    </row>
    <row r="212" spans="2:12">
      <c r="B212" s="42" t="s">
        <v>684</v>
      </c>
      <c r="D212" s="42" t="s">
        <v>449</v>
      </c>
      <c r="L212" s="42" t="s">
        <v>988</v>
      </c>
    </row>
    <row r="213" spans="2:12">
      <c r="B213" s="42" t="s">
        <v>685</v>
      </c>
      <c r="D213" s="42" t="s">
        <v>450</v>
      </c>
      <c r="L213" s="42" t="s">
        <v>989</v>
      </c>
    </row>
    <row r="214" spans="2:12">
      <c r="B214" s="42" t="s">
        <v>686</v>
      </c>
      <c r="D214" s="42" t="s">
        <v>451</v>
      </c>
      <c r="L214" s="42" t="s">
        <v>990</v>
      </c>
    </row>
    <row r="215" spans="2:12">
      <c r="B215" s="42" t="s">
        <v>687</v>
      </c>
      <c r="D215" s="42" t="s">
        <v>452</v>
      </c>
      <c r="L215" s="42" t="s">
        <v>991</v>
      </c>
    </row>
    <row r="216" spans="2:12">
      <c r="B216" s="42" t="s">
        <v>688</v>
      </c>
      <c r="D216" s="42" t="s">
        <v>453</v>
      </c>
      <c r="L216" s="42" t="s">
        <v>992</v>
      </c>
    </row>
    <row r="217" spans="2:12">
      <c r="B217" s="42" t="s">
        <v>689</v>
      </c>
      <c r="D217" s="42" t="s">
        <v>454</v>
      </c>
      <c r="L217" s="42" t="s">
        <v>993</v>
      </c>
    </row>
    <row r="218" spans="2:12">
      <c r="B218" s="42" t="s">
        <v>690</v>
      </c>
      <c r="D218" s="42" t="s">
        <v>455</v>
      </c>
      <c r="L218" s="42" t="s">
        <v>994</v>
      </c>
    </row>
    <row r="219" spans="2:12">
      <c r="B219" s="42" t="s">
        <v>691</v>
      </c>
      <c r="D219" s="42" t="s">
        <v>456</v>
      </c>
      <c r="L219" s="42" t="s">
        <v>995</v>
      </c>
    </row>
    <row r="220" spans="2:12">
      <c r="B220" s="42" t="s">
        <v>692</v>
      </c>
      <c r="D220" s="42" t="s">
        <v>457</v>
      </c>
      <c r="L220" s="42" t="s">
        <v>996</v>
      </c>
    </row>
    <row r="221" spans="2:12">
      <c r="B221" s="42" t="s">
        <v>693</v>
      </c>
      <c r="D221" s="42" t="s">
        <v>458</v>
      </c>
      <c r="L221" s="42" t="s">
        <v>997</v>
      </c>
    </row>
    <row r="222" spans="2:12">
      <c r="B222" s="42" t="s">
        <v>694</v>
      </c>
      <c r="D222" s="42" t="s">
        <v>459</v>
      </c>
      <c r="L222" s="42" t="s">
        <v>998</v>
      </c>
    </row>
    <row r="223" spans="2:12">
      <c r="B223" s="42" t="s">
        <v>695</v>
      </c>
      <c r="D223" s="42" t="s">
        <v>460</v>
      </c>
      <c r="L223" s="42" t="s">
        <v>999</v>
      </c>
    </row>
    <row r="224" spans="2:12">
      <c r="B224" s="42" t="s">
        <v>696</v>
      </c>
      <c r="D224" s="42" t="s">
        <v>461</v>
      </c>
      <c r="L224" s="42" t="s">
        <v>1000</v>
      </c>
    </row>
    <row r="225" spans="2:12">
      <c r="B225" s="42" t="s">
        <v>697</v>
      </c>
      <c r="D225" s="42" t="s">
        <v>462</v>
      </c>
      <c r="L225" s="42" t="s">
        <v>1001</v>
      </c>
    </row>
    <row r="226" spans="2:12">
      <c r="B226" s="42" t="s">
        <v>698</v>
      </c>
      <c r="D226" s="42" t="s">
        <v>463</v>
      </c>
      <c r="L226" s="42" t="s">
        <v>1002</v>
      </c>
    </row>
    <row r="227" spans="2:12">
      <c r="B227" s="42" t="s">
        <v>699</v>
      </c>
      <c r="D227" s="42" t="s">
        <v>464</v>
      </c>
      <c r="L227" s="42" t="s">
        <v>1003</v>
      </c>
    </row>
    <row r="228" spans="2:12">
      <c r="B228" s="42" t="s">
        <v>700</v>
      </c>
      <c r="D228" s="42" t="s">
        <v>465</v>
      </c>
      <c r="L228" s="42" t="s">
        <v>1004</v>
      </c>
    </row>
    <row r="229" spans="2:12">
      <c r="B229" s="42" t="s">
        <v>701</v>
      </c>
      <c r="D229" s="42" t="s">
        <v>466</v>
      </c>
      <c r="L229" s="42" t="s">
        <v>1005</v>
      </c>
    </row>
    <row r="230" spans="2:12">
      <c r="B230" s="42" t="s">
        <v>702</v>
      </c>
      <c r="D230" s="42" t="s">
        <v>467</v>
      </c>
      <c r="L230" s="42" t="s">
        <v>1006</v>
      </c>
    </row>
    <row r="231" spans="2:12">
      <c r="B231" s="42" t="s">
        <v>703</v>
      </c>
      <c r="D231" s="42" t="s">
        <v>468</v>
      </c>
      <c r="L231" s="42" t="s">
        <v>1007</v>
      </c>
    </row>
    <row r="232" spans="2:12">
      <c r="B232" s="42" t="s">
        <v>704</v>
      </c>
      <c r="D232" s="42" t="s">
        <v>469</v>
      </c>
      <c r="L232" s="42" t="s">
        <v>1008</v>
      </c>
    </row>
    <row r="233" spans="2:12">
      <c r="B233" s="42" t="s">
        <v>705</v>
      </c>
      <c r="D233" s="42" t="s">
        <v>470</v>
      </c>
      <c r="L233" s="42" t="s">
        <v>1009</v>
      </c>
    </row>
    <row r="234" spans="2:12">
      <c r="B234" s="42" t="s">
        <v>706</v>
      </c>
      <c r="D234" s="42" t="s">
        <v>471</v>
      </c>
      <c r="L234" s="42" t="s">
        <v>1010</v>
      </c>
    </row>
    <row r="235" spans="2:12">
      <c r="B235" s="42" t="s">
        <v>707</v>
      </c>
      <c r="D235" s="42" t="s">
        <v>472</v>
      </c>
      <c r="L235" s="42" t="s">
        <v>1011</v>
      </c>
    </row>
    <row r="236" spans="2:12">
      <c r="B236" s="42" t="s">
        <v>708</v>
      </c>
      <c r="D236" s="42" t="s">
        <v>473</v>
      </c>
      <c r="L236" s="42" t="s">
        <v>1012</v>
      </c>
    </row>
    <row r="237" spans="2:12">
      <c r="B237" s="42" t="s">
        <v>709</v>
      </c>
      <c r="D237" s="42" t="s">
        <v>474</v>
      </c>
      <c r="L237" s="42" t="s">
        <v>1013</v>
      </c>
    </row>
    <row r="238" spans="2:12">
      <c r="B238" s="42" t="s">
        <v>710</v>
      </c>
      <c r="D238" s="42" t="s">
        <v>475</v>
      </c>
      <c r="L238" s="42" t="s">
        <v>1014</v>
      </c>
    </row>
    <row r="239" spans="2:12">
      <c r="B239" s="42" t="s">
        <v>711</v>
      </c>
      <c r="D239" s="42" t="s">
        <v>476</v>
      </c>
      <c r="L239" s="42" t="s">
        <v>1015</v>
      </c>
    </row>
    <row r="240" spans="2:12">
      <c r="B240" s="42" t="s">
        <v>712</v>
      </c>
      <c r="L240" s="42" t="s">
        <v>1016</v>
      </c>
    </row>
    <row r="241" spans="2:12">
      <c r="B241" s="42" t="s">
        <v>713</v>
      </c>
      <c r="L241" s="42" t="s">
        <v>1017</v>
      </c>
    </row>
    <row r="242" spans="2:12">
      <c r="B242" s="42" t="s">
        <v>714</v>
      </c>
      <c r="L242" s="42" t="s">
        <v>1018</v>
      </c>
    </row>
    <row r="243" spans="2:12">
      <c r="B243" s="42" t="s">
        <v>715</v>
      </c>
      <c r="L243" s="42" t="s">
        <v>1019</v>
      </c>
    </row>
    <row r="244" spans="2:12">
      <c r="B244" s="42" t="s">
        <v>716</v>
      </c>
      <c r="L244" s="42" t="s">
        <v>1020</v>
      </c>
    </row>
    <row r="245" spans="2:12">
      <c r="B245" s="42" t="s">
        <v>717</v>
      </c>
      <c r="L245" s="42" t="s">
        <v>1021</v>
      </c>
    </row>
    <row r="246" spans="2:12">
      <c r="B246" s="42" t="s">
        <v>718</v>
      </c>
      <c r="L246" s="42" t="s">
        <v>1022</v>
      </c>
    </row>
    <row r="247" spans="2:12">
      <c r="B247" s="42" t="s">
        <v>719</v>
      </c>
      <c r="L247" s="42" t="s">
        <v>1023</v>
      </c>
    </row>
    <row r="248" spans="2:12">
      <c r="B248" s="42" t="s">
        <v>720</v>
      </c>
      <c r="L248" s="42" t="s">
        <v>1024</v>
      </c>
    </row>
    <row r="249" spans="2:12">
      <c r="B249" s="42" t="s">
        <v>721</v>
      </c>
      <c r="L249" s="42" t="s">
        <v>1025</v>
      </c>
    </row>
    <row r="250" spans="2:12">
      <c r="B250" s="42" t="s">
        <v>722</v>
      </c>
      <c r="L250" s="42" t="s">
        <v>1026</v>
      </c>
    </row>
    <row r="251" spans="2:12">
      <c r="B251" s="42" t="s">
        <v>723</v>
      </c>
      <c r="L251" s="42" t="s">
        <v>1027</v>
      </c>
    </row>
    <row r="252" spans="2:12">
      <c r="B252" s="42" t="s">
        <v>724</v>
      </c>
      <c r="L252" s="42" t="s">
        <v>1028</v>
      </c>
    </row>
    <row r="253" spans="2:12">
      <c r="B253" s="42" t="s">
        <v>725</v>
      </c>
      <c r="L253" s="42" t="s">
        <v>1029</v>
      </c>
    </row>
    <row r="254" spans="2:12">
      <c r="B254" s="42" t="s">
        <v>726</v>
      </c>
      <c r="L254" s="42" t="s">
        <v>1030</v>
      </c>
    </row>
    <row r="255" spans="2:12">
      <c r="B255" s="42" t="s">
        <v>727</v>
      </c>
      <c r="L255" s="42" t="s">
        <v>1031</v>
      </c>
    </row>
    <row r="256" spans="2:12">
      <c r="B256" s="42" t="s">
        <v>728</v>
      </c>
      <c r="L256" s="42" t="s">
        <v>1032</v>
      </c>
    </row>
    <row r="257" spans="2:12">
      <c r="B257" s="42" t="s">
        <v>729</v>
      </c>
      <c r="L257" s="42" t="s">
        <v>1033</v>
      </c>
    </row>
    <row r="258" spans="2:12">
      <c r="B258" s="42" t="s">
        <v>730</v>
      </c>
      <c r="L258" s="42" t="s">
        <v>1034</v>
      </c>
    </row>
    <row r="259" spans="2:12">
      <c r="B259" s="42" t="s">
        <v>731</v>
      </c>
      <c r="L259" s="42" t="s">
        <v>1035</v>
      </c>
    </row>
    <row r="260" spans="2:12">
      <c r="B260" s="42" t="s">
        <v>732</v>
      </c>
      <c r="L260" s="42" t="s">
        <v>1036</v>
      </c>
    </row>
    <row r="261" spans="2:12">
      <c r="B261" s="42" t="s">
        <v>733</v>
      </c>
      <c r="L261" s="42" t="s">
        <v>1037</v>
      </c>
    </row>
    <row r="262" spans="2:12">
      <c r="B262" s="42" t="s">
        <v>734</v>
      </c>
      <c r="L262" s="42" t="s">
        <v>1038</v>
      </c>
    </row>
    <row r="263" spans="2:12">
      <c r="L263" s="42" t="s">
        <v>1039</v>
      </c>
    </row>
    <row r="264" spans="2:12">
      <c r="L264" s="42" t="s">
        <v>1040</v>
      </c>
    </row>
    <row r="265" spans="2:12">
      <c r="L265" s="42" t="s">
        <v>1041</v>
      </c>
    </row>
    <row r="266" spans="2:12">
      <c r="L266" s="42" t="s">
        <v>1042</v>
      </c>
    </row>
    <row r="267" spans="2:12">
      <c r="L267" s="42" t="s">
        <v>1043</v>
      </c>
    </row>
    <row r="268" spans="2:12">
      <c r="L268" s="42" t="s">
        <v>1044</v>
      </c>
    </row>
    <row r="269" spans="2:12">
      <c r="L269" s="42" t="s">
        <v>1045</v>
      </c>
    </row>
    <row r="270" spans="2:12">
      <c r="L270" s="42" t="s">
        <v>1046</v>
      </c>
    </row>
    <row r="271" spans="2:12">
      <c r="L271" s="42" t="s">
        <v>1047</v>
      </c>
    </row>
    <row r="272" spans="2:12">
      <c r="L272" s="42" t="s">
        <v>1048</v>
      </c>
    </row>
    <row r="273" spans="12:12">
      <c r="L273" s="42" t="s">
        <v>1049</v>
      </c>
    </row>
    <row r="274" spans="12:12">
      <c r="L274" s="42" t="s">
        <v>1050</v>
      </c>
    </row>
    <row r="275" spans="12:12">
      <c r="L275" s="42" t="s">
        <v>1051</v>
      </c>
    </row>
    <row r="276" spans="12:12">
      <c r="L276" s="42" t="s">
        <v>1052</v>
      </c>
    </row>
    <row r="277" spans="12:12">
      <c r="L277" s="42" t="s">
        <v>639</v>
      </c>
    </row>
    <row r="278" spans="12:12">
      <c r="L278" s="42" t="s">
        <v>1053</v>
      </c>
    </row>
    <row r="279" spans="12:12">
      <c r="L279" s="42" t="s">
        <v>1054</v>
      </c>
    </row>
    <row r="280" spans="12:12">
      <c r="L280" s="42" t="s">
        <v>1055</v>
      </c>
    </row>
    <row r="281" spans="12:12">
      <c r="L281" s="42" t="s">
        <v>1056</v>
      </c>
    </row>
    <row r="282" spans="12:12">
      <c r="L282" s="42" t="s">
        <v>1057</v>
      </c>
    </row>
    <row r="283" spans="12:12">
      <c r="L283" s="42" t="s">
        <v>1058</v>
      </c>
    </row>
    <row r="284" spans="12:12">
      <c r="L284" s="42" t="s">
        <v>1059</v>
      </c>
    </row>
    <row r="285" spans="12:12">
      <c r="L285" s="42" t="s">
        <v>1060</v>
      </c>
    </row>
    <row r="286" spans="12:12">
      <c r="L286" s="42" t="s">
        <v>1061</v>
      </c>
    </row>
    <row r="287" spans="12:12">
      <c r="L287" s="42" t="s">
        <v>1062</v>
      </c>
    </row>
    <row r="288" spans="12:12">
      <c r="L288" s="42" t="s">
        <v>1063</v>
      </c>
    </row>
    <row r="289" spans="12:12">
      <c r="L289" s="42" t="s">
        <v>1064</v>
      </c>
    </row>
    <row r="290" spans="12:12">
      <c r="L290" s="42" t="s">
        <v>1065</v>
      </c>
    </row>
    <row r="291" spans="12:12">
      <c r="L291" s="42" t="s">
        <v>1066</v>
      </c>
    </row>
    <row r="292" spans="12:12">
      <c r="L292" s="42" t="s">
        <v>1067</v>
      </c>
    </row>
    <row r="293" spans="12:12">
      <c r="L293" s="42" t="s">
        <v>1068</v>
      </c>
    </row>
    <row r="294" spans="12:12">
      <c r="L294" s="42" t="s">
        <v>1069</v>
      </c>
    </row>
    <row r="295" spans="12:12">
      <c r="L295" s="42" t="s">
        <v>1070</v>
      </c>
    </row>
    <row r="296" spans="12:12">
      <c r="L296" s="42" t="s">
        <v>1071</v>
      </c>
    </row>
    <row r="297" spans="12:12">
      <c r="L297" s="42" t="s">
        <v>1072</v>
      </c>
    </row>
    <row r="298" spans="12:12">
      <c r="L298" s="42" t="s">
        <v>1073</v>
      </c>
    </row>
    <row r="299" spans="12:12">
      <c r="L299" s="42" t="s">
        <v>1074</v>
      </c>
    </row>
    <row r="300" spans="12:12">
      <c r="L300" s="42" t="s">
        <v>1075</v>
      </c>
    </row>
    <row r="301" spans="12:12">
      <c r="L301" s="42" t="s">
        <v>1076</v>
      </c>
    </row>
    <row r="302" spans="12:12">
      <c r="L302" s="42" t="s">
        <v>1077</v>
      </c>
    </row>
    <row r="303" spans="12:12">
      <c r="L303" s="42" t="s">
        <v>1078</v>
      </c>
    </row>
    <row r="304" spans="12:12">
      <c r="L304" s="42" t="s">
        <v>1079</v>
      </c>
    </row>
    <row r="305" spans="12:12">
      <c r="L305" s="42" t="s">
        <v>1080</v>
      </c>
    </row>
    <row r="306" spans="12:12">
      <c r="L306" s="42" t="s">
        <v>1081</v>
      </c>
    </row>
    <row r="307" spans="12:12">
      <c r="L307" s="42" t="s">
        <v>1082</v>
      </c>
    </row>
    <row r="308" spans="12:12">
      <c r="L308" s="42" t="s">
        <v>1083</v>
      </c>
    </row>
    <row r="309" spans="12:12">
      <c r="L309" s="42" t="s">
        <v>1084</v>
      </c>
    </row>
    <row r="310" spans="12:12">
      <c r="L310" s="42" t="s">
        <v>1085</v>
      </c>
    </row>
    <row r="311" spans="12:12">
      <c r="L311" s="42" t="s">
        <v>1086</v>
      </c>
    </row>
    <row r="312" spans="12:12">
      <c r="L312" s="42" t="s">
        <v>1087</v>
      </c>
    </row>
    <row r="313" spans="12:12">
      <c r="L313" s="42" t="s">
        <v>1088</v>
      </c>
    </row>
    <row r="314" spans="12:12">
      <c r="L314" s="42" t="s">
        <v>1089</v>
      </c>
    </row>
    <row r="315" spans="12:12">
      <c r="L315" s="42" t="s">
        <v>1090</v>
      </c>
    </row>
    <row r="316" spans="12:12">
      <c r="L316" s="42" t="s">
        <v>1091</v>
      </c>
    </row>
    <row r="317" spans="12:12">
      <c r="L317" s="42" t="s">
        <v>1092</v>
      </c>
    </row>
    <row r="318" spans="12:12">
      <c r="L318" s="42" t="s">
        <v>1093</v>
      </c>
    </row>
    <row r="319" spans="12:12">
      <c r="L319" s="42" t="s">
        <v>1094</v>
      </c>
    </row>
    <row r="320" spans="12:12">
      <c r="L320" s="42" t="s">
        <v>1095</v>
      </c>
    </row>
    <row r="321" spans="12:12">
      <c r="L321" s="42" t="s">
        <v>1096</v>
      </c>
    </row>
    <row r="322" spans="12:12">
      <c r="L322" s="42" t="s">
        <v>1097</v>
      </c>
    </row>
    <row r="323" spans="12:12">
      <c r="L323" s="42" t="s">
        <v>1098</v>
      </c>
    </row>
    <row r="324" spans="12:12">
      <c r="L324" s="42" t="s">
        <v>1099</v>
      </c>
    </row>
    <row r="325" spans="12:12">
      <c r="L325" s="42" t="s">
        <v>1100</v>
      </c>
    </row>
    <row r="326" spans="12:12">
      <c r="L326" s="42" t="s">
        <v>1101</v>
      </c>
    </row>
    <row r="327" spans="12:12">
      <c r="L327" s="42" t="s">
        <v>1102</v>
      </c>
    </row>
    <row r="328" spans="12:12">
      <c r="L328" s="42" t="s">
        <v>1103</v>
      </c>
    </row>
    <row r="329" spans="12:12">
      <c r="L329" s="42" t="s">
        <v>1104</v>
      </c>
    </row>
    <row r="330" spans="12:12">
      <c r="L330" s="42" t="s">
        <v>1105</v>
      </c>
    </row>
    <row r="331" spans="12:12">
      <c r="L331" s="42" t="s">
        <v>1106</v>
      </c>
    </row>
    <row r="332" spans="12:12">
      <c r="L332" s="42" t="s">
        <v>1107</v>
      </c>
    </row>
    <row r="333" spans="12:12">
      <c r="L333" s="42" t="s">
        <v>1108</v>
      </c>
    </row>
    <row r="334" spans="12:12">
      <c r="L334" s="42" t="s">
        <v>1109</v>
      </c>
    </row>
    <row r="335" spans="12:12">
      <c r="L335" s="42" t="s">
        <v>1110</v>
      </c>
    </row>
    <row r="336" spans="12:12">
      <c r="L336" s="42" t="s">
        <v>1111</v>
      </c>
    </row>
    <row r="337" spans="12:12">
      <c r="L337" s="42" t="s">
        <v>1112</v>
      </c>
    </row>
    <row r="338" spans="12:12">
      <c r="L338" s="42" t="s">
        <v>1113</v>
      </c>
    </row>
    <row r="339" spans="12:12">
      <c r="L339" s="42" t="s">
        <v>1114</v>
      </c>
    </row>
    <row r="340" spans="12:12">
      <c r="L340" s="42" t="s">
        <v>1115</v>
      </c>
    </row>
    <row r="341" spans="12:12">
      <c r="L341" s="42" t="s">
        <v>1116</v>
      </c>
    </row>
    <row r="342" spans="12:12">
      <c r="L342" s="42" t="s">
        <v>1117</v>
      </c>
    </row>
    <row r="343" spans="12:12">
      <c r="L343" s="42" t="s">
        <v>1118</v>
      </c>
    </row>
    <row r="344" spans="12:12">
      <c r="L344" s="42" t="s">
        <v>1119</v>
      </c>
    </row>
    <row r="345" spans="12:12">
      <c r="L345" s="42" t="s">
        <v>1120</v>
      </c>
    </row>
    <row r="346" spans="12:12">
      <c r="L346" s="42" t="s">
        <v>1121</v>
      </c>
    </row>
    <row r="347" spans="12:12">
      <c r="L347" s="42" t="s">
        <v>1122</v>
      </c>
    </row>
    <row r="348" spans="12:12">
      <c r="L348" s="42" t="s">
        <v>1123</v>
      </c>
    </row>
    <row r="349" spans="12:12">
      <c r="L349" s="42" t="s">
        <v>1124</v>
      </c>
    </row>
    <row r="350" spans="12:12">
      <c r="L350" s="42" t="s">
        <v>1125</v>
      </c>
    </row>
    <row r="351" spans="12:12">
      <c r="L351" s="42" t="s">
        <v>1126</v>
      </c>
    </row>
    <row r="352" spans="12:12">
      <c r="L352" s="42" t="s">
        <v>1127</v>
      </c>
    </row>
    <row r="353" spans="12:12">
      <c r="L353" s="42" t="s">
        <v>1128</v>
      </c>
    </row>
    <row r="354" spans="12:12">
      <c r="L354" s="42" t="s">
        <v>1129</v>
      </c>
    </row>
    <row r="355" spans="12:12">
      <c r="L355" s="42" t="s">
        <v>1130</v>
      </c>
    </row>
    <row r="356" spans="12:12">
      <c r="L356" s="42" t="s">
        <v>1131</v>
      </c>
    </row>
    <row r="357" spans="12:12">
      <c r="L357" s="42" t="s">
        <v>1132</v>
      </c>
    </row>
    <row r="358" spans="12:12">
      <c r="L358" s="42" t="s">
        <v>1133</v>
      </c>
    </row>
    <row r="359" spans="12:12">
      <c r="L359" s="42" t="s">
        <v>1134</v>
      </c>
    </row>
    <row r="360" spans="12:12">
      <c r="L360" s="42" t="s">
        <v>1135</v>
      </c>
    </row>
    <row r="361" spans="12:12">
      <c r="L361" s="42" t="s">
        <v>1136</v>
      </c>
    </row>
    <row r="362" spans="12:12">
      <c r="L362" s="42" t="s">
        <v>1137</v>
      </c>
    </row>
    <row r="363" spans="12:12">
      <c r="L363" s="42" t="s">
        <v>1138</v>
      </c>
    </row>
    <row r="364" spans="12:12">
      <c r="L364" s="42" t="s">
        <v>1139</v>
      </c>
    </row>
    <row r="365" spans="12:12">
      <c r="L365" s="42" t="s">
        <v>1140</v>
      </c>
    </row>
    <row r="366" spans="12:12">
      <c r="L366" s="42" t="s">
        <v>1141</v>
      </c>
    </row>
    <row r="367" spans="12:12">
      <c r="L367" s="42" t="s">
        <v>1142</v>
      </c>
    </row>
    <row r="368" spans="12:12">
      <c r="L368" s="42" t="s">
        <v>1143</v>
      </c>
    </row>
    <row r="369" spans="12:12">
      <c r="L369" s="42" t="s">
        <v>1144</v>
      </c>
    </row>
    <row r="370" spans="12:12">
      <c r="L370" s="42" t="s">
        <v>1145</v>
      </c>
    </row>
    <row r="371" spans="12:12">
      <c r="L371" s="42" t="s">
        <v>1146</v>
      </c>
    </row>
    <row r="372" spans="12:12">
      <c r="L372" s="42" t="s">
        <v>1147</v>
      </c>
    </row>
    <row r="373" spans="12:12">
      <c r="L373" s="42" t="s">
        <v>1148</v>
      </c>
    </row>
    <row r="374" spans="12:12">
      <c r="L374" s="42" t="s">
        <v>1149</v>
      </c>
    </row>
    <row r="375" spans="12:12">
      <c r="L375" s="42" t="s">
        <v>1150</v>
      </c>
    </row>
    <row r="376" spans="12:12">
      <c r="L376" s="42" t="s">
        <v>1151</v>
      </c>
    </row>
    <row r="377" spans="12:12">
      <c r="L377" s="42" t="s">
        <v>1152</v>
      </c>
    </row>
    <row r="378" spans="12:12">
      <c r="L378" s="42" t="s">
        <v>1153</v>
      </c>
    </row>
    <row r="379" spans="12:12">
      <c r="L379" s="42" t="s">
        <v>1154</v>
      </c>
    </row>
    <row r="380" spans="12:12">
      <c r="L380" s="42" t="s">
        <v>1155</v>
      </c>
    </row>
    <row r="381" spans="12:12">
      <c r="L381" s="42" t="s">
        <v>1156</v>
      </c>
    </row>
    <row r="382" spans="12:12">
      <c r="L382" s="42" t="s">
        <v>1157</v>
      </c>
    </row>
    <row r="383" spans="12:12">
      <c r="L383" s="42" t="s">
        <v>1158</v>
      </c>
    </row>
    <row r="384" spans="12:12">
      <c r="L384" s="42" t="s">
        <v>1159</v>
      </c>
    </row>
    <row r="385" spans="12:12">
      <c r="L385" s="42" t="s">
        <v>1160</v>
      </c>
    </row>
    <row r="386" spans="12:12">
      <c r="L386" s="42" t="s">
        <v>1161</v>
      </c>
    </row>
    <row r="387" spans="12:12">
      <c r="L387" s="42" t="s">
        <v>1162</v>
      </c>
    </row>
    <row r="388" spans="12:12">
      <c r="L388" s="42" t="s">
        <v>1163</v>
      </c>
    </row>
    <row r="389" spans="12:12">
      <c r="L389" s="42" t="s">
        <v>1164</v>
      </c>
    </row>
    <row r="390" spans="12:12">
      <c r="L390" s="42" t="s">
        <v>1165</v>
      </c>
    </row>
    <row r="391" spans="12:12">
      <c r="L391" s="42" t="s">
        <v>1166</v>
      </c>
    </row>
    <row r="392" spans="12:12">
      <c r="L392" s="42" t="s">
        <v>1167</v>
      </c>
    </row>
    <row r="393" spans="12:12">
      <c r="L393" s="42" t="s">
        <v>1168</v>
      </c>
    </row>
    <row r="394" spans="12:12">
      <c r="L394" s="42" t="s">
        <v>1169</v>
      </c>
    </row>
    <row r="395" spans="12:12">
      <c r="L395" s="42" t="s">
        <v>1170</v>
      </c>
    </row>
    <row r="396" spans="12:12">
      <c r="L396" s="42" t="s">
        <v>1171</v>
      </c>
    </row>
    <row r="397" spans="12:12">
      <c r="L397" s="42" t="s">
        <v>1172</v>
      </c>
    </row>
    <row r="398" spans="12:12">
      <c r="L398" s="42" t="s">
        <v>1173</v>
      </c>
    </row>
    <row r="399" spans="12:12">
      <c r="L399" s="42" t="s">
        <v>1174</v>
      </c>
    </row>
    <row r="400" spans="12:12">
      <c r="L400" s="42" t="s">
        <v>1175</v>
      </c>
    </row>
    <row r="401" spans="12:12">
      <c r="L401" s="42" t="s">
        <v>1176</v>
      </c>
    </row>
    <row r="402" spans="12:12">
      <c r="L402" s="42" t="s">
        <v>1177</v>
      </c>
    </row>
    <row r="403" spans="12:12">
      <c r="L403" s="42" t="s">
        <v>1178</v>
      </c>
    </row>
    <row r="404" spans="12:12">
      <c r="L404" s="42" t="s">
        <v>1179</v>
      </c>
    </row>
    <row r="405" spans="12:12">
      <c r="L405" s="42" t="s">
        <v>1180</v>
      </c>
    </row>
    <row r="406" spans="12:12">
      <c r="L406" s="42" t="s">
        <v>1181</v>
      </c>
    </row>
    <row r="407" spans="12:12">
      <c r="L407" s="42" t="s">
        <v>1182</v>
      </c>
    </row>
    <row r="408" spans="12:12">
      <c r="L408" s="42" t="s">
        <v>1183</v>
      </c>
    </row>
    <row r="409" spans="12:12">
      <c r="L409" s="42" t="s">
        <v>1184</v>
      </c>
    </row>
    <row r="410" spans="12:12">
      <c r="L410" s="42" t="s">
        <v>1185</v>
      </c>
    </row>
    <row r="411" spans="12:12">
      <c r="L411" s="42" t="s">
        <v>1186</v>
      </c>
    </row>
    <row r="412" spans="12:12">
      <c r="L412" s="42" t="s">
        <v>1187</v>
      </c>
    </row>
    <row r="413" spans="12:12">
      <c r="L413" s="42" t="s">
        <v>1188</v>
      </c>
    </row>
    <row r="414" spans="12:12">
      <c r="L414" s="42" t="s">
        <v>1189</v>
      </c>
    </row>
    <row r="415" spans="12:12">
      <c r="L415" s="42" t="s">
        <v>1190</v>
      </c>
    </row>
    <row r="416" spans="12:12">
      <c r="L416" s="42" t="s">
        <v>1191</v>
      </c>
    </row>
    <row r="417" spans="12:12">
      <c r="L417" s="42" t="s">
        <v>1192</v>
      </c>
    </row>
    <row r="418" spans="12:12">
      <c r="L418" s="42" t="s">
        <v>1193</v>
      </c>
    </row>
    <row r="419" spans="12:12">
      <c r="L419" s="42" t="s">
        <v>1194</v>
      </c>
    </row>
    <row r="420" spans="12:12">
      <c r="L420" s="42" t="s">
        <v>1195</v>
      </c>
    </row>
    <row r="421" spans="12:12">
      <c r="L421" s="42" t="s">
        <v>1196</v>
      </c>
    </row>
  </sheetData>
  <sheetProtection algorithmName="SHA-512" hashValue="GoahCEZVq+UYohoiSanTr21e5tRl6r2KNqnEVur6lnEI4YlQvxI+OfJbHJOCo0AA5x9RTTyuJklF1nkDdPVu2w==" saltValue="GscUBICpiS2FBj7EhwVEZQ==" spinCount="100000" sheet="1" objects="1" scenarios="1"/>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B99764F3EA6F5B4C83DD0FD972BEF430" ma:contentTypeVersion="0" ma:contentTypeDescription="Create a new document." ma:contentTypeScope="" ma:versionID="1c574b430a5a69f18968730b56720be7">
  <xsd:schema xmlns:xsd="http://www.w3.org/2001/XMLSchema" xmlns:xs="http://www.w3.org/2001/XMLSchema" xmlns:p="http://schemas.microsoft.com/office/2006/metadata/properties" targetNamespace="http://schemas.microsoft.com/office/2006/metadata/properties" ma:root="true" ma:fieldsID="0967b7be50301903c78f9c39c6fd9af8">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551D4B6-D82C-42AE-8607-7AECAB822247}">
  <ds:schemaRefs>
    <ds:schemaRef ds:uri="http://purl.org/dc/terms/"/>
    <ds:schemaRef ds:uri="http://purl.org/dc/elements/1.1/"/>
    <ds:schemaRef ds:uri="http://purl.org/dc/dcmitype/"/>
    <ds:schemaRef ds:uri="http://schemas.microsoft.com/office/2006/documentManagement/types"/>
    <ds:schemaRef ds:uri="http://www.w3.org/XML/1998/namespace"/>
    <ds:schemaRef ds:uri="http://schemas.microsoft.com/office/infopath/2007/PartnerControls"/>
    <ds:schemaRef ds:uri="http://schemas.openxmlformats.org/package/2006/metadata/core-properties"/>
    <ds:schemaRef ds:uri="http://schemas.microsoft.com/office/2006/metadata/properties"/>
  </ds:schemaRefs>
</ds:datastoreItem>
</file>

<file path=customXml/itemProps2.xml><?xml version="1.0" encoding="utf-8"?>
<ds:datastoreItem xmlns:ds="http://schemas.openxmlformats.org/officeDocument/2006/customXml" ds:itemID="{94862717-EA7D-4025-B089-9F4388F66EB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F0EEAC38-E6E9-47D0-955E-B2DE30A3B5D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25</vt:i4>
      </vt:variant>
    </vt:vector>
  </HeadingPairs>
  <TitlesOfParts>
    <vt:vector size="50" baseType="lpstr">
      <vt:lpstr>Sheet1</vt:lpstr>
      <vt:lpstr>Sheet2</vt:lpstr>
      <vt:lpstr>cover</vt:lpstr>
      <vt:lpstr>instructions</vt:lpstr>
      <vt:lpstr>applicantDetails</vt:lpstr>
      <vt:lpstr>index</vt:lpstr>
      <vt:lpstr>applicationContext</vt:lpstr>
      <vt:lpstr>yourDetails</vt:lpstr>
      <vt:lpstr>yourPartner</vt:lpstr>
      <vt:lpstr>child_1</vt:lpstr>
      <vt:lpstr>child_2</vt:lpstr>
      <vt:lpstr>child_3</vt:lpstr>
      <vt:lpstr>child_4</vt:lpstr>
      <vt:lpstr>contactDetailsApplicant</vt:lpstr>
      <vt:lpstr>countryOfResidenceAllApplicants</vt:lpstr>
      <vt:lpstr>healthDeclarations</vt:lpstr>
      <vt:lpstr>educationHistoryPrimarApplic</vt:lpstr>
      <vt:lpstr>languageSkills</vt:lpstr>
      <vt:lpstr>registrationLicensing</vt:lpstr>
      <vt:lpstr>employmentHistory</vt:lpstr>
      <vt:lpstr>characterDeclarations</vt:lpstr>
      <vt:lpstr>additionalInfo</vt:lpstr>
      <vt:lpstr>declarations</vt:lpstr>
      <vt:lpstr>formData</vt:lpstr>
      <vt:lpstr>constants</vt:lpstr>
      <vt:lpstr>Applicants</vt:lpstr>
      <vt:lpstr>ChinaPlaceOfIssue</vt:lpstr>
      <vt:lpstr>CountryOfIssue</vt:lpstr>
      <vt:lpstr>CountryOfPassport</vt:lpstr>
      <vt:lpstr>EnglishTest</vt:lpstr>
      <vt:lpstr>Filename</vt:lpstr>
      <vt:lpstr>fkgnjdfgkdl</vt:lpstr>
      <vt:lpstr>HealthCondition</vt:lpstr>
      <vt:lpstr>HighestQualification</vt:lpstr>
      <vt:lpstr>HospitalReasons</vt:lpstr>
      <vt:lpstr>LegalStatus</vt:lpstr>
      <vt:lpstr>MainLanguage</vt:lpstr>
      <vt:lpstr>nameList</vt:lpstr>
      <vt:lpstr>NumberOfChildren</vt:lpstr>
      <vt:lpstr>OffenceTypes</vt:lpstr>
      <vt:lpstr>OtherTypeOfDocument</vt:lpstr>
      <vt:lpstr>PositionType</vt:lpstr>
      <vt:lpstr>ReasonNameChange</vt:lpstr>
      <vt:lpstr>RelationshipApplicant</vt:lpstr>
      <vt:lpstr>RelationshipStatus</vt:lpstr>
      <vt:lpstr>sex</vt:lpstr>
      <vt:lpstr>TypeOfDocument</vt:lpstr>
      <vt:lpstr>TypeSkills</vt:lpstr>
      <vt:lpstr>Version</vt:lpstr>
      <vt:lpstr>yesNo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Madueno, Carolina</dc:creator>
  <cp:lastModifiedBy>Keerthana M</cp:lastModifiedBy>
  <cp:lastPrinted>2019-05-14T23:23:31Z</cp:lastPrinted>
  <dcterms:created xsi:type="dcterms:W3CDTF">2019-05-07T23:30:54Z</dcterms:created>
  <dcterms:modified xsi:type="dcterms:W3CDTF">2021-06-01T14:06:45Z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0x010100B99764F3EA6F5B4C83DD0FD972BEF430</vt:lpwstr>
  </property>
</Properties>
</file>